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0"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arodriguez/Dropbox/Work/SpendMatters/Database Alvaro Arturo Dropbox/Import Data/"/>
    </mc:Choice>
  </mc:AlternateContent>
  <xr:revisionPtr revIDLastSave="0" documentId="13_ncr:1_{1FB5BF9A-1AB3-F040-AA70-226D64E38C4E}" xr6:coauthVersionLast="28" xr6:coauthVersionMax="28" xr10:uidLastSave="{00000000-0000-0000-0000-000000000000}"/>
  <bookViews>
    <workbookView xWindow="-38400" yWindow="-6700" windowWidth="37940" windowHeight="21140" firstSheet="4" activeTab="7" xr2:uid="{A2C3BF59-8214-3349-8964-DBF77342D78C}"/>
  </bookViews>
  <sheets>
    <sheet name="Suites" sheetId="24" r:id="rId1"/>
    <sheet name="Categories" sheetId="10" r:id="rId2"/>
    <sheet name="SuiteCategories" sheetId="21" r:id="rId3"/>
    <sheet name="Subcategories" sheetId="11" r:id="rId4"/>
    <sheet name="SuiteCatSub" sheetId="1" r:id="rId5"/>
    <sheet name="Elements" sheetId="5" r:id="rId6"/>
    <sheet name="SuiteCatSubElem" sheetId="6" r:id="rId7"/>
    <sheet name="SuiteCatSubElem_Version" sheetId="7" r:id="rId8"/>
    <sheet name="rawElements" sheetId="3" r:id="rId9"/>
    <sheet name="Notes" sheetId="9" r:id="rId10"/>
    <sheet name="scse_v Analyst" sheetId="12" r:id="rId11"/>
    <sheet name="ElementVariants" sheetId="8" r:id="rId12"/>
    <sheet name="Vendors" sheetId="13" r:id="rId13"/>
    <sheet name="Personas" sheetId="15" r:id="rId14"/>
    <sheet name="RFI" sheetId="16" r:id="rId15"/>
    <sheet name="RFI_Elements" sheetId="17" r:id="rId16"/>
    <sheet name="SA Q1 18 VR" sheetId="22" r:id="rId17"/>
    <sheet name="Sheet2" sheetId="25" state="hidden" r:id="rId18"/>
    <sheet name="SA Q1 18 W" sheetId="23" r:id="rId19"/>
    <sheet name="SMscores" sheetId="18" r:id="rId20"/>
    <sheet name="Weights" sheetId="19" r:id="rId21"/>
    <sheet name="ParentVendors" sheetId="14" r:id="rId22"/>
    <sheet name="scse2" sheetId="2" r:id="rId23"/>
    <sheet name="Elements duplict" sheetId="4" r:id="rId24"/>
  </sheets>
  <definedNames>
    <definedName name="_xlnm._FilterDatabase" localSheetId="5" hidden="1">Elements!#REF!</definedName>
    <definedName name="_xlnm._FilterDatabase" localSheetId="23" hidden="1">'Elements duplict'!#REF!</definedName>
    <definedName name="_xlnm._FilterDatabase" localSheetId="8" hidden="1">rawElements!$J$1:$J$754</definedName>
    <definedName name="_xlnm._FilterDatabase" localSheetId="15" hidden="1">RFI_Elements!$A$1:$N$86</definedName>
    <definedName name="_xlnm._FilterDatabase" localSheetId="10" hidden="1">'scse_v Analyst'!$A$1:$J$178</definedName>
    <definedName name="_xlnm._FilterDatabase" localSheetId="19" hidden="1">SMscores!$A$1:$H$253</definedName>
    <definedName name="_xlnm._FilterDatabase" localSheetId="6" hidden="1">SuiteCatSubElem!$A$1:$J$666</definedName>
    <definedName name="_xlnm._FilterDatabase" localSheetId="7" hidden="1">SuiteCatSubElem_Version!$A$1:$S$1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2" i="18" l="1"/>
  <c r="F23" i="18"/>
  <c r="F24" i="18"/>
  <c r="F25" i="18"/>
  <c r="F26" i="18"/>
  <c r="F27" i="18"/>
  <c r="F28" i="18"/>
  <c r="F29" i="18"/>
  <c r="F30" i="18"/>
  <c r="F31" i="18"/>
  <c r="F32" i="18"/>
  <c r="F33" i="18"/>
  <c r="F34" i="18"/>
  <c r="F35" i="18"/>
  <c r="F36" i="18"/>
  <c r="F37" i="18"/>
  <c r="F38" i="18"/>
  <c r="F39" i="18"/>
  <c r="F40" i="18"/>
  <c r="F41" i="18"/>
  <c r="F42" i="18"/>
  <c r="F43" i="18"/>
  <c r="F44" i="18"/>
  <c r="F45" i="18"/>
  <c r="F46" i="18"/>
  <c r="F47" i="18"/>
  <c r="F48" i="18"/>
  <c r="F49" i="18"/>
  <c r="F50" i="18"/>
  <c r="F51" i="18"/>
  <c r="F52" i="18"/>
  <c r="F53" i="18"/>
  <c r="F54" i="18"/>
  <c r="F55" i="18"/>
  <c r="F56" i="18"/>
  <c r="F57" i="18"/>
  <c r="F58" i="18"/>
  <c r="F59" i="18"/>
  <c r="F60" i="18"/>
  <c r="F61" i="18"/>
  <c r="F62" i="18"/>
  <c r="F63" i="18"/>
  <c r="F64" i="18"/>
  <c r="F65" i="18"/>
  <c r="F66" i="18"/>
  <c r="F67" i="18"/>
  <c r="F68" i="18"/>
  <c r="F69" i="18"/>
  <c r="F70" i="18"/>
  <c r="F71" i="18"/>
  <c r="F72" i="18"/>
  <c r="F73" i="18"/>
  <c r="F74" i="18"/>
  <c r="F75" i="18"/>
  <c r="F76" i="18"/>
  <c r="F77" i="18"/>
  <c r="F78" i="18"/>
  <c r="F79" i="18"/>
  <c r="F80" i="18"/>
  <c r="F81" i="18"/>
  <c r="F82" i="18"/>
  <c r="F83" i="18"/>
  <c r="F84" i="18"/>
  <c r="F85" i="18"/>
  <c r="F86" i="18"/>
  <c r="F87" i="18"/>
  <c r="F88" i="18"/>
  <c r="F89" i="18"/>
  <c r="F90" i="18"/>
  <c r="F91" i="18"/>
  <c r="F92" i="18"/>
  <c r="F93" i="18"/>
  <c r="F94" i="18"/>
  <c r="F95" i="18"/>
  <c r="F96" i="18"/>
  <c r="F97" i="18"/>
  <c r="F98" i="18"/>
  <c r="F99" i="18"/>
  <c r="F100" i="18"/>
  <c r="F101" i="18"/>
  <c r="F102" i="18"/>
  <c r="F103" i="18"/>
  <c r="F104" i="18"/>
  <c r="F105" i="18"/>
  <c r="F106" i="18"/>
  <c r="F107" i="18"/>
  <c r="F108" i="18"/>
  <c r="F109" i="18"/>
  <c r="F110" i="18"/>
  <c r="F111" i="18"/>
  <c r="F112" i="18"/>
  <c r="F113" i="18"/>
  <c r="F114" i="18"/>
  <c r="F115" i="18"/>
  <c r="F116" i="18"/>
  <c r="F117" i="18"/>
  <c r="F118" i="18"/>
  <c r="F119" i="18"/>
  <c r="F120" i="18"/>
  <c r="F121" i="18"/>
  <c r="F122" i="18"/>
  <c r="F123" i="18"/>
  <c r="F124" i="18"/>
  <c r="F125" i="18"/>
  <c r="F126" i="18"/>
  <c r="F127" i="18"/>
  <c r="F128" i="18"/>
  <c r="F129" i="18"/>
  <c r="F130" i="18"/>
  <c r="F131" i="18"/>
  <c r="F132" i="18"/>
  <c r="F133" i="18"/>
  <c r="F134" i="18"/>
  <c r="F135" i="18"/>
  <c r="F136" i="18"/>
  <c r="F137" i="18"/>
  <c r="F138" i="18"/>
  <c r="F139" i="18"/>
  <c r="F140" i="18"/>
  <c r="F141" i="18"/>
  <c r="F142" i="18"/>
  <c r="F143" i="18"/>
  <c r="F144" i="18"/>
  <c r="F145" i="18"/>
  <c r="F146" i="18"/>
  <c r="F147" i="18"/>
  <c r="F148" i="18"/>
  <c r="F149" i="18"/>
  <c r="F150" i="18"/>
  <c r="F151" i="18"/>
  <c r="F152" i="18"/>
  <c r="F153" i="18"/>
  <c r="F154" i="18"/>
  <c r="F155" i="18"/>
  <c r="F156" i="18"/>
  <c r="F157" i="18"/>
  <c r="F158" i="18"/>
  <c r="F159" i="18"/>
  <c r="F160" i="18"/>
  <c r="F161" i="18"/>
  <c r="F162" i="18"/>
  <c r="F163" i="18"/>
  <c r="F164" i="18"/>
  <c r="F165" i="18"/>
  <c r="F166" i="18"/>
  <c r="F167" i="18"/>
  <c r="F168" i="18"/>
  <c r="F169" i="18"/>
  <c r="F170" i="18"/>
  <c r="F171" i="18"/>
  <c r="F172" i="18"/>
  <c r="F173" i="18"/>
  <c r="F174" i="18"/>
  <c r="F175" i="18"/>
  <c r="F176" i="18"/>
  <c r="F177" i="18"/>
  <c r="F178" i="18"/>
  <c r="F179" i="18"/>
  <c r="F180" i="18"/>
  <c r="F181" i="18"/>
  <c r="F182" i="18"/>
  <c r="F183" i="18"/>
  <c r="F184" i="18"/>
  <c r="F185" i="18"/>
  <c r="F186" i="18"/>
  <c r="F187" i="18"/>
  <c r="F188" i="18"/>
  <c r="F189" i="18"/>
  <c r="F190" i="18"/>
  <c r="F191" i="18"/>
  <c r="F192" i="18"/>
  <c r="F193" i="18"/>
  <c r="F194" i="18"/>
  <c r="F195" i="18"/>
  <c r="F196" i="18"/>
  <c r="F197" i="18"/>
  <c r="F198" i="18"/>
  <c r="F199" i="18"/>
  <c r="F200" i="18"/>
  <c r="F201" i="18"/>
  <c r="F202" i="18"/>
  <c r="F203" i="18"/>
  <c r="F204" i="18"/>
  <c r="F205" i="18"/>
  <c r="F206" i="18"/>
  <c r="F207" i="18"/>
  <c r="F208" i="18"/>
  <c r="F209" i="18"/>
  <c r="F210" i="18"/>
  <c r="F211" i="18"/>
  <c r="F212" i="18"/>
  <c r="F213" i="18"/>
  <c r="F214" i="18"/>
  <c r="F215" i="18"/>
  <c r="F216" i="18"/>
  <c r="F217" i="18"/>
  <c r="F218" i="18"/>
  <c r="F219" i="18"/>
  <c r="F220" i="18"/>
  <c r="F221" i="18"/>
  <c r="F222" i="18"/>
  <c r="F223" i="18"/>
  <c r="F224" i="18"/>
  <c r="F225" i="18"/>
  <c r="F226" i="18"/>
  <c r="F227" i="18"/>
  <c r="F228" i="18"/>
  <c r="F229" i="18"/>
  <c r="F230" i="18"/>
  <c r="F231" i="18"/>
  <c r="F232" i="18"/>
  <c r="F233" i="18"/>
  <c r="F234" i="18"/>
  <c r="F235" i="18"/>
  <c r="F236" i="18"/>
  <c r="F237" i="18"/>
  <c r="F238" i="18"/>
  <c r="F239" i="18"/>
  <c r="F240" i="18"/>
  <c r="F241" i="18"/>
  <c r="F242" i="18"/>
  <c r="F243" i="18"/>
  <c r="F244" i="18"/>
  <c r="F245" i="18"/>
  <c r="F246" i="18"/>
  <c r="F247" i="18"/>
  <c r="F248" i="18"/>
  <c r="F249" i="18"/>
  <c r="F250" i="18"/>
  <c r="F251" i="18"/>
  <c r="F252" i="18"/>
  <c r="F253" i="18"/>
  <c r="F11" i="18"/>
  <c r="F12" i="18"/>
  <c r="F13" i="18"/>
  <c r="F14" i="18"/>
  <c r="F15" i="18"/>
  <c r="F16" i="18"/>
  <c r="F17" i="18"/>
  <c r="F18" i="18"/>
  <c r="F19" i="18"/>
  <c r="F20" i="18"/>
  <c r="F21" i="18"/>
  <c r="F6" i="18"/>
  <c r="F7" i="18"/>
  <c r="F8" i="18"/>
  <c r="F9" i="18"/>
  <c r="F10" i="18"/>
  <c r="F3" i="18"/>
  <c r="F4" i="18"/>
  <c r="F5" i="18"/>
  <c r="F2" i="18"/>
  <c r="E3" i="19"/>
  <c r="E4" i="19"/>
  <c r="E5" i="19"/>
  <c r="E6" i="19"/>
  <c r="E7" i="19"/>
  <c r="E8" i="19"/>
  <c r="E9" i="19"/>
  <c r="E10" i="19"/>
  <c r="E11" i="19"/>
  <c r="E12" i="19"/>
  <c r="E13" i="19"/>
  <c r="E14" i="19"/>
  <c r="E15" i="19"/>
  <c r="E16" i="19"/>
  <c r="E17" i="19"/>
  <c r="E18" i="19"/>
  <c r="E19" i="19"/>
  <c r="E20" i="19"/>
  <c r="E21" i="19"/>
  <c r="E22" i="19"/>
  <c r="E23" i="19"/>
  <c r="E24" i="19"/>
  <c r="E25" i="19"/>
  <c r="E26" i="19"/>
  <c r="E27" i="19"/>
  <c r="E28" i="19"/>
  <c r="E29" i="19"/>
  <c r="E30" i="19"/>
  <c r="E31" i="19"/>
  <c r="E32" i="19"/>
  <c r="E33" i="19"/>
  <c r="E34" i="19"/>
  <c r="E35" i="19"/>
  <c r="E36" i="19"/>
  <c r="E37" i="19"/>
  <c r="E38" i="19"/>
  <c r="E39" i="19"/>
  <c r="E40" i="19"/>
  <c r="E41" i="19"/>
  <c r="E42" i="19"/>
  <c r="E43" i="19"/>
  <c r="E44" i="19"/>
  <c r="E45" i="19"/>
  <c r="E46" i="19"/>
  <c r="E47" i="19"/>
  <c r="E48" i="19"/>
  <c r="E49" i="19"/>
  <c r="E50" i="19"/>
  <c r="E51" i="19"/>
  <c r="E52" i="19"/>
  <c r="E53" i="19"/>
  <c r="E54" i="19"/>
  <c r="E55" i="19"/>
  <c r="E56" i="19"/>
  <c r="E57" i="19"/>
  <c r="E58" i="19"/>
  <c r="E59" i="19"/>
  <c r="E60" i="19"/>
  <c r="E61" i="19"/>
  <c r="E62" i="19"/>
  <c r="E63" i="19"/>
  <c r="E64" i="19"/>
  <c r="E65" i="19"/>
  <c r="E66" i="19"/>
  <c r="E67" i="19"/>
  <c r="E68" i="19"/>
  <c r="E69" i="19"/>
  <c r="E70" i="19"/>
  <c r="E71" i="19"/>
  <c r="E72" i="19"/>
  <c r="E73" i="19"/>
  <c r="E74" i="19"/>
  <c r="E75" i="19"/>
  <c r="E76" i="19"/>
  <c r="E77" i="19"/>
  <c r="E78" i="19"/>
  <c r="E79" i="19"/>
  <c r="E80" i="19"/>
  <c r="E81" i="19"/>
  <c r="E82" i="19"/>
  <c r="E83" i="19"/>
  <c r="E84" i="19"/>
  <c r="E85" i="19"/>
  <c r="B86" i="19"/>
  <c r="A86" i="19"/>
  <c r="E86" i="19"/>
  <c r="B87" i="19"/>
  <c r="A87" i="19"/>
  <c r="E87" i="19"/>
  <c r="B88" i="19"/>
  <c r="A88" i="19"/>
  <c r="E88" i="19"/>
  <c r="B89" i="19"/>
  <c r="A89" i="19"/>
  <c r="E89" i="19"/>
  <c r="B90" i="19"/>
  <c r="A90" i="19"/>
  <c r="E90" i="19"/>
  <c r="B91" i="19"/>
  <c r="A91" i="19"/>
  <c r="E91" i="19"/>
  <c r="B92" i="19"/>
  <c r="A92" i="19"/>
  <c r="E92" i="19"/>
  <c r="B93" i="19"/>
  <c r="A93" i="19"/>
  <c r="E93" i="19"/>
  <c r="B94" i="19"/>
  <c r="A94" i="19"/>
  <c r="E94" i="19"/>
  <c r="B95" i="19"/>
  <c r="A95" i="19"/>
  <c r="E95" i="19"/>
  <c r="B96" i="19"/>
  <c r="A96" i="19"/>
  <c r="E96" i="19"/>
  <c r="B97" i="19"/>
  <c r="A97" i="19"/>
  <c r="E97" i="19"/>
  <c r="B98" i="19"/>
  <c r="A98" i="19"/>
  <c r="E98" i="19"/>
  <c r="B99" i="19"/>
  <c r="A99" i="19"/>
  <c r="E99" i="19"/>
  <c r="B100" i="19"/>
  <c r="A100" i="19"/>
  <c r="E100" i="19"/>
  <c r="B101" i="19"/>
  <c r="A101" i="19"/>
  <c r="E101" i="19"/>
  <c r="B102" i="19"/>
  <c r="A102" i="19"/>
  <c r="E102" i="19"/>
  <c r="B103" i="19"/>
  <c r="A103" i="19"/>
  <c r="E103" i="19"/>
  <c r="B104" i="19"/>
  <c r="A104" i="19"/>
  <c r="E104" i="19"/>
  <c r="B105" i="19"/>
  <c r="A105" i="19"/>
  <c r="E105" i="19"/>
  <c r="B106" i="19"/>
  <c r="A106" i="19"/>
  <c r="E106" i="19"/>
  <c r="B107" i="19"/>
  <c r="A107" i="19"/>
  <c r="E107" i="19"/>
  <c r="B108" i="19"/>
  <c r="A108" i="19"/>
  <c r="E108" i="19"/>
  <c r="B109" i="19"/>
  <c r="A109" i="19"/>
  <c r="E109" i="19"/>
  <c r="B110" i="19"/>
  <c r="A110" i="19"/>
  <c r="E110" i="19"/>
  <c r="B111" i="19"/>
  <c r="A111" i="19"/>
  <c r="E111" i="19"/>
  <c r="B112" i="19"/>
  <c r="A112" i="19"/>
  <c r="E112" i="19"/>
  <c r="B113" i="19"/>
  <c r="A113" i="19"/>
  <c r="E113" i="19"/>
  <c r="B114" i="19"/>
  <c r="A114" i="19"/>
  <c r="E114" i="19"/>
  <c r="B115" i="19"/>
  <c r="A115" i="19"/>
  <c r="E115" i="19"/>
  <c r="B116" i="19"/>
  <c r="A116" i="19"/>
  <c r="E116" i="19"/>
  <c r="B117" i="19"/>
  <c r="A117" i="19"/>
  <c r="E117" i="19"/>
  <c r="B118" i="19"/>
  <c r="A118" i="19"/>
  <c r="E118" i="19"/>
  <c r="B119" i="19"/>
  <c r="A119" i="19"/>
  <c r="E119" i="19"/>
  <c r="B120" i="19"/>
  <c r="A120" i="19"/>
  <c r="E120" i="19"/>
  <c r="B121" i="19"/>
  <c r="A121" i="19"/>
  <c r="E121" i="19"/>
  <c r="B122" i="19"/>
  <c r="A122" i="19"/>
  <c r="E122" i="19"/>
  <c r="B123" i="19"/>
  <c r="A123" i="19"/>
  <c r="E123" i="19"/>
  <c r="B124" i="19"/>
  <c r="A124" i="19"/>
  <c r="E124" i="19"/>
  <c r="B125" i="19"/>
  <c r="A125" i="19"/>
  <c r="E125" i="19"/>
  <c r="B126" i="19"/>
  <c r="A126" i="19"/>
  <c r="E126" i="19"/>
  <c r="B127" i="19"/>
  <c r="A127" i="19"/>
  <c r="E127" i="19"/>
  <c r="B128" i="19"/>
  <c r="A128" i="19"/>
  <c r="E128" i="19"/>
  <c r="B129" i="19"/>
  <c r="A129" i="19"/>
  <c r="E129" i="19"/>
  <c r="B130" i="19"/>
  <c r="A130" i="19"/>
  <c r="E130" i="19"/>
  <c r="B131" i="19"/>
  <c r="A131" i="19"/>
  <c r="E131" i="19"/>
  <c r="B132" i="19"/>
  <c r="A132" i="19"/>
  <c r="E132" i="19"/>
  <c r="B133" i="19"/>
  <c r="A133" i="19"/>
  <c r="E133" i="19"/>
  <c r="B134" i="19"/>
  <c r="A134" i="19"/>
  <c r="E134" i="19"/>
  <c r="B135" i="19"/>
  <c r="A135" i="19"/>
  <c r="E135" i="19"/>
  <c r="B136" i="19"/>
  <c r="A136" i="19"/>
  <c r="E136" i="19"/>
  <c r="B137" i="19"/>
  <c r="A137" i="19"/>
  <c r="E137" i="19"/>
  <c r="B138" i="19"/>
  <c r="A138" i="19"/>
  <c r="E138" i="19"/>
  <c r="B139" i="19"/>
  <c r="A139" i="19"/>
  <c r="E139" i="19"/>
  <c r="B140" i="19"/>
  <c r="A140" i="19"/>
  <c r="E140" i="19"/>
  <c r="B141" i="19"/>
  <c r="A141" i="19"/>
  <c r="E141" i="19"/>
  <c r="B142" i="19"/>
  <c r="A142" i="19"/>
  <c r="E142" i="19"/>
  <c r="B143" i="19"/>
  <c r="A143" i="19"/>
  <c r="E143" i="19"/>
  <c r="B144" i="19"/>
  <c r="A144" i="19"/>
  <c r="E144" i="19"/>
  <c r="B145" i="19"/>
  <c r="A145" i="19"/>
  <c r="E145" i="19"/>
  <c r="B146" i="19"/>
  <c r="A146" i="19"/>
  <c r="E146" i="19"/>
  <c r="B147" i="19"/>
  <c r="A147" i="19"/>
  <c r="E147" i="19"/>
  <c r="B148" i="19"/>
  <c r="A148" i="19"/>
  <c r="E148" i="19"/>
  <c r="B149" i="19"/>
  <c r="A149" i="19"/>
  <c r="E149" i="19"/>
  <c r="B150" i="19"/>
  <c r="A150" i="19"/>
  <c r="E150" i="19"/>
  <c r="B151" i="19"/>
  <c r="A151" i="19"/>
  <c r="E151" i="19"/>
  <c r="B152" i="19"/>
  <c r="A152" i="19"/>
  <c r="E152" i="19"/>
  <c r="B153" i="19"/>
  <c r="A153" i="19"/>
  <c r="E153" i="19"/>
  <c r="B154" i="19"/>
  <c r="A154" i="19"/>
  <c r="E154" i="19"/>
  <c r="B155" i="19"/>
  <c r="A155" i="19"/>
  <c r="E155" i="19"/>
  <c r="B156" i="19"/>
  <c r="A156" i="19"/>
  <c r="E156" i="19"/>
  <c r="B157" i="19"/>
  <c r="A157" i="19"/>
  <c r="E157" i="19"/>
  <c r="B158" i="19"/>
  <c r="A158" i="19"/>
  <c r="E158" i="19"/>
  <c r="B159" i="19"/>
  <c r="A159" i="19"/>
  <c r="E159" i="19"/>
  <c r="B160" i="19"/>
  <c r="A160" i="19"/>
  <c r="E160" i="19"/>
  <c r="B161" i="19"/>
  <c r="A161" i="19"/>
  <c r="E161" i="19"/>
  <c r="B162" i="19"/>
  <c r="A162" i="19"/>
  <c r="E162" i="19"/>
  <c r="B163" i="19"/>
  <c r="A163" i="19"/>
  <c r="E163" i="19"/>
  <c r="B164" i="19"/>
  <c r="A164" i="19"/>
  <c r="E164" i="19"/>
  <c r="B165" i="19"/>
  <c r="A165" i="19"/>
  <c r="E165" i="19"/>
  <c r="B166" i="19"/>
  <c r="A166" i="19"/>
  <c r="E166" i="19"/>
  <c r="B167" i="19"/>
  <c r="A167" i="19"/>
  <c r="E167" i="19"/>
  <c r="B168" i="19"/>
  <c r="A168" i="19"/>
  <c r="E168" i="19"/>
  <c r="B169" i="19"/>
  <c r="A169" i="19"/>
  <c r="E169" i="19"/>
  <c r="B170" i="19"/>
  <c r="A170" i="19"/>
  <c r="E170" i="19"/>
  <c r="B171" i="19"/>
  <c r="A171" i="19"/>
  <c r="E171" i="19"/>
  <c r="B172" i="19"/>
  <c r="A172" i="19"/>
  <c r="E172" i="19"/>
  <c r="B173" i="19"/>
  <c r="A173" i="19"/>
  <c r="E173" i="19"/>
  <c r="B174" i="19"/>
  <c r="A174" i="19"/>
  <c r="E174" i="19"/>
  <c r="B175" i="19"/>
  <c r="A175" i="19"/>
  <c r="E175" i="19"/>
  <c r="B176" i="19"/>
  <c r="A176" i="19"/>
  <c r="E176" i="19"/>
  <c r="B177" i="19"/>
  <c r="A177" i="19"/>
  <c r="E177" i="19"/>
  <c r="B178" i="19"/>
  <c r="A178" i="19"/>
  <c r="E178" i="19"/>
  <c r="B179" i="19"/>
  <c r="A179" i="19"/>
  <c r="E179" i="19"/>
  <c r="B180" i="19"/>
  <c r="A180" i="19"/>
  <c r="E180" i="19"/>
  <c r="B181" i="19"/>
  <c r="A181" i="19"/>
  <c r="E181" i="19"/>
  <c r="B182" i="19"/>
  <c r="A182" i="19"/>
  <c r="E182" i="19"/>
  <c r="B183" i="19"/>
  <c r="A183" i="19"/>
  <c r="E183" i="19"/>
  <c r="B184" i="19"/>
  <c r="A184" i="19"/>
  <c r="E184" i="19"/>
  <c r="B185" i="19"/>
  <c r="A185" i="19"/>
  <c r="E185" i="19"/>
  <c r="B186" i="19"/>
  <c r="A186" i="19"/>
  <c r="E186" i="19"/>
  <c r="B187" i="19"/>
  <c r="A187" i="19"/>
  <c r="E187" i="19"/>
  <c r="B188" i="19"/>
  <c r="A188" i="19"/>
  <c r="E188" i="19"/>
  <c r="B189" i="19"/>
  <c r="A189" i="19"/>
  <c r="E189" i="19"/>
  <c r="B190" i="19"/>
  <c r="A190" i="19"/>
  <c r="E190" i="19"/>
  <c r="B191" i="19"/>
  <c r="A191" i="19"/>
  <c r="E191" i="19"/>
  <c r="B192" i="19"/>
  <c r="A192" i="19"/>
  <c r="E192" i="19"/>
  <c r="B193" i="19"/>
  <c r="A193" i="19"/>
  <c r="E193" i="19"/>
  <c r="B194" i="19"/>
  <c r="A194" i="19"/>
  <c r="E194" i="19"/>
  <c r="B195" i="19"/>
  <c r="A195" i="19"/>
  <c r="E195" i="19"/>
  <c r="B196" i="19"/>
  <c r="A196" i="19"/>
  <c r="E196" i="19"/>
  <c r="B197" i="19"/>
  <c r="A197" i="19"/>
  <c r="E197" i="19"/>
  <c r="B198" i="19"/>
  <c r="A198" i="19"/>
  <c r="E198" i="19"/>
  <c r="B199" i="19"/>
  <c r="A199" i="19"/>
  <c r="E199" i="19"/>
  <c r="B200" i="19"/>
  <c r="A200" i="19"/>
  <c r="E200" i="19"/>
  <c r="B201" i="19"/>
  <c r="A201" i="19"/>
  <c r="E201" i="19"/>
  <c r="B202" i="19"/>
  <c r="A202" i="19"/>
  <c r="E202" i="19"/>
  <c r="B203" i="19"/>
  <c r="A203" i="19"/>
  <c r="E203" i="19"/>
  <c r="B204" i="19"/>
  <c r="A204" i="19"/>
  <c r="E204" i="19"/>
  <c r="B205" i="19"/>
  <c r="A205" i="19"/>
  <c r="E205" i="19"/>
  <c r="B206" i="19"/>
  <c r="A206" i="19"/>
  <c r="E206" i="19"/>
  <c r="B207" i="19"/>
  <c r="A207" i="19"/>
  <c r="E207" i="19"/>
  <c r="B208" i="19"/>
  <c r="A208" i="19"/>
  <c r="E208" i="19"/>
  <c r="B209" i="19"/>
  <c r="A209" i="19"/>
  <c r="E209" i="19"/>
  <c r="B210" i="19"/>
  <c r="A210" i="19"/>
  <c r="E210" i="19"/>
  <c r="B211" i="19"/>
  <c r="A211" i="19"/>
  <c r="E211" i="19"/>
  <c r="B212" i="19"/>
  <c r="A212" i="19"/>
  <c r="E212" i="19"/>
  <c r="B213" i="19"/>
  <c r="A213" i="19"/>
  <c r="E213" i="19"/>
  <c r="B214" i="19"/>
  <c r="A214" i="19"/>
  <c r="E214" i="19"/>
  <c r="B215" i="19"/>
  <c r="A215" i="19"/>
  <c r="E215" i="19"/>
  <c r="B216" i="19"/>
  <c r="A216" i="19"/>
  <c r="E216" i="19"/>
  <c r="B217" i="19"/>
  <c r="A217" i="19"/>
  <c r="E217" i="19"/>
  <c r="B218" i="19"/>
  <c r="A218" i="19"/>
  <c r="E218" i="19"/>
  <c r="B219" i="19"/>
  <c r="A219" i="19"/>
  <c r="E219" i="19"/>
  <c r="B220" i="19"/>
  <c r="A220" i="19"/>
  <c r="E220" i="19"/>
  <c r="B221" i="19"/>
  <c r="A221" i="19"/>
  <c r="E221" i="19"/>
  <c r="B222" i="19"/>
  <c r="A222" i="19"/>
  <c r="E222" i="19"/>
  <c r="B223" i="19"/>
  <c r="A223" i="19"/>
  <c r="E223" i="19"/>
  <c r="B224" i="19"/>
  <c r="A224" i="19"/>
  <c r="E224" i="19"/>
  <c r="B225" i="19"/>
  <c r="A225" i="19"/>
  <c r="E225" i="19"/>
  <c r="B226" i="19"/>
  <c r="A226" i="19"/>
  <c r="E226" i="19"/>
  <c r="B227" i="19"/>
  <c r="A227" i="19"/>
  <c r="E227" i="19"/>
  <c r="B228" i="19"/>
  <c r="A228" i="19"/>
  <c r="E228" i="19"/>
  <c r="B229" i="19"/>
  <c r="A229" i="19"/>
  <c r="E229" i="19"/>
  <c r="B230" i="19"/>
  <c r="A230" i="19"/>
  <c r="E230" i="19"/>
  <c r="B231" i="19"/>
  <c r="A231" i="19"/>
  <c r="E231" i="19"/>
  <c r="B232" i="19"/>
  <c r="A232" i="19"/>
  <c r="E232" i="19"/>
  <c r="B233" i="19"/>
  <c r="A233" i="19"/>
  <c r="E233" i="19"/>
  <c r="B234" i="19"/>
  <c r="A234" i="19"/>
  <c r="E234" i="19"/>
  <c r="B235" i="19"/>
  <c r="A235" i="19"/>
  <c r="E235" i="19"/>
  <c r="B236" i="19"/>
  <c r="A236" i="19"/>
  <c r="E236" i="19"/>
  <c r="B237" i="19"/>
  <c r="A237" i="19"/>
  <c r="E237" i="19"/>
  <c r="B238" i="19"/>
  <c r="A238" i="19"/>
  <c r="E238" i="19"/>
  <c r="B239" i="19"/>
  <c r="A239" i="19"/>
  <c r="E239" i="19"/>
  <c r="B240" i="19"/>
  <c r="A240" i="19"/>
  <c r="E240" i="19"/>
  <c r="B241" i="19"/>
  <c r="A241" i="19"/>
  <c r="E241" i="19"/>
  <c r="B242" i="19"/>
  <c r="A242" i="19"/>
  <c r="E242" i="19"/>
  <c r="B243" i="19"/>
  <c r="A243" i="19"/>
  <c r="E243" i="19"/>
  <c r="B244" i="19"/>
  <c r="A244" i="19"/>
  <c r="E244" i="19"/>
  <c r="B245" i="19"/>
  <c r="A245" i="19"/>
  <c r="E245" i="19"/>
  <c r="B246" i="19"/>
  <c r="A246" i="19"/>
  <c r="E246" i="19"/>
  <c r="B247" i="19"/>
  <c r="A247" i="19"/>
  <c r="E247" i="19"/>
  <c r="B248" i="19"/>
  <c r="A248" i="19"/>
  <c r="E248" i="19"/>
  <c r="B249" i="19"/>
  <c r="A249" i="19"/>
  <c r="E249" i="19"/>
  <c r="B250" i="19"/>
  <c r="A250" i="19"/>
  <c r="E250" i="19"/>
  <c r="B251" i="19"/>
  <c r="A251" i="19"/>
  <c r="E251" i="19"/>
  <c r="B252" i="19"/>
  <c r="A252" i="19"/>
  <c r="E252" i="19"/>
  <c r="B253" i="19"/>
  <c r="A253" i="19"/>
  <c r="E253" i="19"/>
  <c r="B254" i="19"/>
  <c r="A254" i="19"/>
  <c r="E254" i="19"/>
  <c r="B255" i="19"/>
  <c r="A255" i="19"/>
  <c r="E255" i="19"/>
  <c r="B256" i="19"/>
  <c r="A256" i="19"/>
  <c r="E256" i="19"/>
  <c r="B257" i="19"/>
  <c r="A257" i="19"/>
  <c r="E257" i="19"/>
  <c r="B258" i="19"/>
  <c r="A258" i="19"/>
  <c r="E258" i="19"/>
  <c r="B259" i="19"/>
  <c r="A259" i="19"/>
  <c r="E259" i="19"/>
  <c r="B260" i="19"/>
  <c r="A260" i="19"/>
  <c r="E260" i="19"/>
  <c r="B261" i="19"/>
  <c r="A261" i="19"/>
  <c r="E261" i="19"/>
  <c r="B262" i="19"/>
  <c r="A262" i="19"/>
  <c r="E262" i="19"/>
  <c r="B263" i="19"/>
  <c r="A263" i="19"/>
  <c r="E263" i="19"/>
  <c r="B264" i="19"/>
  <c r="A264" i="19"/>
  <c r="E264" i="19"/>
  <c r="B265" i="19"/>
  <c r="A265" i="19"/>
  <c r="E265" i="19"/>
  <c r="B266" i="19"/>
  <c r="A266" i="19"/>
  <c r="E266" i="19"/>
  <c r="B267" i="19"/>
  <c r="A267" i="19"/>
  <c r="E267" i="19"/>
  <c r="B268" i="19"/>
  <c r="A268" i="19"/>
  <c r="E268" i="19"/>
  <c r="B269" i="19"/>
  <c r="A269" i="19"/>
  <c r="E269" i="19"/>
  <c r="B270" i="19"/>
  <c r="A270" i="19"/>
  <c r="E270" i="19"/>
  <c r="B271" i="19"/>
  <c r="A271" i="19"/>
  <c r="E271" i="19"/>
  <c r="B272" i="19"/>
  <c r="A272" i="19"/>
  <c r="E272" i="19"/>
  <c r="B273" i="19"/>
  <c r="A273" i="19"/>
  <c r="E273" i="19"/>
  <c r="B274" i="19"/>
  <c r="A274" i="19"/>
  <c r="E274" i="19"/>
  <c r="B275" i="19"/>
  <c r="A275" i="19"/>
  <c r="E275" i="19"/>
  <c r="B276" i="19"/>
  <c r="A276" i="19"/>
  <c r="E276" i="19"/>
  <c r="B277" i="19"/>
  <c r="A277" i="19"/>
  <c r="E277" i="19"/>
  <c r="B278" i="19"/>
  <c r="A278" i="19"/>
  <c r="E278" i="19"/>
  <c r="B279" i="19"/>
  <c r="A279" i="19"/>
  <c r="E279" i="19"/>
  <c r="B280" i="19"/>
  <c r="A280" i="19"/>
  <c r="E280" i="19"/>
  <c r="B281" i="19"/>
  <c r="A281" i="19"/>
  <c r="E281" i="19"/>
  <c r="B282" i="19"/>
  <c r="A282" i="19"/>
  <c r="E282" i="19"/>
  <c r="B283" i="19"/>
  <c r="A283" i="19"/>
  <c r="E283" i="19"/>
  <c r="B284" i="19"/>
  <c r="A284" i="19"/>
  <c r="E284" i="19"/>
  <c r="B285" i="19"/>
  <c r="A285" i="19"/>
  <c r="E285" i="19"/>
  <c r="B286" i="19"/>
  <c r="A286" i="19"/>
  <c r="E286" i="19"/>
  <c r="B287" i="19"/>
  <c r="A287" i="19"/>
  <c r="E287" i="19"/>
  <c r="B288" i="19"/>
  <c r="A288" i="19"/>
  <c r="E288" i="19"/>
  <c r="B289" i="19"/>
  <c r="A289" i="19"/>
  <c r="E289" i="19"/>
  <c r="B290" i="19"/>
  <c r="A290" i="19"/>
  <c r="E290" i="19"/>
  <c r="B291" i="19"/>
  <c r="A291" i="19"/>
  <c r="E291" i="19"/>
  <c r="B292" i="19"/>
  <c r="A292" i="19"/>
  <c r="E292" i="19"/>
  <c r="B293" i="19"/>
  <c r="A293" i="19"/>
  <c r="E293" i="19"/>
  <c r="B294" i="19"/>
  <c r="A294" i="19"/>
  <c r="E294" i="19"/>
  <c r="B295" i="19"/>
  <c r="A295" i="19"/>
  <c r="E295" i="19"/>
  <c r="B296" i="19"/>
  <c r="A296" i="19"/>
  <c r="E296" i="19"/>
  <c r="B297" i="19"/>
  <c r="A297" i="19"/>
  <c r="E297" i="19"/>
  <c r="B298" i="19"/>
  <c r="A298" i="19"/>
  <c r="E298" i="19"/>
  <c r="B299" i="19"/>
  <c r="A299" i="19"/>
  <c r="E299" i="19"/>
  <c r="B300" i="19"/>
  <c r="A300" i="19"/>
  <c r="E300" i="19"/>
  <c r="B301" i="19"/>
  <c r="A301" i="19"/>
  <c r="E301" i="19"/>
  <c r="B302" i="19"/>
  <c r="A302" i="19"/>
  <c r="E302" i="19"/>
  <c r="B303" i="19"/>
  <c r="A303" i="19"/>
  <c r="E303" i="19"/>
  <c r="B304" i="19"/>
  <c r="A304" i="19"/>
  <c r="E304" i="19"/>
  <c r="B305" i="19"/>
  <c r="A305" i="19"/>
  <c r="E305" i="19"/>
  <c r="B306" i="19"/>
  <c r="A306" i="19"/>
  <c r="E306" i="19"/>
  <c r="B307" i="19"/>
  <c r="A307" i="19"/>
  <c r="E307" i="19"/>
  <c r="B308" i="19"/>
  <c r="A308" i="19"/>
  <c r="E308" i="19"/>
  <c r="B309" i="19"/>
  <c r="A309" i="19"/>
  <c r="E309" i="19"/>
  <c r="B310" i="19"/>
  <c r="A310" i="19"/>
  <c r="E310" i="19"/>
  <c r="B311" i="19"/>
  <c r="A311" i="19"/>
  <c r="E311" i="19"/>
  <c r="B312" i="19"/>
  <c r="A312" i="19"/>
  <c r="E312" i="19"/>
  <c r="B313" i="19"/>
  <c r="A313" i="19"/>
  <c r="E313" i="19"/>
  <c r="B314" i="19"/>
  <c r="A314" i="19"/>
  <c r="E314" i="19"/>
  <c r="B315" i="19"/>
  <c r="A315" i="19"/>
  <c r="E315" i="19"/>
  <c r="B316" i="19"/>
  <c r="A316" i="19"/>
  <c r="E316" i="19"/>
  <c r="B317" i="19"/>
  <c r="A317" i="19"/>
  <c r="E317" i="19"/>
  <c r="B318" i="19"/>
  <c r="A318" i="19"/>
  <c r="E318" i="19"/>
  <c r="B319" i="19"/>
  <c r="A319" i="19"/>
  <c r="E319" i="19"/>
  <c r="B320" i="19"/>
  <c r="A320" i="19"/>
  <c r="E320" i="19"/>
  <c r="B321" i="19"/>
  <c r="A321" i="19"/>
  <c r="E321" i="19"/>
  <c r="B322" i="19"/>
  <c r="A322" i="19"/>
  <c r="E322" i="19"/>
  <c r="B323" i="19"/>
  <c r="A323" i="19"/>
  <c r="E323" i="19"/>
  <c r="B324" i="19"/>
  <c r="A324" i="19"/>
  <c r="E324" i="19"/>
  <c r="B325" i="19"/>
  <c r="A325" i="19"/>
  <c r="E325" i="19"/>
  <c r="B326" i="19"/>
  <c r="A326" i="19"/>
  <c r="E326" i="19"/>
  <c r="B327" i="19"/>
  <c r="A327" i="19"/>
  <c r="E327" i="19"/>
  <c r="B328" i="19"/>
  <c r="A328" i="19"/>
  <c r="E328" i="19"/>
  <c r="B329" i="19"/>
  <c r="A329" i="19"/>
  <c r="E329" i="19"/>
  <c r="B330" i="19"/>
  <c r="A330" i="19"/>
  <c r="E330" i="19"/>
  <c r="B331" i="19"/>
  <c r="A331" i="19"/>
  <c r="E331" i="19"/>
  <c r="B332" i="19"/>
  <c r="A332" i="19"/>
  <c r="E332" i="19"/>
  <c r="B333" i="19"/>
  <c r="A333" i="19"/>
  <c r="E333" i="19"/>
  <c r="B334" i="19"/>
  <c r="A334" i="19"/>
  <c r="E334" i="19"/>
  <c r="B335" i="19"/>
  <c r="A335" i="19"/>
  <c r="E335" i="19"/>
  <c r="B336" i="19"/>
  <c r="A336" i="19"/>
  <c r="E336" i="19"/>
  <c r="B337" i="19"/>
  <c r="A337" i="19"/>
  <c r="E337" i="19"/>
  <c r="B338" i="19"/>
  <c r="A338" i="19"/>
  <c r="E338" i="19"/>
  <c r="B339" i="19"/>
  <c r="A339" i="19"/>
  <c r="E339" i="19"/>
  <c r="B340" i="19"/>
  <c r="A340" i="19"/>
  <c r="E340" i="19"/>
  <c r="B341" i="19"/>
  <c r="A341" i="19"/>
  <c r="E341" i="19"/>
  <c r="B342" i="19"/>
  <c r="A342" i="19"/>
  <c r="E342" i="19"/>
  <c r="B343" i="19"/>
  <c r="A343" i="19"/>
  <c r="E343" i="19"/>
  <c r="B344" i="19"/>
  <c r="A344" i="19"/>
  <c r="E344" i="19"/>
  <c r="B345" i="19"/>
  <c r="A345" i="19"/>
  <c r="E345" i="19"/>
  <c r="B346" i="19"/>
  <c r="A346" i="19"/>
  <c r="E346" i="19"/>
  <c r="B347" i="19"/>
  <c r="A347" i="19"/>
  <c r="E347" i="19"/>
  <c r="B348" i="19"/>
  <c r="A348" i="19"/>
  <c r="E348" i="19"/>
  <c r="B349" i="19"/>
  <c r="A349" i="19"/>
  <c r="E349" i="19"/>
  <c r="B350" i="19"/>
  <c r="A350" i="19"/>
  <c r="E350" i="19"/>
  <c r="B351" i="19"/>
  <c r="A351" i="19"/>
  <c r="E351" i="19"/>
  <c r="B352" i="19"/>
  <c r="A352" i="19"/>
  <c r="E352" i="19"/>
  <c r="B353" i="19"/>
  <c r="A353" i="19"/>
  <c r="E353" i="19"/>
  <c r="B354" i="19"/>
  <c r="A354" i="19"/>
  <c r="E354" i="19"/>
  <c r="B355" i="19"/>
  <c r="A355" i="19"/>
  <c r="E355" i="19"/>
  <c r="B356" i="19"/>
  <c r="A356" i="19"/>
  <c r="E356" i="19"/>
  <c r="B357" i="19"/>
  <c r="A357" i="19"/>
  <c r="E357" i="19"/>
  <c r="B358" i="19"/>
  <c r="A358" i="19"/>
  <c r="E358" i="19"/>
  <c r="B359" i="19"/>
  <c r="A359" i="19"/>
  <c r="E359" i="19"/>
  <c r="B360" i="19"/>
  <c r="A360" i="19"/>
  <c r="E360" i="19"/>
  <c r="B361" i="19"/>
  <c r="A361" i="19"/>
  <c r="E361" i="19"/>
  <c r="B362" i="19"/>
  <c r="A362" i="19"/>
  <c r="E362" i="19"/>
  <c r="B363" i="19"/>
  <c r="A363" i="19"/>
  <c r="E363" i="19"/>
  <c r="B364" i="19"/>
  <c r="A364" i="19"/>
  <c r="E364" i="19"/>
  <c r="B365" i="19"/>
  <c r="A365" i="19"/>
  <c r="E365" i="19"/>
  <c r="B366" i="19"/>
  <c r="A366" i="19"/>
  <c r="E366" i="19"/>
  <c r="B367" i="19"/>
  <c r="A367" i="19"/>
  <c r="E367" i="19"/>
  <c r="B368" i="19"/>
  <c r="A368" i="19"/>
  <c r="E368" i="19"/>
  <c r="B369" i="19"/>
  <c r="A369" i="19"/>
  <c r="E369" i="19"/>
  <c r="B370" i="19"/>
  <c r="A370" i="19"/>
  <c r="E370" i="19"/>
  <c r="B371" i="19"/>
  <c r="A371" i="19"/>
  <c r="E371" i="19"/>
  <c r="B372" i="19"/>
  <c r="A372" i="19"/>
  <c r="E372" i="19"/>
  <c r="B373" i="19"/>
  <c r="A373" i="19"/>
  <c r="E373" i="19"/>
  <c r="B374" i="19"/>
  <c r="A374" i="19"/>
  <c r="E374" i="19"/>
  <c r="B375" i="19"/>
  <c r="A375" i="19"/>
  <c r="E375" i="19"/>
  <c r="B376" i="19"/>
  <c r="A376" i="19"/>
  <c r="E376" i="19"/>
  <c r="B377" i="19"/>
  <c r="A377" i="19"/>
  <c r="E377" i="19"/>
  <c r="B378" i="19"/>
  <c r="A378" i="19"/>
  <c r="E378" i="19"/>
  <c r="B379" i="19"/>
  <c r="A379" i="19"/>
  <c r="E379" i="19"/>
  <c r="B380" i="19"/>
  <c r="A380" i="19"/>
  <c r="E380" i="19"/>
  <c r="B381" i="19"/>
  <c r="A381" i="19"/>
  <c r="E381" i="19"/>
  <c r="B382" i="19"/>
  <c r="A382" i="19"/>
  <c r="E382" i="19"/>
  <c r="B383" i="19"/>
  <c r="A383" i="19"/>
  <c r="E383" i="19"/>
  <c r="B384" i="19"/>
  <c r="A384" i="19"/>
  <c r="E384" i="19"/>
  <c r="B385" i="19"/>
  <c r="A385" i="19"/>
  <c r="E385" i="19"/>
  <c r="B386" i="19"/>
  <c r="A386" i="19"/>
  <c r="E386" i="19"/>
  <c r="B387" i="19"/>
  <c r="A387" i="19"/>
  <c r="E387" i="19"/>
  <c r="B388" i="19"/>
  <c r="A388" i="19"/>
  <c r="E388" i="19"/>
  <c r="B389" i="19"/>
  <c r="A389" i="19"/>
  <c r="E389" i="19"/>
  <c r="B390" i="19"/>
  <c r="A390" i="19"/>
  <c r="E390" i="19"/>
  <c r="B391" i="19"/>
  <c r="A391" i="19"/>
  <c r="E391" i="19"/>
  <c r="B392" i="19"/>
  <c r="A392" i="19"/>
  <c r="E392" i="19"/>
  <c r="B393" i="19"/>
  <c r="A393" i="19"/>
  <c r="E393" i="19"/>
  <c r="B394" i="19"/>
  <c r="A394" i="19"/>
  <c r="E394" i="19"/>
  <c r="B395" i="19"/>
  <c r="A395" i="19"/>
  <c r="E395" i="19"/>
  <c r="B396" i="19"/>
  <c r="A396" i="19"/>
  <c r="E396" i="19"/>
  <c r="B397" i="19"/>
  <c r="A397" i="19"/>
  <c r="E397" i="19"/>
  <c r="B398" i="19"/>
  <c r="A398" i="19"/>
  <c r="E398" i="19"/>
  <c r="B399" i="19"/>
  <c r="A399" i="19"/>
  <c r="E399" i="19"/>
  <c r="B400" i="19"/>
  <c r="A400" i="19"/>
  <c r="E400" i="19"/>
  <c r="B401" i="19"/>
  <c r="A401" i="19"/>
  <c r="E401" i="19"/>
  <c r="B402" i="19"/>
  <c r="A402" i="19"/>
  <c r="E402" i="19"/>
  <c r="B403" i="19"/>
  <c r="A403" i="19"/>
  <c r="E403" i="19"/>
  <c r="B404" i="19"/>
  <c r="A404" i="19"/>
  <c r="E404" i="19"/>
  <c r="B405" i="19"/>
  <c r="A405" i="19"/>
  <c r="E405" i="19"/>
  <c r="B406" i="19"/>
  <c r="A406" i="19"/>
  <c r="E406" i="19"/>
  <c r="B407" i="19"/>
  <c r="A407" i="19"/>
  <c r="E407" i="19"/>
  <c r="B408" i="19"/>
  <c r="A408" i="19"/>
  <c r="E408" i="19"/>
  <c r="B409" i="19"/>
  <c r="A409" i="19"/>
  <c r="E409" i="19"/>
  <c r="B410" i="19"/>
  <c r="A410" i="19"/>
  <c r="E410" i="19"/>
  <c r="B411" i="19"/>
  <c r="A411" i="19"/>
  <c r="E411" i="19"/>
  <c r="B412" i="19"/>
  <c r="A412" i="19"/>
  <c r="E412" i="19"/>
  <c r="B413" i="19"/>
  <c r="A413" i="19"/>
  <c r="E413" i="19"/>
  <c r="B414" i="19"/>
  <c r="A414" i="19"/>
  <c r="E414" i="19"/>
  <c r="B415" i="19"/>
  <c r="A415" i="19"/>
  <c r="E415" i="19"/>
  <c r="B416" i="19"/>
  <c r="A416" i="19"/>
  <c r="E416" i="19"/>
  <c r="B417" i="19"/>
  <c r="A417" i="19"/>
  <c r="E417" i="19"/>
  <c r="B418" i="19"/>
  <c r="A418" i="19"/>
  <c r="E418" i="19"/>
  <c r="B419" i="19"/>
  <c r="A419" i="19"/>
  <c r="E419" i="19"/>
  <c r="B420" i="19"/>
  <c r="A420" i="19"/>
  <c r="E420" i="19"/>
  <c r="B421" i="19"/>
  <c r="A421" i="19"/>
  <c r="E421" i="19"/>
  <c r="E2" i="19"/>
  <c r="B109" i="18"/>
  <c r="J109" i="18"/>
  <c r="B110" i="18"/>
  <c r="J110" i="18"/>
  <c r="B111" i="18"/>
  <c r="J111" i="18"/>
  <c r="B112" i="18"/>
  <c r="J112" i="18"/>
  <c r="B113" i="18"/>
  <c r="J113" i="18"/>
  <c r="B114" i="18"/>
  <c r="J114" i="18"/>
  <c r="B115" i="18"/>
  <c r="J115" i="18"/>
  <c r="B116" i="18"/>
  <c r="J116" i="18"/>
  <c r="B117" i="18"/>
  <c r="J117" i="18"/>
  <c r="B118" i="18"/>
  <c r="J118" i="18"/>
  <c r="B119" i="18"/>
  <c r="J119" i="18"/>
  <c r="B120" i="18"/>
  <c r="J120" i="18"/>
  <c r="B121" i="18"/>
  <c r="J121" i="18"/>
  <c r="B122" i="18"/>
  <c r="J122" i="18"/>
  <c r="B123" i="18"/>
  <c r="J123" i="18"/>
  <c r="B124" i="18"/>
  <c r="J124" i="18"/>
  <c r="B125" i="18"/>
  <c r="J125" i="18"/>
  <c r="B126" i="18"/>
  <c r="J126" i="18"/>
  <c r="B127" i="18"/>
  <c r="J127" i="18"/>
  <c r="B128" i="18"/>
  <c r="J128" i="18"/>
  <c r="B129" i="18"/>
  <c r="J129" i="18"/>
  <c r="B130" i="18"/>
  <c r="J130" i="18"/>
  <c r="B131" i="18"/>
  <c r="J131" i="18"/>
  <c r="B132" i="18"/>
  <c r="J132" i="18"/>
  <c r="B133" i="18"/>
  <c r="J133" i="18"/>
  <c r="B134" i="18"/>
  <c r="J134" i="18"/>
  <c r="B135" i="18"/>
  <c r="J135" i="18"/>
  <c r="B136" i="18"/>
  <c r="J136" i="18"/>
  <c r="B137" i="18"/>
  <c r="J137" i="18"/>
  <c r="B138" i="18"/>
  <c r="J138" i="18"/>
  <c r="B139" i="18"/>
  <c r="J139" i="18"/>
  <c r="B140" i="18"/>
  <c r="J140" i="18"/>
  <c r="B141" i="18"/>
  <c r="J141" i="18"/>
  <c r="B142" i="18"/>
  <c r="J142" i="18"/>
  <c r="B143" i="18"/>
  <c r="J143" i="18"/>
  <c r="B144" i="18"/>
  <c r="J144" i="18"/>
  <c r="B145" i="18"/>
  <c r="J145" i="18"/>
  <c r="B146" i="18"/>
  <c r="J146" i="18"/>
  <c r="B147" i="18"/>
  <c r="J147" i="18"/>
  <c r="B148" i="18"/>
  <c r="J148" i="18"/>
  <c r="B149" i="18"/>
  <c r="J149" i="18"/>
  <c r="B150" i="18"/>
  <c r="J150" i="18"/>
  <c r="B151" i="18"/>
  <c r="J151" i="18"/>
  <c r="B152" i="18"/>
  <c r="J152" i="18"/>
  <c r="B153" i="18"/>
  <c r="J153" i="18"/>
  <c r="B154" i="18"/>
  <c r="J154" i="18"/>
  <c r="B155" i="18"/>
  <c r="J155" i="18"/>
  <c r="B156" i="18"/>
  <c r="J156" i="18"/>
  <c r="B157" i="18"/>
  <c r="J157" i="18"/>
  <c r="B158" i="18"/>
  <c r="J158" i="18"/>
  <c r="B159" i="18"/>
  <c r="J159" i="18"/>
  <c r="B160" i="18"/>
  <c r="J160" i="18"/>
  <c r="B161" i="18"/>
  <c r="J161" i="18"/>
  <c r="B162" i="18"/>
  <c r="J162" i="18"/>
  <c r="B163" i="18"/>
  <c r="J163" i="18"/>
  <c r="B164" i="18"/>
  <c r="J164" i="18"/>
  <c r="B165" i="18"/>
  <c r="J165" i="18"/>
  <c r="B166" i="18"/>
  <c r="J166" i="18"/>
  <c r="B167" i="18"/>
  <c r="J167" i="18"/>
  <c r="B168" i="18"/>
  <c r="J168" i="18"/>
  <c r="B169" i="18"/>
  <c r="J169" i="18"/>
  <c r="B170" i="18"/>
  <c r="J170" i="18"/>
  <c r="B171" i="18"/>
  <c r="J171" i="18"/>
  <c r="B172" i="18"/>
  <c r="J172" i="18"/>
  <c r="B173" i="18"/>
  <c r="J173" i="18"/>
  <c r="B174" i="18"/>
  <c r="J174" i="18"/>
  <c r="B175" i="18"/>
  <c r="J175" i="18"/>
  <c r="B176" i="18"/>
  <c r="J176" i="18"/>
  <c r="B177" i="18"/>
  <c r="J177" i="18"/>
  <c r="B178" i="18"/>
  <c r="J178" i="18"/>
  <c r="B179" i="18"/>
  <c r="J179" i="18"/>
  <c r="B180" i="18"/>
  <c r="J180" i="18"/>
  <c r="B181" i="18"/>
  <c r="J181" i="18"/>
  <c r="B182" i="18"/>
  <c r="J182" i="18"/>
  <c r="B183" i="18"/>
  <c r="J183" i="18"/>
  <c r="B184" i="18"/>
  <c r="J184" i="18"/>
  <c r="B185" i="18"/>
  <c r="J185" i="18"/>
  <c r="B186" i="18"/>
  <c r="J186" i="18"/>
  <c r="B187" i="18"/>
  <c r="J187" i="18"/>
  <c r="B188" i="18"/>
  <c r="J188" i="18"/>
  <c r="B189" i="18"/>
  <c r="J189" i="18"/>
  <c r="B190" i="18"/>
  <c r="J190" i="18"/>
  <c r="B191" i="18"/>
  <c r="J191" i="18"/>
  <c r="B192" i="18"/>
  <c r="J192" i="18"/>
  <c r="B193" i="18"/>
  <c r="J193" i="18"/>
  <c r="B194" i="18"/>
  <c r="J194" i="18"/>
  <c r="B195" i="18"/>
  <c r="J195" i="18"/>
  <c r="B196" i="18"/>
  <c r="J196" i="18"/>
  <c r="B197" i="18"/>
  <c r="J197" i="18"/>
  <c r="B198" i="18"/>
  <c r="J198" i="18"/>
  <c r="B199" i="18"/>
  <c r="J199" i="18"/>
  <c r="B200" i="18"/>
  <c r="J200" i="18"/>
  <c r="B201" i="18"/>
  <c r="J201" i="18"/>
  <c r="B202" i="18"/>
  <c r="J202" i="18"/>
  <c r="B203" i="18"/>
  <c r="J203" i="18"/>
  <c r="B204" i="18"/>
  <c r="J204" i="18"/>
  <c r="B205" i="18"/>
  <c r="J205" i="18"/>
  <c r="B206" i="18"/>
  <c r="J206" i="18"/>
  <c r="B207" i="18"/>
  <c r="J207" i="18"/>
  <c r="B208" i="18"/>
  <c r="J208" i="18"/>
  <c r="B209" i="18"/>
  <c r="J209" i="18"/>
  <c r="B210" i="18"/>
  <c r="J210" i="18"/>
  <c r="B211" i="18"/>
  <c r="J211" i="18"/>
  <c r="B212" i="18"/>
  <c r="J212" i="18"/>
  <c r="B213" i="18"/>
  <c r="J213" i="18"/>
  <c r="B214" i="18"/>
  <c r="J214" i="18"/>
  <c r="B215" i="18"/>
  <c r="J215" i="18"/>
  <c r="B216" i="18"/>
  <c r="J216" i="18"/>
  <c r="B217" i="18"/>
  <c r="J217" i="18"/>
  <c r="B218" i="18"/>
  <c r="J218" i="18"/>
  <c r="B219" i="18"/>
  <c r="J219" i="18"/>
  <c r="B220" i="18"/>
  <c r="J220" i="18"/>
  <c r="B221" i="18"/>
  <c r="J221" i="18"/>
  <c r="B222" i="18"/>
  <c r="J222" i="18"/>
  <c r="B223" i="18"/>
  <c r="J223" i="18"/>
  <c r="B224" i="18"/>
  <c r="J224" i="18"/>
  <c r="B225" i="18"/>
  <c r="J225" i="18"/>
  <c r="B226" i="18"/>
  <c r="J226" i="18"/>
  <c r="B227" i="18"/>
  <c r="J227" i="18"/>
  <c r="B228" i="18"/>
  <c r="J228" i="18"/>
  <c r="B229" i="18"/>
  <c r="J229" i="18"/>
  <c r="B230" i="18"/>
  <c r="J230" i="18"/>
  <c r="B231" i="18"/>
  <c r="J231" i="18"/>
  <c r="B232" i="18"/>
  <c r="J232" i="18"/>
  <c r="B233" i="18"/>
  <c r="J233" i="18"/>
  <c r="B234" i="18"/>
  <c r="J234" i="18"/>
  <c r="B235" i="18"/>
  <c r="J235" i="18"/>
  <c r="B236" i="18"/>
  <c r="J236" i="18"/>
  <c r="B237" i="18"/>
  <c r="J237" i="18"/>
  <c r="B238" i="18"/>
  <c r="J238" i="18"/>
  <c r="B239" i="18"/>
  <c r="J239" i="18"/>
  <c r="B240" i="18"/>
  <c r="J240" i="18"/>
  <c r="B241" i="18"/>
  <c r="J241" i="18"/>
  <c r="B242" i="18"/>
  <c r="J242" i="18"/>
  <c r="B243" i="18"/>
  <c r="J243" i="18"/>
  <c r="B244" i="18"/>
  <c r="J244" i="18"/>
  <c r="B245" i="18"/>
  <c r="J245" i="18"/>
  <c r="B246" i="18"/>
  <c r="J246" i="18"/>
  <c r="B247" i="18"/>
  <c r="J247" i="18"/>
  <c r="B248" i="18"/>
  <c r="J248" i="18"/>
  <c r="B249" i="18"/>
  <c r="J249" i="18"/>
  <c r="B250" i="18"/>
  <c r="J250" i="18"/>
  <c r="B251" i="18"/>
  <c r="J251" i="18"/>
  <c r="B252" i="18"/>
  <c r="J252" i="18"/>
  <c r="B253" i="18"/>
  <c r="J253" i="18"/>
  <c r="B99" i="18"/>
  <c r="A99" i="18"/>
  <c r="B100" i="18"/>
  <c r="A100" i="18"/>
  <c r="B101" i="18"/>
  <c r="A101" i="18"/>
  <c r="B102" i="18"/>
  <c r="A102" i="18"/>
  <c r="B103" i="18"/>
  <c r="A103" i="18"/>
  <c r="B104" i="18"/>
  <c r="A104" i="18"/>
  <c r="B105" i="18"/>
  <c r="A105" i="18"/>
  <c r="B106" i="18"/>
  <c r="A106" i="18"/>
  <c r="B107" i="18"/>
  <c r="A107" i="18"/>
  <c r="B108" i="18"/>
  <c r="A108" i="18"/>
  <c r="A109" i="18"/>
  <c r="A110" i="18"/>
  <c r="A111" i="18"/>
  <c r="A112" i="18"/>
  <c r="A113" i="18"/>
  <c r="A114" i="18"/>
  <c r="A115" i="18"/>
  <c r="A116" i="18"/>
  <c r="A117" i="18"/>
  <c r="A118" i="18"/>
  <c r="A119" i="18"/>
  <c r="A120" i="18"/>
  <c r="A121" i="18"/>
  <c r="A122" i="18"/>
  <c r="A123" i="18"/>
  <c r="A124" i="18"/>
  <c r="A125" i="18"/>
  <c r="A126" i="18"/>
  <c r="A127" i="18"/>
  <c r="A128" i="18"/>
  <c r="A129" i="18"/>
  <c r="A130" i="18"/>
  <c r="A131" i="18"/>
  <c r="A132" i="18"/>
  <c r="A133" i="18"/>
  <c r="A134" i="18"/>
  <c r="A135" i="18"/>
  <c r="A136" i="18"/>
  <c r="A137" i="18"/>
  <c r="A138" i="18"/>
  <c r="A139" i="18"/>
  <c r="A140" i="18"/>
  <c r="A141" i="18"/>
  <c r="A142" i="18"/>
  <c r="A143" i="18"/>
  <c r="A144" i="18"/>
  <c r="A145" i="18"/>
  <c r="A146" i="18"/>
  <c r="A147" i="18"/>
  <c r="A148" i="18"/>
  <c r="A149" i="18"/>
  <c r="A150" i="18"/>
  <c r="A151" i="18"/>
  <c r="A152" i="18"/>
  <c r="A153" i="18"/>
  <c r="A154" i="18"/>
  <c r="A155" i="18"/>
  <c r="A156" i="18"/>
  <c r="A157" i="18"/>
  <c r="A158" i="18"/>
  <c r="A159" i="18"/>
  <c r="A160" i="18"/>
  <c r="A161" i="18"/>
  <c r="A162" i="18"/>
  <c r="A163" i="18"/>
  <c r="A164" i="18"/>
  <c r="A165" i="18"/>
  <c r="A166" i="18"/>
  <c r="A167" i="18"/>
  <c r="A168" i="18"/>
  <c r="A169" i="18"/>
  <c r="A170" i="18"/>
  <c r="A171" i="18"/>
  <c r="A172" i="18"/>
  <c r="A173" i="18"/>
  <c r="A174" i="18"/>
  <c r="A175" i="18"/>
  <c r="A176" i="18"/>
  <c r="A177" i="18"/>
  <c r="A178" i="18"/>
  <c r="A179" i="18"/>
  <c r="A180" i="18"/>
  <c r="A181" i="18"/>
  <c r="A182" i="18"/>
  <c r="A183" i="18"/>
  <c r="A184" i="18"/>
  <c r="A185" i="18"/>
  <c r="A186" i="18"/>
  <c r="A187" i="18"/>
  <c r="A188" i="18"/>
  <c r="A189" i="18"/>
  <c r="A190" i="18"/>
  <c r="A191" i="18"/>
  <c r="A192" i="18"/>
  <c r="A193" i="18"/>
  <c r="A194" i="18"/>
  <c r="A195" i="18"/>
  <c r="A196" i="18"/>
  <c r="A197" i="18"/>
  <c r="A198" i="18"/>
  <c r="A199" i="18"/>
  <c r="A200" i="18"/>
  <c r="A201" i="18"/>
  <c r="A202" i="18"/>
  <c r="A203" i="18"/>
  <c r="A204" i="18"/>
  <c r="A205" i="18"/>
  <c r="A206" i="18"/>
  <c r="A207" i="18"/>
  <c r="A208" i="18"/>
  <c r="A209" i="18"/>
  <c r="A210" i="18"/>
  <c r="A211" i="18"/>
  <c r="A212" i="18"/>
  <c r="A213" i="18"/>
  <c r="A214" i="18"/>
  <c r="A215" i="18"/>
  <c r="A216" i="18"/>
  <c r="A217" i="18"/>
  <c r="A218" i="18"/>
  <c r="A219" i="18"/>
  <c r="A220" i="18"/>
  <c r="A221" i="18"/>
  <c r="A222" i="18"/>
  <c r="A223" i="18"/>
  <c r="A224" i="18"/>
  <c r="A225" i="18"/>
  <c r="A226" i="18"/>
  <c r="A227" i="18"/>
  <c r="A228" i="18"/>
  <c r="A229" i="18"/>
  <c r="A230" i="18"/>
  <c r="A231" i="18"/>
  <c r="A232" i="18"/>
  <c r="A233" i="18"/>
  <c r="A234" i="18"/>
  <c r="A235" i="18"/>
  <c r="A236" i="18"/>
  <c r="A237" i="18"/>
  <c r="A238" i="18"/>
  <c r="A239" i="18"/>
  <c r="A240" i="18"/>
  <c r="A241" i="18"/>
  <c r="A242" i="18"/>
  <c r="A243" i="18"/>
  <c r="A244" i="18"/>
  <c r="A245" i="18"/>
  <c r="A246" i="18"/>
  <c r="A247" i="18"/>
  <c r="A248" i="18"/>
  <c r="A249" i="18"/>
  <c r="A250" i="18"/>
  <c r="A251" i="18"/>
  <c r="A252" i="18"/>
  <c r="A253" i="18"/>
  <c r="B20" i="18"/>
  <c r="A20" i="18"/>
  <c r="B21" i="18"/>
  <c r="A21" i="18"/>
  <c r="B22" i="18"/>
  <c r="A22" i="18"/>
  <c r="B23" i="18"/>
  <c r="A23" i="18"/>
  <c r="B24" i="18"/>
  <c r="A24" i="18"/>
  <c r="B25" i="18"/>
  <c r="A25" i="18"/>
  <c r="B26" i="18"/>
  <c r="A26" i="18"/>
  <c r="B27" i="18"/>
  <c r="A27" i="18"/>
  <c r="B28" i="18"/>
  <c r="A28" i="18"/>
  <c r="B29" i="18"/>
  <c r="A29" i="18"/>
  <c r="B30" i="18"/>
  <c r="A30" i="18"/>
  <c r="B31" i="18"/>
  <c r="A31" i="18"/>
  <c r="B32" i="18"/>
  <c r="A32" i="18"/>
  <c r="B33" i="18"/>
  <c r="A33" i="18"/>
  <c r="B34" i="18"/>
  <c r="A34" i="18"/>
  <c r="B35" i="18"/>
  <c r="A35" i="18"/>
  <c r="B36" i="18"/>
  <c r="A36" i="18"/>
  <c r="B37" i="18"/>
  <c r="A37" i="18"/>
  <c r="B38" i="18"/>
  <c r="A38" i="18"/>
  <c r="B39" i="18"/>
  <c r="A39" i="18"/>
  <c r="B40" i="18"/>
  <c r="A40" i="18"/>
  <c r="B41" i="18"/>
  <c r="A41" i="18"/>
  <c r="B42" i="18"/>
  <c r="A42" i="18"/>
  <c r="B43" i="18"/>
  <c r="A43" i="18"/>
  <c r="B44" i="18"/>
  <c r="A44" i="18"/>
  <c r="B45" i="18"/>
  <c r="A45" i="18"/>
  <c r="B46" i="18"/>
  <c r="A46" i="18"/>
  <c r="B47" i="18"/>
  <c r="A47" i="18"/>
  <c r="B48" i="18"/>
  <c r="A48" i="18"/>
  <c r="B49" i="18"/>
  <c r="A49" i="18"/>
  <c r="B50" i="18"/>
  <c r="A50" i="18"/>
  <c r="B51" i="18"/>
  <c r="A51" i="18"/>
  <c r="B52" i="18"/>
  <c r="A52" i="18"/>
  <c r="B53" i="18"/>
  <c r="A53" i="18"/>
  <c r="B54" i="18"/>
  <c r="A54" i="18"/>
  <c r="B55" i="18"/>
  <c r="A55" i="18"/>
  <c r="B56" i="18"/>
  <c r="A56" i="18"/>
  <c r="B57" i="18"/>
  <c r="A57" i="18"/>
  <c r="B58" i="18"/>
  <c r="A58" i="18"/>
  <c r="B59" i="18"/>
  <c r="A59" i="18"/>
  <c r="B60" i="18"/>
  <c r="A60" i="18"/>
  <c r="B61" i="18"/>
  <c r="A61" i="18"/>
  <c r="B62" i="18"/>
  <c r="A62" i="18"/>
  <c r="B63" i="18"/>
  <c r="A63" i="18"/>
  <c r="B64" i="18"/>
  <c r="A64" i="18"/>
  <c r="B65" i="18"/>
  <c r="A65" i="18"/>
  <c r="B66" i="18"/>
  <c r="A66" i="18"/>
  <c r="B67" i="18"/>
  <c r="A67" i="18"/>
  <c r="B68" i="18"/>
  <c r="A68" i="18"/>
  <c r="B69" i="18"/>
  <c r="A69" i="18"/>
  <c r="B70" i="18"/>
  <c r="A70" i="18"/>
  <c r="B71" i="18"/>
  <c r="A71" i="18"/>
  <c r="B72" i="18"/>
  <c r="A72" i="18"/>
  <c r="B73" i="18"/>
  <c r="A73" i="18"/>
  <c r="B74" i="18"/>
  <c r="A74" i="18"/>
  <c r="B75" i="18"/>
  <c r="A75" i="18"/>
  <c r="B76" i="18"/>
  <c r="A76" i="18"/>
  <c r="B77" i="18"/>
  <c r="A77" i="18"/>
  <c r="B78" i="18"/>
  <c r="A78" i="18"/>
  <c r="B79" i="18"/>
  <c r="A79" i="18"/>
  <c r="B80" i="18"/>
  <c r="A80" i="18"/>
  <c r="B81" i="18"/>
  <c r="A81" i="18"/>
  <c r="B82" i="18"/>
  <c r="A82" i="18"/>
  <c r="B83" i="18"/>
  <c r="A83" i="18"/>
  <c r="B84" i="18"/>
  <c r="A84" i="18"/>
  <c r="B85" i="18"/>
  <c r="A85" i="18"/>
  <c r="B86" i="18"/>
  <c r="A86" i="18"/>
  <c r="B87" i="18"/>
  <c r="A87" i="18"/>
  <c r="B88" i="18"/>
  <c r="A88" i="18"/>
  <c r="B89" i="18"/>
  <c r="A89" i="18"/>
  <c r="B90" i="18"/>
  <c r="A90" i="18"/>
  <c r="B91" i="18"/>
  <c r="A91" i="18"/>
  <c r="B92" i="18"/>
  <c r="A92" i="18"/>
  <c r="B93" i="18"/>
  <c r="A93" i="18"/>
  <c r="B94" i="18"/>
  <c r="A94" i="18"/>
  <c r="B95" i="18"/>
  <c r="A95" i="18"/>
  <c r="B96" i="18"/>
  <c r="A96" i="18"/>
  <c r="B97" i="18"/>
  <c r="A97" i="18"/>
  <c r="B98" i="18"/>
  <c r="A98" i="18"/>
  <c r="B15" i="18"/>
  <c r="J15" i="18"/>
  <c r="B16" i="18"/>
  <c r="J16" i="18"/>
  <c r="B17" i="18"/>
  <c r="J17" i="18"/>
  <c r="B18" i="18"/>
  <c r="J18" i="18"/>
  <c r="B19"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B3" i="18"/>
  <c r="A3" i="18"/>
  <c r="H24" i="22"/>
  <c r="D24" i="22"/>
  <c r="B24" i="22"/>
  <c r="C24" i="22"/>
  <c r="B4" i="18"/>
  <c r="A4" i="18"/>
  <c r="B5" i="18"/>
  <c r="A5" i="18"/>
  <c r="B6" i="18"/>
  <c r="A6" i="18"/>
  <c r="B7" i="18"/>
  <c r="A7" i="18"/>
  <c r="B8" i="18"/>
  <c r="A8" i="18"/>
  <c r="B9" i="18"/>
  <c r="A9" i="18"/>
  <c r="B10" i="18"/>
  <c r="A10" i="18"/>
  <c r="B11" i="18"/>
  <c r="A11" i="18"/>
  <c r="B12" i="18"/>
  <c r="A12" i="18"/>
  <c r="B13" i="18"/>
  <c r="A13" i="18"/>
  <c r="B14" i="18"/>
  <c r="A14" i="18"/>
  <c r="A15" i="18"/>
  <c r="A16" i="18"/>
  <c r="A17" i="18"/>
  <c r="A18" i="18"/>
  <c r="A19" i="18"/>
  <c r="B2" i="18"/>
  <c r="A2" i="18"/>
  <c r="J3" i="18"/>
  <c r="J4" i="18"/>
  <c r="J5" i="18"/>
  <c r="J6" i="18"/>
  <c r="J7" i="18"/>
  <c r="J8" i="18"/>
  <c r="J9" i="18"/>
  <c r="J10" i="18"/>
  <c r="J11" i="18"/>
  <c r="J12" i="18"/>
  <c r="J13" i="18"/>
  <c r="J14" i="18"/>
  <c r="J2" i="18"/>
  <c r="E24" i="22"/>
  <c r="F24" i="22"/>
  <c r="G24" i="22"/>
  <c r="I24" i="22"/>
  <c r="J24" i="22"/>
  <c r="K24" i="22"/>
  <c r="L24" i="22"/>
  <c r="M24" i="22"/>
  <c r="N24" i="22"/>
  <c r="O24" i="22"/>
  <c r="D4" i="17"/>
  <c r="F4" i="17" s="1"/>
  <c r="I4" i="17" s="1"/>
  <c r="H4" i="18"/>
  <c r="D5" i="17"/>
  <c r="F5" i="17" s="1"/>
  <c r="I5" i="17" s="1"/>
  <c r="H5" i="18"/>
  <c r="D6" i="17"/>
  <c r="F6" i="17" s="1"/>
  <c r="I6" i="17" s="1"/>
  <c r="H6" i="18"/>
  <c r="D7" i="17"/>
  <c r="F7" i="17" s="1"/>
  <c r="I7" i="17" s="1"/>
  <c r="H7" i="18"/>
  <c r="D8" i="17"/>
  <c r="F8" i="17" s="1"/>
  <c r="I8" i="17" s="1"/>
  <c r="H8" i="18"/>
  <c r="D9" i="17"/>
  <c r="F9" i="17" s="1"/>
  <c r="I9" i="17" s="1"/>
  <c r="H9" i="18"/>
  <c r="D10" i="17"/>
  <c r="F10" i="17" s="1"/>
  <c r="I10" i="17" s="1"/>
  <c r="H10" i="18"/>
  <c r="D11" i="17"/>
  <c r="F11" i="17" s="1"/>
  <c r="I11" i="17" s="1"/>
  <c r="H11" i="18"/>
  <c r="D12" i="17"/>
  <c r="F12" i="17" s="1"/>
  <c r="I12" i="17" s="1"/>
  <c r="H12" i="18"/>
  <c r="D13" i="17"/>
  <c r="F13" i="17" s="1"/>
  <c r="I13" i="17" s="1"/>
  <c r="H13" i="18"/>
  <c r="D14" i="17"/>
  <c r="F14" i="17" s="1"/>
  <c r="I14" i="17" s="1"/>
  <c r="H14" i="18"/>
  <c r="D15" i="17"/>
  <c r="F15" i="17" s="1"/>
  <c r="I15" i="17" s="1"/>
  <c r="H15" i="18"/>
  <c r="D16" i="17"/>
  <c r="F16" i="17" s="1"/>
  <c r="I16" i="17" s="1"/>
  <c r="H16" i="18"/>
  <c r="D17" i="17"/>
  <c r="F17" i="17" s="1"/>
  <c r="I17" i="17" s="1"/>
  <c r="H17" i="18"/>
  <c r="D18" i="17"/>
  <c r="F18" i="17" s="1"/>
  <c r="I18" i="17" s="1"/>
  <c r="H18" i="18"/>
  <c r="D19" i="17"/>
  <c r="F19" i="17" s="1"/>
  <c r="I19" i="17" s="1"/>
  <c r="H19" i="18"/>
  <c r="D20" i="17"/>
  <c r="F20" i="17" s="1"/>
  <c r="I20" i="17" s="1"/>
  <c r="H20" i="18"/>
  <c r="D21" i="17"/>
  <c r="F21" i="17" s="1"/>
  <c r="I21" i="17" s="1"/>
  <c r="H21" i="18"/>
  <c r="D22" i="17"/>
  <c r="F22" i="17" s="1"/>
  <c r="I22" i="17" s="1"/>
  <c r="H22" i="18"/>
  <c r="D23" i="17"/>
  <c r="F23" i="17" s="1"/>
  <c r="I23" i="17" s="1"/>
  <c r="H23" i="18"/>
  <c r="D24" i="17"/>
  <c r="F24" i="17" s="1"/>
  <c r="I24" i="17" s="1"/>
  <c r="H24" i="18"/>
  <c r="D25" i="17"/>
  <c r="F25" i="17" s="1"/>
  <c r="I25" i="17" s="1"/>
  <c r="H25" i="18"/>
  <c r="D26" i="17"/>
  <c r="F26" i="17" s="1"/>
  <c r="I26" i="17" s="1"/>
  <c r="H26" i="18"/>
  <c r="D27" i="17"/>
  <c r="F27" i="17" s="1"/>
  <c r="I27" i="17" s="1"/>
  <c r="H27" i="18"/>
  <c r="D28" i="17"/>
  <c r="F28" i="17" s="1"/>
  <c r="I28" i="17" s="1"/>
  <c r="H28" i="18"/>
  <c r="D29" i="17"/>
  <c r="F29" i="17" s="1"/>
  <c r="I29" i="17" s="1"/>
  <c r="H29" i="18"/>
  <c r="D30" i="17"/>
  <c r="F30" i="17" s="1"/>
  <c r="I30" i="17" s="1"/>
  <c r="H30" i="18"/>
  <c r="D31" i="17"/>
  <c r="F31" i="17" s="1"/>
  <c r="I31" i="17" s="1"/>
  <c r="H31" i="18"/>
  <c r="D32" i="17"/>
  <c r="F32" i="17" s="1"/>
  <c r="I32" i="17" s="1"/>
  <c r="H32" i="18"/>
  <c r="D33" i="17"/>
  <c r="F33" i="17" s="1"/>
  <c r="I33" i="17" s="1"/>
  <c r="H33" i="18"/>
  <c r="D34" i="17"/>
  <c r="F34" i="17" s="1"/>
  <c r="I34" i="17" s="1"/>
  <c r="H34" i="18"/>
  <c r="D35" i="17"/>
  <c r="F35" i="17" s="1"/>
  <c r="I35" i="17" s="1"/>
  <c r="H35" i="18"/>
  <c r="D36" i="17"/>
  <c r="F36" i="17" s="1"/>
  <c r="I36" i="17" s="1"/>
  <c r="H36" i="18"/>
  <c r="D37" i="17"/>
  <c r="F37" i="17" s="1"/>
  <c r="I37" i="17" s="1"/>
  <c r="D38" i="17"/>
  <c r="F38" i="17" s="1"/>
  <c r="I38" i="17" s="1"/>
  <c r="H37" i="18"/>
  <c r="D39" i="17"/>
  <c r="F39" i="17" s="1"/>
  <c r="I39" i="17" s="1"/>
  <c r="H38" i="18"/>
  <c r="D40" i="17"/>
  <c r="F40" i="17" s="1"/>
  <c r="I40" i="17" s="1"/>
  <c r="H39" i="18"/>
  <c r="D41" i="17"/>
  <c r="F41" i="17" s="1"/>
  <c r="I41" i="17" s="1"/>
  <c r="H40" i="18"/>
  <c r="D42" i="17"/>
  <c r="F42" i="17" s="1"/>
  <c r="I42" i="17" s="1"/>
  <c r="H41" i="18"/>
  <c r="D43" i="17"/>
  <c r="F43" i="17" s="1"/>
  <c r="I43" i="17" s="1"/>
  <c r="H42" i="18"/>
  <c r="D44" i="17"/>
  <c r="F44" i="17" s="1"/>
  <c r="I44" i="17" s="1"/>
  <c r="H43" i="18"/>
  <c r="D45" i="17"/>
  <c r="F45" i="17" s="1"/>
  <c r="I45" i="17" s="1"/>
  <c r="H44" i="18"/>
  <c r="D46" i="17"/>
  <c r="F46" i="17" s="1"/>
  <c r="I46" i="17" s="1"/>
  <c r="H45" i="18"/>
  <c r="D47" i="17"/>
  <c r="F47" i="17" s="1"/>
  <c r="I47" i="17" s="1"/>
  <c r="H46" i="18"/>
  <c r="D48" i="17"/>
  <c r="F48" i="17" s="1"/>
  <c r="I48" i="17" s="1"/>
  <c r="H47" i="18"/>
  <c r="D49" i="17"/>
  <c r="F49" i="17" s="1"/>
  <c r="I49" i="17" s="1"/>
  <c r="H48" i="18"/>
  <c r="D50" i="17"/>
  <c r="F50" i="17" s="1"/>
  <c r="I50" i="17" s="1"/>
  <c r="H49" i="18"/>
  <c r="D51" i="17"/>
  <c r="F51" i="17" s="1"/>
  <c r="I51" i="17" s="1"/>
  <c r="H50" i="18"/>
  <c r="D52" i="17"/>
  <c r="F52" i="17" s="1"/>
  <c r="I52" i="17" s="1"/>
  <c r="H51" i="18"/>
  <c r="D53" i="17"/>
  <c r="F53" i="17" s="1"/>
  <c r="I53" i="17" s="1"/>
  <c r="H52" i="18"/>
  <c r="D54" i="17"/>
  <c r="F54" i="17" s="1"/>
  <c r="I54" i="17" s="1"/>
  <c r="H53" i="18"/>
  <c r="D55" i="17"/>
  <c r="F55" i="17" s="1"/>
  <c r="I55" i="17" s="1"/>
  <c r="H54" i="18"/>
  <c r="D56" i="17"/>
  <c r="F56" i="17" s="1"/>
  <c r="I56" i="17" s="1"/>
  <c r="H55" i="18"/>
  <c r="D57" i="17"/>
  <c r="F57" i="17" s="1"/>
  <c r="I57" i="17" s="1"/>
  <c r="H56" i="18"/>
  <c r="D58" i="17"/>
  <c r="F58" i="17" s="1"/>
  <c r="I58" i="17" s="1"/>
  <c r="H57" i="18"/>
  <c r="D59" i="17"/>
  <c r="F59" i="17" s="1"/>
  <c r="I59" i="17" s="1"/>
  <c r="H58" i="18"/>
  <c r="D60" i="17"/>
  <c r="F60" i="17" s="1"/>
  <c r="I60" i="17" s="1"/>
  <c r="H59" i="18"/>
  <c r="D61" i="17"/>
  <c r="F61" i="17" s="1"/>
  <c r="I61" i="17" s="1"/>
  <c r="H60" i="18"/>
  <c r="D62" i="17"/>
  <c r="F62" i="17" s="1"/>
  <c r="I62" i="17" s="1"/>
  <c r="H61" i="18"/>
  <c r="D63" i="17"/>
  <c r="F63" i="17" s="1"/>
  <c r="I63" i="17" s="1"/>
  <c r="H62" i="18"/>
  <c r="D64" i="17"/>
  <c r="F64" i="17" s="1"/>
  <c r="I64" i="17" s="1"/>
  <c r="H63" i="18"/>
  <c r="D65" i="17"/>
  <c r="F65" i="17" s="1"/>
  <c r="I65" i="17" s="1"/>
  <c r="H64" i="18"/>
  <c r="D66" i="17"/>
  <c r="F66" i="17" s="1"/>
  <c r="I66" i="17" s="1"/>
  <c r="H65" i="18"/>
  <c r="D67" i="17"/>
  <c r="F67" i="17" s="1"/>
  <c r="I67" i="17" s="1"/>
  <c r="H66" i="18"/>
  <c r="D68" i="17"/>
  <c r="F68" i="17" s="1"/>
  <c r="I68" i="17" s="1"/>
  <c r="H67" i="18"/>
  <c r="D69" i="17"/>
  <c r="F69" i="17" s="1"/>
  <c r="I69" i="17" s="1"/>
  <c r="H68" i="18"/>
  <c r="D70" i="17"/>
  <c r="F70" i="17" s="1"/>
  <c r="I70" i="17" s="1"/>
  <c r="H69" i="18"/>
  <c r="D71" i="17"/>
  <c r="F71" i="17" s="1"/>
  <c r="I71" i="17" s="1"/>
  <c r="H70" i="18"/>
  <c r="D72" i="17"/>
  <c r="F72" i="17" s="1"/>
  <c r="I72" i="17" s="1"/>
  <c r="H71" i="18"/>
  <c r="D73" i="17"/>
  <c r="F73" i="17" s="1"/>
  <c r="I73" i="17" s="1"/>
  <c r="H72" i="18"/>
  <c r="D74" i="17"/>
  <c r="F74" i="17" s="1"/>
  <c r="I74" i="17" s="1"/>
  <c r="H73" i="18"/>
  <c r="D75" i="17"/>
  <c r="F75" i="17" s="1"/>
  <c r="I75" i="17" s="1"/>
  <c r="H74" i="18"/>
  <c r="D76" i="17"/>
  <c r="F76" i="17" s="1"/>
  <c r="I76" i="17" s="1"/>
  <c r="H75" i="18"/>
  <c r="D77" i="17"/>
  <c r="F77" i="17" s="1"/>
  <c r="I77" i="17" s="1"/>
  <c r="H76" i="18"/>
  <c r="D78" i="17"/>
  <c r="F78" i="17" s="1"/>
  <c r="I78" i="17" s="1"/>
  <c r="H77" i="18"/>
  <c r="D79" i="17"/>
  <c r="F79" i="17" s="1"/>
  <c r="I79" i="17" s="1"/>
  <c r="H78" i="18"/>
  <c r="D80" i="17"/>
  <c r="F80" i="17" s="1"/>
  <c r="I80" i="17" s="1"/>
  <c r="H79" i="18"/>
  <c r="D81" i="17"/>
  <c r="F81" i="17" s="1"/>
  <c r="I81" i="17" s="1"/>
  <c r="H80" i="18"/>
  <c r="D82" i="17"/>
  <c r="F82" i="17" s="1"/>
  <c r="I82" i="17" s="1"/>
  <c r="H81" i="18"/>
  <c r="D83" i="17"/>
  <c r="F83" i="17" s="1"/>
  <c r="I83" i="17" s="1"/>
  <c r="H82" i="18"/>
  <c r="D84" i="17"/>
  <c r="F84" i="17" s="1"/>
  <c r="I84" i="17" s="1"/>
  <c r="H83" i="18"/>
  <c r="D85" i="17"/>
  <c r="F85" i="17" s="1"/>
  <c r="I85" i="17" s="1"/>
  <c r="H84" i="18"/>
  <c r="D86" i="17"/>
  <c r="F86" i="17" s="1"/>
  <c r="I86" i="17" s="1"/>
  <c r="H85" i="18"/>
  <c r="D87" i="17"/>
  <c r="F87" i="17" s="1"/>
  <c r="I87" i="17" s="1"/>
  <c r="H86" i="18"/>
  <c r="D88" i="17"/>
  <c r="F88" i="17" s="1"/>
  <c r="I88" i="17" s="1"/>
  <c r="H87" i="18"/>
  <c r="D89" i="17"/>
  <c r="F89" i="17" s="1"/>
  <c r="I89" i="17" s="1"/>
  <c r="H88" i="18"/>
  <c r="D90" i="17"/>
  <c r="F90" i="17" s="1"/>
  <c r="I90" i="17" s="1"/>
  <c r="H89" i="18"/>
  <c r="D91" i="17"/>
  <c r="F91" i="17" s="1"/>
  <c r="I91" i="17" s="1"/>
  <c r="H90" i="18"/>
  <c r="D92" i="17"/>
  <c r="F92" i="17" s="1"/>
  <c r="I92" i="17" s="1"/>
  <c r="H91" i="18"/>
  <c r="D93" i="17"/>
  <c r="F93" i="17" s="1"/>
  <c r="I93" i="17" s="1"/>
  <c r="H92" i="18"/>
  <c r="D94" i="17"/>
  <c r="F94" i="17" s="1"/>
  <c r="I94" i="17" s="1"/>
  <c r="H93" i="18"/>
  <c r="D95" i="17"/>
  <c r="F95" i="17" s="1"/>
  <c r="I95" i="17" s="1"/>
  <c r="H94" i="18"/>
  <c r="D96" i="17"/>
  <c r="F96" i="17" s="1"/>
  <c r="I96" i="17" s="1"/>
  <c r="H95" i="18"/>
  <c r="D97" i="17"/>
  <c r="F97" i="17" s="1"/>
  <c r="I97" i="17" s="1"/>
  <c r="H96" i="18"/>
  <c r="D98" i="17"/>
  <c r="F98" i="17" s="1"/>
  <c r="I98" i="17" s="1"/>
  <c r="H97" i="18"/>
  <c r="D99" i="17"/>
  <c r="F99" i="17" s="1"/>
  <c r="I99" i="17" s="1"/>
  <c r="H98" i="18"/>
  <c r="D100" i="17"/>
  <c r="F100" i="17" s="1"/>
  <c r="I100" i="17" s="1"/>
  <c r="H99" i="18"/>
  <c r="D101" i="17"/>
  <c r="F101" i="17" s="1"/>
  <c r="I101" i="17" s="1"/>
  <c r="H100" i="18"/>
  <c r="D102" i="17"/>
  <c r="F102" i="17" s="1"/>
  <c r="I102" i="17" s="1"/>
  <c r="H101" i="18"/>
  <c r="D103" i="17"/>
  <c r="F103" i="17" s="1"/>
  <c r="I103" i="17" s="1"/>
  <c r="H102" i="18"/>
  <c r="D104" i="17"/>
  <c r="F104" i="17" s="1"/>
  <c r="I104" i="17" s="1"/>
  <c r="H103" i="18"/>
  <c r="D105" i="17"/>
  <c r="F105" i="17" s="1"/>
  <c r="I105" i="17" s="1"/>
  <c r="H104" i="18"/>
  <c r="D106" i="17"/>
  <c r="F106" i="17" s="1"/>
  <c r="I106" i="17" s="1"/>
  <c r="H105" i="18"/>
  <c r="D107" i="17"/>
  <c r="F107" i="17" s="1"/>
  <c r="I107" i="17" s="1"/>
  <c r="H106" i="18"/>
  <c r="D108" i="17"/>
  <c r="F108" i="17" s="1"/>
  <c r="I108" i="17" s="1"/>
  <c r="H107" i="18"/>
  <c r="D109" i="17"/>
  <c r="F109" i="17" s="1"/>
  <c r="I109" i="17" s="1"/>
  <c r="H108" i="18"/>
  <c r="D110" i="17"/>
  <c r="F110" i="17" s="1"/>
  <c r="I110" i="17" s="1"/>
  <c r="H109" i="18"/>
  <c r="D111" i="17"/>
  <c r="F111" i="17" s="1"/>
  <c r="I111" i="17" s="1"/>
  <c r="H110" i="18"/>
  <c r="D112" i="17"/>
  <c r="F112" i="17" s="1"/>
  <c r="I112" i="17" s="1"/>
  <c r="H111" i="18"/>
  <c r="D113" i="17"/>
  <c r="F113" i="17" s="1"/>
  <c r="I113" i="17" s="1"/>
  <c r="H112" i="18"/>
  <c r="D114" i="17"/>
  <c r="F114" i="17" s="1"/>
  <c r="I114" i="17" s="1"/>
  <c r="H113" i="18"/>
  <c r="D115" i="17"/>
  <c r="F115" i="17" s="1"/>
  <c r="I115" i="17" s="1"/>
  <c r="H114" i="18"/>
  <c r="D116" i="17"/>
  <c r="F116" i="17" s="1"/>
  <c r="I116" i="17" s="1"/>
  <c r="H115" i="18"/>
  <c r="D117" i="17"/>
  <c r="F117" i="17" s="1"/>
  <c r="I117" i="17" s="1"/>
  <c r="H116" i="18"/>
  <c r="D118" i="17"/>
  <c r="F118" i="17" s="1"/>
  <c r="I118" i="17" s="1"/>
  <c r="H117" i="18"/>
  <c r="D119" i="17"/>
  <c r="F119" i="17" s="1"/>
  <c r="I119" i="17" s="1"/>
  <c r="H118" i="18"/>
  <c r="D120" i="17"/>
  <c r="F120" i="17" s="1"/>
  <c r="I120" i="17" s="1"/>
  <c r="H119" i="18"/>
  <c r="D121" i="17"/>
  <c r="F121" i="17" s="1"/>
  <c r="I121" i="17" s="1"/>
  <c r="H120" i="18"/>
  <c r="D122" i="17"/>
  <c r="F122" i="17" s="1"/>
  <c r="I122" i="17" s="1"/>
  <c r="D123" i="17"/>
  <c r="F123" i="17" s="1"/>
  <c r="I123" i="17" s="1"/>
  <c r="H121" i="18"/>
  <c r="D124" i="17"/>
  <c r="F124" i="17" s="1"/>
  <c r="I124" i="17" s="1"/>
  <c r="H122" i="18"/>
  <c r="D125" i="17"/>
  <c r="F125" i="17" s="1"/>
  <c r="I125" i="17" s="1"/>
  <c r="H123" i="18"/>
  <c r="D126" i="17"/>
  <c r="F126" i="17" s="1"/>
  <c r="I126" i="17" s="1"/>
  <c r="H124" i="18"/>
  <c r="D127" i="17"/>
  <c r="F127" i="17" s="1"/>
  <c r="I127" i="17" s="1"/>
  <c r="H125" i="18"/>
  <c r="D128" i="17"/>
  <c r="F128" i="17" s="1"/>
  <c r="I128" i="17" s="1"/>
  <c r="H126" i="18"/>
  <c r="D129" i="17"/>
  <c r="F129" i="17" s="1"/>
  <c r="I129" i="17" s="1"/>
  <c r="H127" i="18"/>
  <c r="D130" i="17"/>
  <c r="F130" i="17" s="1"/>
  <c r="I130" i="17" s="1"/>
  <c r="H128" i="18"/>
  <c r="D131" i="17"/>
  <c r="F131" i="17" s="1"/>
  <c r="I131" i="17" s="1"/>
  <c r="H129" i="18"/>
  <c r="D132" i="17"/>
  <c r="F132" i="17" s="1"/>
  <c r="I132" i="17" s="1"/>
  <c r="H130" i="18"/>
  <c r="D133" i="17"/>
  <c r="F133" i="17" s="1"/>
  <c r="I133" i="17" s="1"/>
  <c r="H131" i="18"/>
  <c r="D134" i="17"/>
  <c r="F134" i="17" s="1"/>
  <c r="I134" i="17" s="1"/>
  <c r="H132" i="18"/>
  <c r="D135" i="17"/>
  <c r="F135" i="17" s="1"/>
  <c r="I135" i="17" s="1"/>
  <c r="H133" i="18"/>
  <c r="D136" i="17"/>
  <c r="F136" i="17" s="1"/>
  <c r="I136" i="17" s="1"/>
  <c r="H134" i="18"/>
  <c r="D137" i="17"/>
  <c r="F137" i="17" s="1"/>
  <c r="I137" i="17" s="1"/>
  <c r="H135" i="18"/>
  <c r="D138" i="17"/>
  <c r="F138" i="17" s="1"/>
  <c r="I138" i="17" s="1"/>
  <c r="H136" i="18"/>
  <c r="D139" i="17"/>
  <c r="F139" i="17" s="1"/>
  <c r="I139" i="17" s="1"/>
  <c r="H137" i="18"/>
  <c r="D140" i="17"/>
  <c r="F140" i="17" s="1"/>
  <c r="I140" i="17" s="1"/>
  <c r="H138" i="18"/>
  <c r="D141" i="17"/>
  <c r="F141" i="17" s="1"/>
  <c r="I141" i="17" s="1"/>
  <c r="H139" i="18"/>
  <c r="D142" i="17"/>
  <c r="F142" i="17" s="1"/>
  <c r="I142" i="17" s="1"/>
  <c r="H140" i="18"/>
  <c r="D143" i="17"/>
  <c r="F143" i="17" s="1"/>
  <c r="I143" i="17" s="1"/>
  <c r="H141" i="18"/>
  <c r="D144" i="17"/>
  <c r="F144" i="17" s="1"/>
  <c r="I144" i="17" s="1"/>
  <c r="H142" i="18"/>
  <c r="D145" i="17"/>
  <c r="F145" i="17" s="1"/>
  <c r="I145" i="17" s="1"/>
  <c r="H143" i="18"/>
  <c r="D146" i="17"/>
  <c r="F146" i="17" s="1"/>
  <c r="I146" i="17" s="1"/>
  <c r="H144" i="18"/>
  <c r="D147" i="17"/>
  <c r="F147" i="17" s="1"/>
  <c r="I147" i="17" s="1"/>
  <c r="H145" i="18"/>
  <c r="D148" i="17"/>
  <c r="F148" i="17" s="1"/>
  <c r="I148" i="17" s="1"/>
  <c r="H146" i="18"/>
  <c r="D149" i="17"/>
  <c r="F149" i="17" s="1"/>
  <c r="I149" i="17" s="1"/>
  <c r="H147" i="18"/>
  <c r="D150" i="17"/>
  <c r="F150" i="17" s="1"/>
  <c r="I150" i="17" s="1"/>
  <c r="H148" i="18"/>
  <c r="D151" i="17"/>
  <c r="F151" i="17" s="1"/>
  <c r="I151" i="17" s="1"/>
  <c r="H149" i="18"/>
  <c r="D152" i="17"/>
  <c r="F152" i="17" s="1"/>
  <c r="I152" i="17" s="1"/>
  <c r="H150" i="18"/>
  <c r="D153" i="17"/>
  <c r="F153" i="17" s="1"/>
  <c r="I153" i="17" s="1"/>
  <c r="H151" i="18"/>
  <c r="D154" i="17"/>
  <c r="F154" i="17" s="1"/>
  <c r="I154" i="17" s="1"/>
  <c r="H152" i="18"/>
  <c r="D155" i="17"/>
  <c r="F155" i="17" s="1"/>
  <c r="I155" i="17" s="1"/>
  <c r="H153" i="18"/>
  <c r="D156" i="17"/>
  <c r="F156" i="17" s="1"/>
  <c r="I156" i="17" s="1"/>
  <c r="H154" i="18"/>
  <c r="D157" i="17"/>
  <c r="F157" i="17" s="1"/>
  <c r="I157" i="17" s="1"/>
  <c r="H155" i="18"/>
  <c r="D158" i="17"/>
  <c r="F158" i="17" s="1"/>
  <c r="I158" i="17" s="1"/>
  <c r="H156" i="18"/>
  <c r="D159" i="17"/>
  <c r="F159" i="17" s="1"/>
  <c r="I159" i="17" s="1"/>
  <c r="H157" i="18"/>
  <c r="D160" i="17"/>
  <c r="F160" i="17" s="1"/>
  <c r="I160" i="17" s="1"/>
  <c r="H158" i="18"/>
  <c r="D161" i="17"/>
  <c r="F161" i="17" s="1"/>
  <c r="I161" i="17" s="1"/>
  <c r="H159" i="18"/>
  <c r="D162" i="17"/>
  <c r="F162" i="17" s="1"/>
  <c r="I162" i="17" s="1"/>
  <c r="H160" i="18"/>
  <c r="D163" i="17"/>
  <c r="F163" i="17" s="1"/>
  <c r="I163" i="17" s="1"/>
  <c r="H161" i="18"/>
  <c r="D164" i="17"/>
  <c r="F164" i="17" s="1"/>
  <c r="I164" i="17" s="1"/>
  <c r="H162" i="18"/>
  <c r="D165" i="17"/>
  <c r="F165" i="17" s="1"/>
  <c r="I165" i="17" s="1"/>
  <c r="H163" i="18"/>
  <c r="D166" i="17"/>
  <c r="F166" i="17" s="1"/>
  <c r="I166" i="17" s="1"/>
  <c r="H164" i="18"/>
  <c r="D167" i="17"/>
  <c r="F167" i="17" s="1"/>
  <c r="I167" i="17" s="1"/>
  <c r="H165" i="18"/>
  <c r="D168" i="17"/>
  <c r="F168" i="17" s="1"/>
  <c r="I168" i="17" s="1"/>
  <c r="H166" i="18"/>
  <c r="D169" i="17"/>
  <c r="F169" i="17" s="1"/>
  <c r="I169" i="17" s="1"/>
  <c r="H167" i="18"/>
  <c r="D170" i="17"/>
  <c r="F170" i="17" s="1"/>
  <c r="I170" i="17" s="1"/>
  <c r="H168" i="18"/>
  <c r="D171" i="17"/>
  <c r="F171" i="17" s="1"/>
  <c r="I171" i="17" s="1"/>
  <c r="H169" i="18"/>
  <c r="D172" i="17"/>
  <c r="F172" i="17" s="1"/>
  <c r="I172" i="17" s="1"/>
  <c r="H170" i="18"/>
  <c r="D173" i="17"/>
  <c r="F173" i="17" s="1"/>
  <c r="I173" i="17" s="1"/>
  <c r="H171" i="18"/>
  <c r="D174" i="17"/>
  <c r="F174" i="17" s="1"/>
  <c r="I174" i="17" s="1"/>
  <c r="H172" i="18"/>
  <c r="D175" i="17"/>
  <c r="F175" i="17" s="1"/>
  <c r="I175" i="17" s="1"/>
  <c r="H173" i="18"/>
  <c r="D176" i="17"/>
  <c r="F176" i="17" s="1"/>
  <c r="I176" i="17" s="1"/>
  <c r="H174" i="18"/>
  <c r="D177" i="17"/>
  <c r="F177" i="17" s="1"/>
  <c r="I177" i="17" s="1"/>
  <c r="H175" i="18"/>
  <c r="D178" i="17"/>
  <c r="F178" i="17" s="1"/>
  <c r="I178" i="17" s="1"/>
  <c r="H176" i="18"/>
  <c r="D179" i="17"/>
  <c r="F179" i="17" s="1"/>
  <c r="I179" i="17" s="1"/>
  <c r="H177" i="18"/>
  <c r="D180" i="17"/>
  <c r="F180" i="17" s="1"/>
  <c r="I180" i="17" s="1"/>
  <c r="H178" i="18"/>
  <c r="D181" i="17"/>
  <c r="F181" i="17" s="1"/>
  <c r="I181" i="17" s="1"/>
  <c r="H179" i="18"/>
  <c r="D182" i="17"/>
  <c r="F182" i="17" s="1"/>
  <c r="I182" i="17" s="1"/>
  <c r="H180" i="18"/>
  <c r="D183" i="17"/>
  <c r="F183" i="17" s="1"/>
  <c r="I183" i="17" s="1"/>
  <c r="H181" i="18"/>
  <c r="D184" i="17"/>
  <c r="F184" i="17" s="1"/>
  <c r="I184" i="17" s="1"/>
  <c r="H182" i="18"/>
  <c r="D185" i="17"/>
  <c r="F185" i="17" s="1"/>
  <c r="I185" i="17" s="1"/>
  <c r="H183" i="18"/>
  <c r="D186" i="17"/>
  <c r="F186" i="17" s="1"/>
  <c r="I186" i="17" s="1"/>
  <c r="H184" i="18"/>
  <c r="D187" i="17"/>
  <c r="F187" i="17" s="1"/>
  <c r="I187" i="17" s="1"/>
  <c r="H185" i="18"/>
  <c r="D188" i="17"/>
  <c r="F188" i="17" s="1"/>
  <c r="I188" i="17" s="1"/>
  <c r="H186" i="18"/>
  <c r="D189" i="17"/>
  <c r="F189" i="17" s="1"/>
  <c r="I189" i="17" s="1"/>
  <c r="H187" i="18"/>
  <c r="D190" i="17"/>
  <c r="F190" i="17" s="1"/>
  <c r="I190" i="17" s="1"/>
  <c r="H188" i="18"/>
  <c r="D191" i="17"/>
  <c r="F191" i="17" s="1"/>
  <c r="I191" i="17" s="1"/>
  <c r="H189" i="18"/>
  <c r="D192" i="17"/>
  <c r="F192" i="17" s="1"/>
  <c r="I192" i="17" s="1"/>
  <c r="H190" i="18"/>
  <c r="D193" i="17"/>
  <c r="F193" i="17" s="1"/>
  <c r="I193" i="17" s="1"/>
  <c r="H191" i="18"/>
  <c r="D194" i="17"/>
  <c r="F194" i="17" s="1"/>
  <c r="I194" i="17" s="1"/>
  <c r="H192" i="18"/>
  <c r="D195" i="17"/>
  <c r="F195" i="17" s="1"/>
  <c r="I195" i="17" s="1"/>
  <c r="H193" i="18"/>
  <c r="D196" i="17"/>
  <c r="F196" i="17" s="1"/>
  <c r="I196" i="17" s="1"/>
  <c r="H194" i="18"/>
  <c r="D197" i="17"/>
  <c r="F197" i="17" s="1"/>
  <c r="I197" i="17" s="1"/>
  <c r="H195" i="18"/>
  <c r="D198" i="17"/>
  <c r="F198" i="17" s="1"/>
  <c r="I198" i="17" s="1"/>
  <c r="H196" i="18"/>
  <c r="D199" i="17"/>
  <c r="F199" i="17" s="1"/>
  <c r="I199" i="17" s="1"/>
  <c r="H197" i="18"/>
  <c r="D200" i="17"/>
  <c r="F200" i="17" s="1"/>
  <c r="I200" i="17" s="1"/>
  <c r="H198" i="18"/>
  <c r="D201" i="17"/>
  <c r="F201" i="17" s="1"/>
  <c r="I201" i="17" s="1"/>
  <c r="H199" i="18"/>
  <c r="D202" i="17"/>
  <c r="F202" i="17" s="1"/>
  <c r="I202" i="17" s="1"/>
  <c r="H200" i="18"/>
  <c r="D203" i="17"/>
  <c r="F203" i="17" s="1"/>
  <c r="I203" i="17" s="1"/>
  <c r="H201" i="18"/>
  <c r="D204" i="17"/>
  <c r="F204" i="17" s="1"/>
  <c r="I204" i="17" s="1"/>
  <c r="H202" i="18"/>
  <c r="D205" i="17"/>
  <c r="F205" i="17" s="1"/>
  <c r="I205" i="17" s="1"/>
  <c r="H203" i="18"/>
  <c r="D206" i="17"/>
  <c r="F206" i="17" s="1"/>
  <c r="I206" i="17" s="1"/>
  <c r="H204" i="18"/>
  <c r="D207" i="17"/>
  <c r="F207" i="17" s="1"/>
  <c r="I207" i="17" s="1"/>
  <c r="D208" i="17"/>
  <c r="F208" i="17" s="1"/>
  <c r="I208" i="17" s="1"/>
  <c r="H205" i="18"/>
  <c r="D209" i="17"/>
  <c r="F209" i="17" s="1"/>
  <c r="I209" i="17" s="1"/>
  <c r="H206" i="18"/>
  <c r="D210" i="17"/>
  <c r="F210" i="17" s="1"/>
  <c r="I210" i="17" s="1"/>
  <c r="H207" i="18"/>
  <c r="D211" i="17"/>
  <c r="F211" i="17" s="1"/>
  <c r="I211" i="17" s="1"/>
  <c r="H208" i="18"/>
  <c r="D212" i="17"/>
  <c r="F212" i="17" s="1"/>
  <c r="I212" i="17" s="1"/>
  <c r="H209" i="18"/>
  <c r="D213" i="17"/>
  <c r="F213" i="17" s="1"/>
  <c r="I213" i="17" s="1"/>
  <c r="H210" i="18"/>
  <c r="D214" i="17"/>
  <c r="F214" i="17" s="1"/>
  <c r="I214" i="17" s="1"/>
  <c r="H211" i="18"/>
  <c r="D215" i="17"/>
  <c r="F215" i="17" s="1"/>
  <c r="I215" i="17" s="1"/>
  <c r="H212" i="18"/>
  <c r="D216" i="17"/>
  <c r="F216" i="17" s="1"/>
  <c r="I216" i="17" s="1"/>
  <c r="H213" i="18"/>
  <c r="D217" i="17"/>
  <c r="F217" i="17" s="1"/>
  <c r="I217" i="17" s="1"/>
  <c r="H214" i="18"/>
  <c r="D218" i="17"/>
  <c r="F218" i="17" s="1"/>
  <c r="I218" i="17" s="1"/>
  <c r="H215" i="18"/>
  <c r="D219" i="17"/>
  <c r="F219" i="17" s="1"/>
  <c r="I219" i="17" s="1"/>
  <c r="H216" i="18"/>
  <c r="D220" i="17"/>
  <c r="F220" i="17" s="1"/>
  <c r="I220" i="17" s="1"/>
  <c r="H217" i="18"/>
  <c r="D221" i="17"/>
  <c r="F221" i="17" s="1"/>
  <c r="I221" i="17" s="1"/>
  <c r="H218" i="18"/>
  <c r="D222" i="17"/>
  <c r="F222" i="17" s="1"/>
  <c r="I222" i="17" s="1"/>
  <c r="H219" i="18"/>
  <c r="D223" i="17"/>
  <c r="F223" i="17" s="1"/>
  <c r="I223" i="17" s="1"/>
  <c r="H220" i="18"/>
  <c r="D224" i="17"/>
  <c r="F224" i="17" s="1"/>
  <c r="I224" i="17" s="1"/>
  <c r="H221" i="18"/>
  <c r="D225" i="17"/>
  <c r="F225" i="17" s="1"/>
  <c r="I225" i="17" s="1"/>
  <c r="H222" i="18"/>
  <c r="D226" i="17"/>
  <c r="F226" i="17" s="1"/>
  <c r="I226" i="17" s="1"/>
  <c r="H223" i="18"/>
  <c r="D227" i="17"/>
  <c r="F227" i="17" s="1"/>
  <c r="I227" i="17" s="1"/>
  <c r="H224" i="18"/>
  <c r="D228" i="17"/>
  <c r="F228" i="17" s="1"/>
  <c r="I228" i="17" s="1"/>
  <c r="H225" i="18"/>
  <c r="D229" i="17"/>
  <c r="F229" i="17" s="1"/>
  <c r="I229" i="17" s="1"/>
  <c r="H226" i="18"/>
  <c r="D230" i="17"/>
  <c r="F230" i="17" s="1"/>
  <c r="I230" i="17" s="1"/>
  <c r="H227" i="18"/>
  <c r="D231" i="17"/>
  <c r="F231" i="17" s="1"/>
  <c r="I231" i="17" s="1"/>
  <c r="H228" i="18"/>
  <c r="D232" i="17"/>
  <c r="F232" i="17" s="1"/>
  <c r="I232" i="17" s="1"/>
  <c r="H229" i="18"/>
  <c r="D233" i="17"/>
  <c r="F233" i="17" s="1"/>
  <c r="I233" i="17" s="1"/>
  <c r="H230" i="18"/>
  <c r="D234" i="17"/>
  <c r="F234" i="17" s="1"/>
  <c r="I234" i="17" s="1"/>
  <c r="H231" i="18"/>
  <c r="D235" i="17"/>
  <c r="F235" i="17" s="1"/>
  <c r="I235" i="17" s="1"/>
  <c r="H232" i="18"/>
  <c r="D236" i="17"/>
  <c r="F236" i="17" s="1"/>
  <c r="I236" i="17" s="1"/>
  <c r="H233" i="18"/>
  <c r="D237" i="17"/>
  <c r="F237" i="17" s="1"/>
  <c r="I237" i="17" s="1"/>
  <c r="H234" i="18"/>
  <c r="D238" i="17"/>
  <c r="F238" i="17" s="1"/>
  <c r="I238" i="17" s="1"/>
  <c r="H235" i="18"/>
  <c r="D239" i="17"/>
  <c r="F239" i="17" s="1"/>
  <c r="I239" i="17" s="1"/>
  <c r="H236" i="18"/>
  <c r="D240" i="17"/>
  <c r="F240" i="17" s="1"/>
  <c r="I240" i="17" s="1"/>
  <c r="H237" i="18"/>
  <c r="D241" i="17"/>
  <c r="F241" i="17" s="1"/>
  <c r="I241" i="17" s="1"/>
  <c r="H238" i="18"/>
  <c r="D242" i="17"/>
  <c r="F242" i="17" s="1"/>
  <c r="I242" i="17" s="1"/>
  <c r="H239" i="18"/>
  <c r="D243" i="17"/>
  <c r="F243" i="17" s="1"/>
  <c r="I243" i="17" s="1"/>
  <c r="H240" i="18"/>
  <c r="D244" i="17"/>
  <c r="F244" i="17" s="1"/>
  <c r="I244" i="17" s="1"/>
  <c r="H241" i="18"/>
  <c r="D245" i="17"/>
  <c r="F245" i="17" s="1"/>
  <c r="I245" i="17" s="1"/>
  <c r="H242" i="18"/>
  <c r="D246" i="17"/>
  <c r="F246" i="17" s="1"/>
  <c r="I246" i="17" s="1"/>
  <c r="H243" i="18"/>
  <c r="D247" i="17"/>
  <c r="F247" i="17" s="1"/>
  <c r="I247" i="17" s="1"/>
  <c r="H244" i="18"/>
  <c r="D248" i="17"/>
  <c r="F248" i="17" s="1"/>
  <c r="I248" i="17" s="1"/>
  <c r="H245" i="18"/>
  <c r="D249" i="17"/>
  <c r="F249" i="17" s="1"/>
  <c r="I249" i="17" s="1"/>
  <c r="H246" i="18"/>
  <c r="D250" i="17"/>
  <c r="F250" i="17" s="1"/>
  <c r="I250" i="17" s="1"/>
  <c r="H247" i="18"/>
  <c r="D251" i="17"/>
  <c r="F251" i="17" s="1"/>
  <c r="I251" i="17" s="1"/>
  <c r="H248" i="18"/>
  <c r="D252" i="17"/>
  <c r="F252" i="17" s="1"/>
  <c r="I252" i="17" s="1"/>
  <c r="H249" i="18"/>
  <c r="D253" i="17"/>
  <c r="F253" i="17" s="1"/>
  <c r="I253" i="17" s="1"/>
  <c r="H250" i="18"/>
  <c r="D254" i="17"/>
  <c r="F254" i="17" s="1"/>
  <c r="I254" i="17" s="1"/>
  <c r="H251" i="18"/>
  <c r="D255" i="17"/>
  <c r="F255" i="17" s="1"/>
  <c r="I255" i="17" s="1"/>
  <c r="H252" i="18"/>
  <c r="D256" i="17"/>
  <c r="F256" i="17" s="1"/>
  <c r="I256" i="17" s="1"/>
  <c r="H253" i="18"/>
  <c r="H3" i="18"/>
  <c r="D3" i="17"/>
  <c r="F3" i="17" s="1"/>
  <c r="I3" i="17" s="1"/>
  <c r="D2" i="17"/>
  <c r="F2" i="17" s="1"/>
  <c r="I2" i="17" s="1"/>
  <c r="H2" i="18"/>
  <c r="J3" i="17"/>
  <c r="J4" i="17"/>
  <c r="J5" i="17"/>
  <c r="J6" i="17"/>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39" i="17"/>
  <c r="J40" i="17"/>
  <c r="J41" i="17"/>
  <c r="J42" i="17"/>
  <c r="J43" i="17"/>
  <c r="J44" i="17"/>
  <c r="J45" i="17"/>
  <c r="J46" i="17"/>
  <c r="J47" i="17"/>
  <c r="J48" i="17"/>
  <c r="J49" i="17"/>
  <c r="J50" i="17"/>
  <c r="J51" i="17"/>
  <c r="J52" i="17"/>
  <c r="J53" i="17"/>
  <c r="J54" i="17"/>
  <c r="J55" i="17"/>
  <c r="J56" i="17"/>
  <c r="J57" i="17"/>
  <c r="J58" i="17"/>
  <c r="J59" i="17"/>
  <c r="J60" i="17"/>
  <c r="J61" i="17"/>
  <c r="J62" i="17"/>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88" i="17"/>
  <c r="J89" i="17"/>
  <c r="J90" i="17"/>
  <c r="J91" i="17"/>
  <c r="J92" i="17"/>
  <c r="J93" i="17"/>
  <c r="J94" i="17"/>
  <c r="J95" i="17"/>
  <c r="J96" i="17"/>
  <c r="J97" i="17"/>
  <c r="J98" i="17"/>
  <c r="J99" i="17"/>
  <c r="J100" i="17"/>
  <c r="J101" i="17"/>
  <c r="J102" i="17"/>
  <c r="J103" i="17"/>
  <c r="J104" i="17"/>
  <c r="J105" i="17"/>
  <c r="J106" i="17"/>
  <c r="J107" i="17"/>
  <c r="J108" i="17"/>
  <c r="J109" i="17"/>
  <c r="J110" i="17"/>
  <c r="J111" i="17"/>
  <c r="J112" i="17"/>
  <c r="J113" i="17"/>
  <c r="J114" i="17"/>
  <c r="J115" i="17"/>
  <c r="J116" i="17"/>
  <c r="J117" i="17"/>
  <c r="J118" i="17"/>
  <c r="J119" i="17"/>
  <c r="J120" i="17"/>
  <c r="J121" i="17"/>
  <c r="J122" i="17"/>
  <c r="J123" i="17"/>
  <c r="J124" i="17"/>
  <c r="J125" i="17"/>
  <c r="J126" i="17"/>
  <c r="J127" i="17"/>
  <c r="J128" i="17"/>
  <c r="J129" i="17"/>
  <c r="J130" i="17"/>
  <c r="J131" i="17"/>
  <c r="J132" i="17"/>
  <c r="J133" i="17"/>
  <c r="J134" i="17"/>
  <c r="J135" i="17"/>
  <c r="J136" i="17"/>
  <c r="J137" i="17"/>
  <c r="J138" i="17"/>
  <c r="J139" i="17"/>
  <c r="J140" i="17"/>
  <c r="J141" i="17"/>
  <c r="J142" i="17"/>
  <c r="J143" i="17"/>
  <c r="J144" i="17"/>
  <c r="J145" i="17"/>
  <c r="J146" i="17"/>
  <c r="J147" i="17"/>
  <c r="J148" i="17"/>
  <c r="J149" i="17"/>
  <c r="J150" i="17"/>
  <c r="J151" i="17"/>
  <c r="J152" i="17"/>
  <c r="J153" i="17"/>
  <c r="J154" i="17"/>
  <c r="J155" i="17"/>
  <c r="J156" i="17"/>
  <c r="J157" i="17"/>
  <c r="J158" i="17"/>
  <c r="J159" i="17"/>
  <c r="J160" i="17"/>
  <c r="J161" i="17"/>
  <c r="J162" i="17"/>
  <c r="J163" i="17"/>
  <c r="J164" i="17"/>
  <c r="J165" i="17"/>
  <c r="J166" i="17"/>
  <c r="J167" i="17"/>
  <c r="J168" i="17"/>
  <c r="J169" i="17"/>
  <c r="J170" i="17"/>
  <c r="J171" i="17"/>
  <c r="J172" i="17"/>
  <c r="J173" i="17"/>
  <c r="J174" i="17"/>
  <c r="J175" i="17"/>
  <c r="J176" i="17"/>
  <c r="J177" i="17"/>
  <c r="J178" i="17"/>
  <c r="J179" i="17"/>
  <c r="J180" i="17"/>
  <c r="J181" i="17"/>
  <c r="J182" i="17"/>
  <c r="J183" i="17"/>
  <c r="J184" i="17"/>
  <c r="J185" i="17"/>
  <c r="J186" i="17"/>
  <c r="J187" i="17"/>
  <c r="J188" i="17"/>
  <c r="J189" i="17"/>
  <c r="J190" i="17"/>
  <c r="J191" i="17"/>
  <c r="J192" i="17"/>
  <c r="J193" i="17"/>
  <c r="J194" i="17"/>
  <c r="J195" i="17"/>
  <c r="J196" i="17"/>
  <c r="J197" i="17"/>
  <c r="J198" i="17"/>
  <c r="J199" i="17"/>
  <c r="J200" i="17"/>
  <c r="J201" i="17"/>
  <c r="J202" i="17"/>
  <c r="J203" i="17"/>
  <c r="J204" i="17"/>
  <c r="J205" i="17"/>
  <c r="J206" i="17"/>
  <c r="J207" i="17"/>
  <c r="J208" i="17"/>
  <c r="J209" i="17"/>
  <c r="J210" i="17"/>
  <c r="J211" i="17"/>
  <c r="J212" i="17"/>
  <c r="J213" i="17"/>
  <c r="J214" i="17"/>
  <c r="J215" i="17"/>
  <c r="J216" i="17"/>
  <c r="J217" i="17"/>
  <c r="J218" i="17"/>
  <c r="J219" i="17"/>
  <c r="J220" i="17"/>
  <c r="J221" i="17"/>
  <c r="J222" i="17"/>
  <c r="J223" i="17"/>
  <c r="J224" i="17"/>
  <c r="J225" i="17"/>
  <c r="J226" i="17"/>
  <c r="J227" i="17"/>
  <c r="J228" i="17"/>
  <c r="J229" i="17"/>
  <c r="J230" i="17"/>
  <c r="J231" i="17"/>
  <c r="J232" i="17"/>
  <c r="J233" i="17"/>
  <c r="J234" i="17"/>
  <c r="J235" i="17"/>
  <c r="J236" i="17"/>
  <c r="J237" i="17"/>
  <c r="J238" i="17"/>
  <c r="J239" i="17"/>
  <c r="J240" i="17"/>
  <c r="J241" i="17"/>
  <c r="J242" i="17"/>
  <c r="J243" i="17"/>
  <c r="J244" i="17"/>
  <c r="J245" i="17"/>
  <c r="J246" i="17"/>
  <c r="J247" i="17"/>
  <c r="J248" i="17"/>
  <c r="J249" i="17"/>
  <c r="J250" i="17"/>
  <c r="J251" i="17"/>
  <c r="J252" i="17"/>
  <c r="J253" i="17"/>
  <c r="J254" i="17"/>
  <c r="J255" i="17"/>
  <c r="J256" i="17"/>
  <c r="J2" i="17"/>
  <c r="E3" i="17"/>
  <c r="E4"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34" i="17"/>
  <c r="E35" i="17"/>
  <c r="E36" i="17"/>
  <c r="E37" i="17"/>
  <c r="E38" i="17"/>
  <c r="E39" i="17"/>
  <c r="E40" i="17"/>
  <c r="E41" i="17"/>
  <c r="E42" i="17"/>
  <c r="E43" i="17"/>
  <c r="E44" i="17"/>
  <c r="E45" i="17"/>
  <c r="E46" i="17"/>
  <c r="E47" i="17"/>
  <c r="E48" i="17"/>
  <c r="E49" i="17"/>
  <c r="E50" i="17"/>
  <c r="E51" i="17"/>
  <c r="E52" i="17"/>
  <c r="E53" i="17"/>
  <c r="E54" i="17"/>
  <c r="E55" i="17"/>
  <c r="E56" i="17"/>
  <c r="E57" i="17"/>
  <c r="E58" i="17"/>
  <c r="E59" i="17"/>
  <c r="E60" i="17"/>
  <c r="E61" i="17"/>
  <c r="E62" i="17"/>
  <c r="E63" i="17"/>
  <c r="E64" i="17"/>
  <c r="E65" i="17"/>
  <c r="E66" i="17"/>
  <c r="E67" i="17"/>
  <c r="E68" i="17"/>
  <c r="E69" i="17"/>
  <c r="E70" i="17"/>
  <c r="E71" i="17"/>
  <c r="E72" i="17"/>
  <c r="E73" i="17"/>
  <c r="E74" i="17"/>
  <c r="E75" i="17"/>
  <c r="E76" i="17"/>
  <c r="E77" i="17"/>
  <c r="E78" i="17"/>
  <c r="E79" i="17"/>
  <c r="E80" i="17"/>
  <c r="E81" i="17"/>
  <c r="E82" i="17"/>
  <c r="E83" i="17"/>
  <c r="E84" i="17"/>
  <c r="E85" i="17"/>
  <c r="E86" i="17"/>
  <c r="E87" i="17"/>
  <c r="E88" i="17"/>
  <c r="E89" i="17"/>
  <c r="E90" i="17"/>
  <c r="E91" i="17"/>
  <c r="E92" i="17"/>
  <c r="E93" i="17"/>
  <c r="E94" i="17"/>
  <c r="E95" i="17"/>
  <c r="E96" i="17"/>
  <c r="E97" i="17"/>
  <c r="E98" i="17"/>
  <c r="E99" i="17"/>
  <c r="E100" i="17"/>
  <c r="E101" i="17"/>
  <c r="E102" i="17"/>
  <c r="E103" i="17"/>
  <c r="E104" i="17"/>
  <c r="E105" i="17"/>
  <c r="E106" i="17"/>
  <c r="E107" i="17"/>
  <c r="E108" i="17"/>
  <c r="E109" i="17"/>
  <c r="E110" i="17"/>
  <c r="E111" i="17"/>
  <c r="E112" i="17"/>
  <c r="E113" i="17"/>
  <c r="E114" i="17"/>
  <c r="E115" i="17"/>
  <c r="E116" i="17"/>
  <c r="E117" i="17"/>
  <c r="E118" i="17"/>
  <c r="E119" i="17"/>
  <c r="E120" i="17"/>
  <c r="E121" i="17"/>
  <c r="E122" i="17"/>
  <c r="E123" i="17"/>
  <c r="E124" i="17"/>
  <c r="E125" i="17"/>
  <c r="E126" i="17"/>
  <c r="E127" i="17"/>
  <c r="E128" i="17"/>
  <c r="E129" i="17"/>
  <c r="E130" i="17"/>
  <c r="E131" i="17"/>
  <c r="E132" i="17"/>
  <c r="E133" i="17"/>
  <c r="E134" i="17"/>
  <c r="E135" i="17"/>
  <c r="E136" i="17"/>
  <c r="E137" i="17"/>
  <c r="E138" i="17"/>
  <c r="E139" i="17"/>
  <c r="E140" i="17"/>
  <c r="E141" i="17"/>
  <c r="E142" i="17"/>
  <c r="E143" i="17"/>
  <c r="E144" i="17"/>
  <c r="E145" i="17"/>
  <c r="E146" i="17"/>
  <c r="E147" i="17"/>
  <c r="E148" i="17"/>
  <c r="E149" i="17"/>
  <c r="E150" i="17"/>
  <c r="E151" i="17"/>
  <c r="E152" i="17"/>
  <c r="E153" i="17"/>
  <c r="E154" i="17"/>
  <c r="E155" i="17"/>
  <c r="E156" i="17"/>
  <c r="E157" i="17"/>
  <c r="E158" i="17"/>
  <c r="E159" i="17"/>
  <c r="E160" i="17"/>
  <c r="E161" i="17"/>
  <c r="E162" i="17"/>
  <c r="E163" i="17"/>
  <c r="E164" i="17"/>
  <c r="E165" i="17"/>
  <c r="E166" i="17"/>
  <c r="E167" i="17"/>
  <c r="E168" i="17"/>
  <c r="E169" i="17"/>
  <c r="E170" i="17"/>
  <c r="E171" i="17"/>
  <c r="E172" i="17"/>
  <c r="E173" i="17"/>
  <c r="E174" i="17"/>
  <c r="E175" i="17"/>
  <c r="E176" i="17"/>
  <c r="E177" i="17"/>
  <c r="E178" i="17"/>
  <c r="E179" i="17"/>
  <c r="E180" i="17"/>
  <c r="E181" i="17"/>
  <c r="E182" i="17"/>
  <c r="E183" i="17"/>
  <c r="E184" i="17"/>
  <c r="E185" i="17"/>
  <c r="E186" i="17"/>
  <c r="E187" i="17"/>
  <c r="E188" i="17"/>
  <c r="E189" i="17"/>
  <c r="E190" i="17"/>
  <c r="E191" i="17"/>
  <c r="E192" i="17"/>
  <c r="E193" i="17"/>
  <c r="E194" i="17"/>
  <c r="E195" i="17"/>
  <c r="E196" i="17"/>
  <c r="E197" i="17"/>
  <c r="E198" i="17"/>
  <c r="E199" i="17"/>
  <c r="E200" i="17"/>
  <c r="E201" i="17"/>
  <c r="E202" i="17"/>
  <c r="E203" i="17"/>
  <c r="E204" i="17"/>
  <c r="E205" i="17"/>
  <c r="E206" i="17"/>
  <c r="E207" i="17"/>
  <c r="E208" i="17"/>
  <c r="E209" i="17"/>
  <c r="E210" i="17"/>
  <c r="E211" i="17"/>
  <c r="E212" i="17"/>
  <c r="E213" i="17"/>
  <c r="E214" i="17"/>
  <c r="E215" i="17"/>
  <c r="E216" i="17"/>
  <c r="E217" i="17"/>
  <c r="E218" i="17"/>
  <c r="E219" i="17"/>
  <c r="E220" i="17"/>
  <c r="E221" i="17"/>
  <c r="E222" i="17"/>
  <c r="E223" i="17"/>
  <c r="E224" i="17"/>
  <c r="E225" i="17"/>
  <c r="E226" i="17"/>
  <c r="E227" i="17"/>
  <c r="E228" i="17"/>
  <c r="E229" i="17"/>
  <c r="E230" i="17"/>
  <c r="E231" i="17"/>
  <c r="E232" i="17"/>
  <c r="E233" i="17"/>
  <c r="E234" i="17"/>
  <c r="E235" i="17"/>
  <c r="E236" i="17"/>
  <c r="E237" i="17"/>
  <c r="E238" i="17"/>
  <c r="E239" i="17"/>
  <c r="E240" i="17"/>
  <c r="E241" i="17"/>
  <c r="E242" i="17"/>
  <c r="E243" i="17"/>
  <c r="E244" i="17"/>
  <c r="E245" i="17"/>
  <c r="E246" i="17"/>
  <c r="E247" i="17"/>
  <c r="E248" i="17"/>
  <c r="E249" i="17"/>
  <c r="E250" i="17"/>
  <c r="E251" i="17"/>
  <c r="E252" i="17"/>
  <c r="E253" i="17"/>
  <c r="E254" i="17"/>
  <c r="E255" i="17"/>
  <c r="E256" i="17"/>
  <c r="E2" i="17"/>
  <c r="K3" i="17"/>
  <c r="K4" i="17"/>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K129" i="17"/>
  <c r="K130" i="17"/>
  <c r="K131" i="17"/>
  <c r="K132" i="17"/>
  <c r="K133" i="17"/>
  <c r="K134" i="17"/>
  <c r="K135" i="17"/>
  <c r="K136" i="17"/>
  <c r="K137" i="17"/>
  <c r="K138" i="17"/>
  <c r="K139" i="17"/>
  <c r="K140" i="17"/>
  <c r="K141" i="17"/>
  <c r="K142" i="17"/>
  <c r="K143" i="17"/>
  <c r="K144" i="17"/>
  <c r="K145" i="17"/>
  <c r="K146" i="17"/>
  <c r="K147" i="17"/>
  <c r="K148" i="17"/>
  <c r="K149" i="17"/>
  <c r="K150" i="17"/>
  <c r="K151" i="17"/>
  <c r="K152" i="17"/>
  <c r="K153" i="17"/>
  <c r="K154" i="17"/>
  <c r="K155" i="17"/>
  <c r="K156" i="17"/>
  <c r="K157" i="17"/>
  <c r="K158" i="17"/>
  <c r="K159" i="17"/>
  <c r="K160" i="17"/>
  <c r="K161" i="17"/>
  <c r="K162" i="17"/>
  <c r="K163" i="17"/>
  <c r="K164" i="17"/>
  <c r="K165" i="17"/>
  <c r="K166" i="17"/>
  <c r="K167" i="17"/>
  <c r="K168" i="17"/>
  <c r="K169" i="17"/>
  <c r="K170" i="17"/>
  <c r="K171" i="17"/>
  <c r="K172" i="17"/>
  <c r="K173" i="17"/>
  <c r="K174" i="17"/>
  <c r="K175" i="17"/>
  <c r="K176" i="17"/>
  <c r="K177" i="17"/>
  <c r="K178" i="17"/>
  <c r="K179" i="17"/>
  <c r="K180" i="17"/>
  <c r="K181" i="17"/>
  <c r="K182" i="17"/>
  <c r="K183" i="17"/>
  <c r="K184" i="17"/>
  <c r="K185" i="17"/>
  <c r="K186" i="17"/>
  <c r="K187" i="17"/>
  <c r="K188" i="17"/>
  <c r="K189" i="17"/>
  <c r="K190" i="17"/>
  <c r="K191" i="17"/>
  <c r="K192" i="17"/>
  <c r="K193" i="17"/>
  <c r="K194" i="17"/>
  <c r="K195" i="17"/>
  <c r="K196" i="17"/>
  <c r="K197" i="17"/>
  <c r="K198" i="17"/>
  <c r="K199" i="17"/>
  <c r="K200" i="17"/>
  <c r="K201" i="17"/>
  <c r="K202" i="17"/>
  <c r="K203" i="17"/>
  <c r="K204" i="17"/>
  <c r="K205" i="17"/>
  <c r="K206" i="17"/>
  <c r="K207" i="17"/>
  <c r="K208" i="17"/>
  <c r="K209" i="17"/>
  <c r="K210" i="17"/>
  <c r="K211" i="17"/>
  <c r="K212" i="17"/>
  <c r="K213" i="17"/>
  <c r="K214" i="17"/>
  <c r="K215" i="17"/>
  <c r="K216" i="17"/>
  <c r="K217" i="17"/>
  <c r="K218" i="17"/>
  <c r="K219" i="17"/>
  <c r="K220" i="17"/>
  <c r="K221" i="17"/>
  <c r="K222" i="17"/>
  <c r="K223" i="17"/>
  <c r="K224" i="17"/>
  <c r="K225" i="17"/>
  <c r="K226" i="17"/>
  <c r="K227" i="17"/>
  <c r="K228" i="17"/>
  <c r="K229" i="17"/>
  <c r="K230" i="17"/>
  <c r="K231" i="17"/>
  <c r="K232" i="17"/>
  <c r="K233" i="17"/>
  <c r="K234" i="17"/>
  <c r="K235" i="17"/>
  <c r="K236" i="17"/>
  <c r="K237" i="17"/>
  <c r="K238" i="17"/>
  <c r="K239" i="17"/>
  <c r="K240" i="17"/>
  <c r="K241" i="17"/>
  <c r="K242" i="17"/>
  <c r="K243" i="17"/>
  <c r="K244" i="17"/>
  <c r="K245" i="17"/>
  <c r="K246" i="17"/>
  <c r="K247" i="17"/>
  <c r="K248" i="17"/>
  <c r="K249" i="17"/>
  <c r="K250" i="17"/>
  <c r="K251" i="17"/>
  <c r="K252" i="17"/>
  <c r="K253" i="17"/>
  <c r="K254" i="17"/>
  <c r="K255" i="17"/>
  <c r="K256" i="17"/>
  <c r="K2" i="17"/>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G146" i="17"/>
  <c r="G147" i="17"/>
  <c r="G148" i="17"/>
  <c r="G149" i="17"/>
  <c r="G150" i="17"/>
  <c r="G151" i="17"/>
  <c r="G152" i="17"/>
  <c r="G153" i="17"/>
  <c r="G154" i="17"/>
  <c r="G155" i="17"/>
  <c r="G156" i="17"/>
  <c r="G157" i="17"/>
  <c r="G158" i="17"/>
  <c r="G159" i="17"/>
  <c r="G160" i="17"/>
  <c r="G161" i="17"/>
  <c r="G162" i="17"/>
  <c r="G163" i="17"/>
  <c r="G164" i="17"/>
  <c r="G165" i="17"/>
  <c r="G166" i="17"/>
  <c r="G167" i="17"/>
  <c r="G168" i="17"/>
  <c r="G169" i="17"/>
  <c r="G170" i="17"/>
  <c r="G171" i="17"/>
  <c r="G172" i="17"/>
  <c r="G173" i="17"/>
  <c r="G174" i="17"/>
  <c r="G175" i="17"/>
  <c r="G176" i="17"/>
  <c r="G177" i="17"/>
  <c r="G178" i="17"/>
  <c r="G179" i="17"/>
  <c r="G180" i="17"/>
  <c r="G181" i="17"/>
  <c r="G182" i="17"/>
  <c r="G183" i="17"/>
  <c r="G184" i="17"/>
  <c r="G185" i="17"/>
  <c r="G186" i="17"/>
  <c r="G187" i="17"/>
  <c r="G188" i="17"/>
  <c r="G189" i="17"/>
  <c r="G190" i="17"/>
  <c r="G191" i="17"/>
  <c r="G192" i="17"/>
  <c r="G193" i="17"/>
  <c r="G194" i="17"/>
  <c r="G195" i="17"/>
  <c r="G196" i="17"/>
  <c r="G197" i="17"/>
  <c r="G198" i="17"/>
  <c r="G199" i="17"/>
  <c r="G200" i="17"/>
  <c r="G201" i="17"/>
  <c r="G202" i="17"/>
  <c r="G203" i="17"/>
  <c r="G204" i="17"/>
  <c r="G205" i="17"/>
  <c r="G206" i="17"/>
  <c r="G207" i="17"/>
  <c r="G208" i="17"/>
  <c r="G209" i="17"/>
  <c r="G210" i="17"/>
  <c r="G211" i="17"/>
  <c r="G212" i="17"/>
  <c r="G213" i="17"/>
  <c r="G214" i="17"/>
  <c r="G215" i="17"/>
  <c r="G216" i="17"/>
  <c r="G217" i="17"/>
  <c r="G218" i="17"/>
  <c r="G219" i="17"/>
  <c r="G220" i="17"/>
  <c r="G221" i="17"/>
  <c r="G222" i="17"/>
  <c r="G223" i="17"/>
  <c r="G224" i="17"/>
  <c r="G225" i="17"/>
  <c r="G226" i="17"/>
  <c r="G227" i="17"/>
  <c r="G228" i="17"/>
  <c r="G229" i="17"/>
  <c r="G230" i="17"/>
  <c r="G231" i="17"/>
  <c r="G232" i="17"/>
  <c r="G233" i="17"/>
  <c r="G234" i="17"/>
  <c r="G235" i="17"/>
  <c r="G236" i="17"/>
  <c r="G237" i="17"/>
  <c r="G238" i="17"/>
  <c r="G239" i="17"/>
  <c r="G240" i="17"/>
  <c r="G241" i="17"/>
  <c r="G242" i="17"/>
  <c r="G243" i="17"/>
  <c r="G244" i="17"/>
  <c r="G245" i="17"/>
  <c r="G246" i="17"/>
  <c r="G247" i="17"/>
  <c r="G248" i="17"/>
  <c r="G249" i="17"/>
  <c r="G250" i="17"/>
  <c r="G251" i="17"/>
  <c r="G252" i="17"/>
  <c r="G253" i="17"/>
  <c r="G254" i="17"/>
  <c r="G255" i="17"/>
  <c r="G256" i="17"/>
  <c r="G2" i="17"/>
  <c r="B245" i="17"/>
  <c r="B246" i="17"/>
  <c r="B247" i="17"/>
  <c r="B248" i="17"/>
  <c r="B249" i="17"/>
  <c r="B250" i="17"/>
  <c r="B251" i="17"/>
  <c r="B252" i="17"/>
  <c r="B253" i="17"/>
  <c r="B254" i="17"/>
  <c r="B255" i="17"/>
  <c r="B256"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87" i="17"/>
  <c r="C3" i="15"/>
  <c r="C4" i="15"/>
  <c r="C5" i="15"/>
  <c r="C6" i="15"/>
  <c r="C2" i="15"/>
  <c r="G3" i="7"/>
  <c r="G4" i="7"/>
  <c r="G5" i="7"/>
  <c r="G6" i="7"/>
  <c r="G7" i="7"/>
  <c r="G8" i="7"/>
  <c r="G9" i="7"/>
  <c r="G10" i="7"/>
  <c r="G11" i="7"/>
  <c r="G12" i="7"/>
  <c r="G13" i="7"/>
  <c r="G14" i="7"/>
  <c r="G15" i="7"/>
  <c r="G16" i="7"/>
  <c r="G17" i="7"/>
  <c r="G18" i="7"/>
  <c r="G19" i="7"/>
  <c r="G20" i="7"/>
  <c r="G21" i="7"/>
  <c r="G22" i="7"/>
  <c r="G23" i="7"/>
  <c r="G24" i="7"/>
  <c r="G25" i="7"/>
  <c r="G26" i="7"/>
  <c r="G27" i="7"/>
  <c r="G28" i="7"/>
  <c r="G29" i="7"/>
  <c r="G637"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638" i="7"/>
  <c r="G74" i="7"/>
  <c r="G639" i="7"/>
  <c r="G75" i="7"/>
  <c r="G640"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641" i="7"/>
  <c r="G642" i="7"/>
  <c r="G123" i="7"/>
  <c r="G124" i="7"/>
  <c r="G125" i="7"/>
  <c r="G643"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644" i="7"/>
  <c r="G152" i="7"/>
  <c r="G153" i="7"/>
  <c r="G154" i="7"/>
  <c r="G155" i="7"/>
  <c r="G156" i="7"/>
  <c r="G157" i="7"/>
  <c r="G158" i="7"/>
  <c r="G159" i="7"/>
  <c r="G645" i="7"/>
  <c r="G160" i="7"/>
  <c r="G161" i="7"/>
  <c r="G162" i="7"/>
  <c r="G646" i="7"/>
  <c r="G163" i="7"/>
  <c r="G164" i="7"/>
  <c r="G165" i="7"/>
  <c r="G166" i="7"/>
  <c r="G167" i="7"/>
  <c r="G168" i="7"/>
  <c r="G647" i="7"/>
  <c r="G169" i="7"/>
  <c r="G170" i="7"/>
  <c r="G171" i="7"/>
  <c r="G172" i="7"/>
  <c r="G173" i="7"/>
  <c r="G174" i="7"/>
  <c r="G175" i="7"/>
  <c r="G176" i="7"/>
  <c r="G177" i="7"/>
  <c r="G178" i="7"/>
  <c r="G179" i="7"/>
  <c r="G180" i="7"/>
  <c r="G648" i="7"/>
  <c r="G649" i="7"/>
  <c r="G650" i="7"/>
  <c r="G181" i="7"/>
  <c r="G182" i="7"/>
  <c r="G183" i="7"/>
  <c r="G184" i="7"/>
  <c r="G185" i="7"/>
  <c r="G186" i="7"/>
  <c r="G187" i="7"/>
  <c r="G188" i="7"/>
  <c r="G189" i="7"/>
  <c r="G190" i="7"/>
  <c r="G191" i="7"/>
  <c r="G192" i="7"/>
  <c r="G193" i="7"/>
  <c r="G194" i="7"/>
  <c r="G195" i="7"/>
  <c r="G196" i="7"/>
  <c r="G197" i="7"/>
  <c r="G198" i="7"/>
  <c r="G199" i="7"/>
  <c r="G200" i="7"/>
  <c r="G201" i="7"/>
  <c r="G202" i="7"/>
  <c r="G651"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65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653" i="7"/>
  <c r="G654" i="7"/>
  <c r="G655" i="7"/>
  <c r="G273" i="7"/>
  <c r="G274" i="7"/>
  <c r="G275" i="7"/>
  <c r="G276" i="7"/>
  <c r="G277" i="7"/>
  <c r="G278" i="7"/>
  <c r="G279" i="7"/>
  <c r="G280" i="7"/>
  <c r="G281" i="7"/>
  <c r="G282" i="7"/>
  <c r="G283" i="7"/>
  <c r="G284" i="7"/>
  <c r="G285" i="7"/>
  <c r="G286" i="7"/>
  <c r="G287" i="7"/>
  <c r="G656" i="7"/>
  <c r="G288" i="7"/>
  <c r="G657" i="7"/>
  <c r="G289" i="7"/>
  <c r="G658" i="7"/>
  <c r="G659" i="7"/>
  <c r="G660" i="7"/>
  <c r="G290" i="7"/>
  <c r="G291" i="7"/>
  <c r="G292" i="7"/>
  <c r="G293" i="7"/>
  <c r="G294" i="7"/>
  <c r="G295" i="7"/>
  <c r="G296" i="7"/>
  <c r="G297" i="7"/>
  <c r="G298" i="7"/>
  <c r="G299" i="7"/>
  <c r="G300" i="7"/>
  <c r="G301" i="7"/>
  <c r="G302" i="7"/>
  <c r="G661" i="7"/>
  <c r="G662" i="7"/>
  <c r="G303" i="7"/>
  <c r="G304" i="7"/>
  <c r="G305" i="7"/>
  <c r="G306" i="7"/>
  <c r="G307" i="7"/>
  <c r="G308" i="7"/>
  <c r="G309" i="7"/>
  <c r="G310" i="7"/>
  <c r="G311" i="7"/>
  <c r="G312" i="7"/>
  <c r="G313" i="7"/>
  <c r="G314" i="7"/>
  <c r="G315" i="7"/>
  <c r="G316" i="7"/>
  <c r="G317" i="7"/>
  <c r="G318" i="7"/>
  <c r="G319" i="7"/>
  <c r="G663" i="7"/>
  <c r="G320" i="7"/>
  <c r="G321" i="7"/>
  <c r="G322" i="7"/>
  <c r="G323" i="7"/>
  <c r="G324" i="7"/>
  <c r="G325" i="7"/>
  <c r="G326" i="7"/>
  <c r="G327" i="7"/>
  <c r="G664"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568" i="7"/>
  <c r="G445" i="7"/>
  <c r="G374" i="7"/>
  <c r="G375" i="7"/>
  <c r="G376" i="7"/>
  <c r="G377" i="7"/>
  <c r="G378" i="7"/>
  <c r="G379" i="7"/>
  <c r="G380" i="7"/>
  <c r="G381" i="7"/>
  <c r="G382" i="7"/>
  <c r="G383" i="7"/>
  <c r="G384" i="7"/>
  <c r="G385" i="7"/>
  <c r="G386" i="7"/>
  <c r="G387" i="7"/>
  <c r="G388" i="7"/>
  <c r="G389" i="7"/>
  <c r="G390" i="7"/>
  <c r="G391" i="7"/>
  <c r="G392" i="7"/>
  <c r="G393" i="7"/>
  <c r="G394" i="7"/>
  <c r="G665"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232"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E3" i="7"/>
  <c r="E4" i="7"/>
  <c r="E5" i="7"/>
  <c r="E6" i="7"/>
  <c r="E7" i="7"/>
  <c r="E8" i="7"/>
  <c r="E9" i="7"/>
  <c r="E10" i="7"/>
  <c r="E11" i="7"/>
  <c r="E12" i="7"/>
  <c r="E13" i="7"/>
  <c r="E14" i="7"/>
  <c r="E15" i="7"/>
  <c r="E16" i="7"/>
  <c r="E17" i="7"/>
  <c r="E18" i="7"/>
  <c r="E19" i="7"/>
  <c r="E20" i="7"/>
  <c r="E21" i="7"/>
  <c r="E22" i="7"/>
  <c r="E23" i="7"/>
  <c r="E24" i="7"/>
  <c r="E25" i="7"/>
  <c r="E26" i="7"/>
  <c r="E27" i="7"/>
  <c r="E28" i="7"/>
  <c r="E29" i="7"/>
  <c r="E637"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638" i="7"/>
  <c r="E74" i="7"/>
  <c r="E639" i="7"/>
  <c r="E75" i="7"/>
  <c r="E640"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641" i="7"/>
  <c r="E642" i="7"/>
  <c r="E123" i="7"/>
  <c r="E124" i="7"/>
  <c r="E125" i="7"/>
  <c r="E643"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644" i="7"/>
  <c r="E152" i="7"/>
  <c r="E153" i="7"/>
  <c r="E154" i="7"/>
  <c r="E155" i="7"/>
  <c r="E156" i="7"/>
  <c r="E157" i="7"/>
  <c r="E158" i="7"/>
  <c r="E159" i="7"/>
  <c r="E645" i="7"/>
  <c r="E160" i="7"/>
  <c r="E161" i="7"/>
  <c r="E162" i="7"/>
  <c r="E646" i="7"/>
  <c r="E163" i="7"/>
  <c r="E164" i="7"/>
  <c r="E165" i="7"/>
  <c r="E166" i="7"/>
  <c r="E167" i="7"/>
  <c r="E168" i="7"/>
  <c r="E647" i="7"/>
  <c r="E169" i="7"/>
  <c r="E170" i="7"/>
  <c r="E171" i="7"/>
  <c r="E172" i="7"/>
  <c r="E173" i="7"/>
  <c r="E174" i="7"/>
  <c r="E175" i="7"/>
  <c r="E176" i="7"/>
  <c r="E177" i="7"/>
  <c r="E178" i="7"/>
  <c r="E179" i="7"/>
  <c r="E180" i="7"/>
  <c r="E648" i="7"/>
  <c r="E649" i="7"/>
  <c r="E650" i="7"/>
  <c r="E181" i="7"/>
  <c r="E182" i="7"/>
  <c r="E183" i="7"/>
  <c r="E184" i="7"/>
  <c r="E185" i="7"/>
  <c r="E186" i="7"/>
  <c r="E187" i="7"/>
  <c r="E188" i="7"/>
  <c r="E189" i="7"/>
  <c r="E190" i="7"/>
  <c r="E191" i="7"/>
  <c r="E192" i="7"/>
  <c r="E193" i="7"/>
  <c r="E194" i="7"/>
  <c r="E195" i="7"/>
  <c r="E196" i="7"/>
  <c r="E197" i="7"/>
  <c r="E198" i="7"/>
  <c r="E199" i="7"/>
  <c r="E200" i="7"/>
  <c r="E201" i="7"/>
  <c r="E202" i="7"/>
  <c r="E651"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65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653" i="7"/>
  <c r="E654" i="7"/>
  <c r="E655" i="7"/>
  <c r="E273" i="7"/>
  <c r="E274" i="7"/>
  <c r="E275" i="7"/>
  <c r="E276" i="7"/>
  <c r="E277" i="7"/>
  <c r="E278" i="7"/>
  <c r="E279" i="7"/>
  <c r="E280" i="7"/>
  <c r="E281" i="7"/>
  <c r="E282" i="7"/>
  <c r="E283" i="7"/>
  <c r="E284" i="7"/>
  <c r="E285" i="7"/>
  <c r="E286" i="7"/>
  <c r="E287" i="7"/>
  <c r="E656" i="7"/>
  <c r="E288" i="7"/>
  <c r="E657" i="7"/>
  <c r="E289" i="7"/>
  <c r="E658" i="7"/>
  <c r="E659" i="7"/>
  <c r="E660" i="7"/>
  <c r="E290" i="7"/>
  <c r="E291" i="7"/>
  <c r="E292" i="7"/>
  <c r="E293" i="7"/>
  <c r="E294" i="7"/>
  <c r="E295" i="7"/>
  <c r="E296" i="7"/>
  <c r="E297" i="7"/>
  <c r="E298" i="7"/>
  <c r="E299" i="7"/>
  <c r="E300" i="7"/>
  <c r="E301" i="7"/>
  <c r="E302" i="7"/>
  <c r="E661" i="7"/>
  <c r="E662" i="7"/>
  <c r="E303" i="7"/>
  <c r="E304" i="7"/>
  <c r="E305" i="7"/>
  <c r="E306" i="7"/>
  <c r="E307" i="7"/>
  <c r="E308" i="7"/>
  <c r="E309" i="7"/>
  <c r="E310" i="7"/>
  <c r="E311" i="7"/>
  <c r="E312" i="7"/>
  <c r="E313" i="7"/>
  <c r="E314" i="7"/>
  <c r="E315" i="7"/>
  <c r="E316" i="7"/>
  <c r="E317" i="7"/>
  <c r="E318" i="7"/>
  <c r="E319" i="7"/>
  <c r="E663" i="7"/>
  <c r="E320" i="7"/>
  <c r="E321" i="7"/>
  <c r="E322" i="7"/>
  <c r="E323" i="7"/>
  <c r="E324" i="7"/>
  <c r="E325" i="7"/>
  <c r="E326" i="7"/>
  <c r="E327" i="7"/>
  <c r="E664"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568" i="7"/>
  <c r="E445" i="7"/>
  <c r="E374" i="7"/>
  <c r="E375" i="7"/>
  <c r="E376" i="7"/>
  <c r="E377" i="7"/>
  <c r="E378" i="7"/>
  <c r="E379" i="7"/>
  <c r="E380" i="7"/>
  <c r="E381" i="7"/>
  <c r="E382" i="7"/>
  <c r="E383" i="7"/>
  <c r="E384" i="7"/>
  <c r="E385" i="7"/>
  <c r="E386" i="7"/>
  <c r="E387" i="7"/>
  <c r="E388" i="7"/>
  <c r="E389" i="7"/>
  <c r="E390" i="7"/>
  <c r="E391" i="7"/>
  <c r="E392" i="7"/>
  <c r="E393" i="7"/>
  <c r="E394" i="7"/>
  <c r="E665"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232"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G2" i="7"/>
  <c r="E2" i="7"/>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172" i="6"/>
  <c r="E173" i="6"/>
  <c r="E174" i="6"/>
  <c r="E175" i="6"/>
  <c r="E176" i="6"/>
  <c r="E177" i="6"/>
  <c r="E178" i="6"/>
  <c r="E179" i="6"/>
  <c r="E180" i="6"/>
  <c r="E181" i="6"/>
  <c r="E182" i="6"/>
  <c r="E183" i="6"/>
  <c r="E184" i="6"/>
  <c r="E185" i="6"/>
  <c r="E186" i="6"/>
  <c r="E187" i="6"/>
  <c r="E188" i="6"/>
  <c r="E189" i="6"/>
  <c r="E190" i="6"/>
  <c r="E191" i="6"/>
  <c r="E192" i="6"/>
  <c r="E193" i="6"/>
  <c r="E194" i="6"/>
  <c r="E195" i="6"/>
  <c r="E196" i="6"/>
  <c r="E197" i="6"/>
  <c r="E198" i="6"/>
  <c r="E199" i="6"/>
  <c r="E200" i="6"/>
  <c r="E201" i="6"/>
  <c r="E202" i="6"/>
  <c r="E203" i="6"/>
  <c r="E204" i="6"/>
  <c r="E205" i="6"/>
  <c r="E206" i="6"/>
  <c r="E207" i="6"/>
  <c r="E208" i="6"/>
  <c r="E209" i="6"/>
  <c r="E210" i="6"/>
  <c r="E211" i="6"/>
  <c r="E212" i="6"/>
  <c r="E213" i="6"/>
  <c r="E214" i="6"/>
  <c r="E215" i="6"/>
  <c r="E216" i="6"/>
  <c r="E217" i="6"/>
  <c r="E218" i="6"/>
  <c r="E219" i="6"/>
  <c r="E220" i="6"/>
  <c r="E221" i="6"/>
  <c r="E222" i="6"/>
  <c r="E223" i="6"/>
  <c r="E224" i="6"/>
  <c r="E225" i="6"/>
  <c r="E226" i="6"/>
  <c r="E227" i="6"/>
  <c r="E228" i="6"/>
  <c r="E229" i="6"/>
  <c r="E230" i="6"/>
  <c r="E231" i="6"/>
  <c r="E232" i="6"/>
  <c r="E233" i="6"/>
  <c r="E234" i="6"/>
  <c r="E235" i="6"/>
  <c r="E236" i="6"/>
  <c r="E237" i="6"/>
  <c r="E238" i="6"/>
  <c r="E239" i="6"/>
  <c r="E240" i="6"/>
  <c r="E241" i="6"/>
  <c r="E242" i="6"/>
  <c r="E243" i="6"/>
  <c r="E244" i="6"/>
  <c r="E245" i="6"/>
  <c r="E246" i="6"/>
  <c r="E247" i="6"/>
  <c r="E248" i="6"/>
  <c r="E249" i="6"/>
  <c r="E250" i="6"/>
  <c r="E251" i="6"/>
  <c r="E252" i="6"/>
  <c r="E253" i="6"/>
  <c r="E254" i="6"/>
  <c r="E255" i="6"/>
  <c r="E256" i="6"/>
  <c r="E257" i="6"/>
  <c r="E258" i="6"/>
  <c r="E259" i="6"/>
  <c r="E260" i="6"/>
  <c r="E261" i="6"/>
  <c r="E262" i="6"/>
  <c r="E263" i="6"/>
  <c r="E264" i="6"/>
  <c r="E265" i="6"/>
  <c r="E266" i="6"/>
  <c r="E267" i="6"/>
  <c r="E268" i="6"/>
  <c r="E269" i="6"/>
  <c r="E270" i="6"/>
  <c r="E271" i="6"/>
  <c r="E272" i="6"/>
  <c r="E273" i="6"/>
  <c r="E274" i="6"/>
  <c r="E275" i="6"/>
  <c r="E276" i="6"/>
  <c r="E277" i="6"/>
  <c r="E278" i="6"/>
  <c r="E279" i="6"/>
  <c r="E280" i="6"/>
  <c r="E281" i="6"/>
  <c r="E282" i="6"/>
  <c r="E283" i="6"/>
  <c r="E284" i="6"/>
  <c r="E285" i="6"/>
  <c r="E286" i="6"/>
  <c r="E287" i="6"/>
  <c r="E288" i="6"/>
  <c r="E289" i="6"/>
  <c r="E290" i="6"/>
  <c r="E291" i="6"/>
  <c r="E292" i="6"/>
  <c r="E293" i="6"/>
  <c r="E294" i="6"/>
  <c r="E295" i="6"/>
  <c r="E296" i="6"/>
  <c r="E297" i="6"/>
  <c r="E298" i="6"/>
  <c r="E299" i="6"/>
  <c r="E300" i="6"/>
  <c r="E301" i="6"/>
  <c r="E302" i="6"/>
  <c r="E303" i="6"/>
  <c r="E304" i="6"/>
  <c r="E305" i="6"/>
  <c r="E306" i="6"/>
  <c r="E307" i="6"/>
  <c r="E308" i="6"/>
  <c r="E309" i="6"/>
  <c r="E310" i="6"/>
  <c r="E311" i="6"/>
  <c r="E312" i="6"/>
  <c r="E313" i="6"/>
  <c r="E314" i="6"/>
  <c r="E315" i="6"/>
  <c r="E316" i="6"/>
  <c r="E317" i="6"/>
  <c r="E318" i="6"/>
  <c r="E319" i="6"/>
  <c r="E320" i="6"/>
  <c r="E321" i="6"/>
  <c r="E322" i="6"/>
  <c r="E323" i="6"/>
  <c r="E324" i="6"/>
  <c r="E325" i="6"/>
  <c r="E326" i="6"/>
  <c r="E327" i="6"/>
  <c r="E328" i="6"/>
  <c r="E329" i="6"/>
  <c r="E330" i="6"/>
  <c r="E331" i="6"/>
  <c r="E332" i="6"/>
  <c r="E333" i="6"/>
  <c r="E334" i="6"/>
  <c r="E335" i="6"/>
  <c r="E336" i="6"/>
  <c r="E337" i="6"/>
  <c r="E338" i="6"/>
  <c r="E339" i="6"/>
  <c r="E340" i="6"/>
  <c r="E341" i="6"/>
  <c r="E342" i="6"/>
  <c r="E343" i="6"/>
  <c r="E344" i="6"/>
  <c r="E345" i="6"/>
  <c r="E346" i="6"/>
  <c r="E347" i="6"/>
  <c r="E348" i="6"/>
  <c r="E349" i="6"/>
  <c r="E350" i="6"/>
  <c r="E351" i="6"/>
  <c r="E352" i="6"/>
  <c r="E353" i="6"/>
  <c r="E354" i="6"/>
  <c r="E355" i="6"/>
  <c r="E356" i="6"/>
  <c r="E357" i="6"/>
  <c r="E358" i="6"/>
  <c r="E359" i="6"/>
  <c r="E360" i="6"/>
  <c r="E361" i="6"/>
  <c r="E362" i="6"/>
  <c r="E363" i="6"/>
  <c r="E364" i="6"/>
  <c r="E365" i="6"/>
  <c r="E366" i="6"/>
  <c r="E367" i="6"/>
  <c r="E368" i="6"/>
  <c r="E369" i="6"/>
  <c r="E370" i="6"/>
  <c r="E371" i="6"/>
  <c r="E372" i="6"/>
  <c r="E373" i="6"/>
  <c r="E374" i="6"/>
  <c r="E375" i="6"/>
  <c r="E376" i="6"/>
  <c r="E377" i="6"/>
  <c r="E378" i="6"/>
  <c r="E379" i="6"/>
  <c r="E380" i="6"/>
  <c r="E381" i="6"/>
  <c r="E382" i="6"/>
  <c r="E383" i="6"/>
  <c r="E384" i="6"/>
  <c r="E385" i="6"/>
  <c r="E386" i="6"/>
  <c r="E387" i="6"/>
  <c r="E388" i="6"/>
  <c r="E389" i="6"/>
  <c r="E390" i="6"/>
  <c r="E391" i="6"/>
  <c r="E392" i="6"/>
  <c r="E393" i="6"/>
  <c r="E394" i="6"/>
  <c r="E395" i="6"/>
  <c r="E396" i="6"/>
  <c r="E397" i="6"/>
  <c r="E398" i="6"/>
  <c r="E399" i="6"/>
  <c r="E400" i="6"/>
  <c r="E401" i="6"/>
  <c r="E402" i="6"/>
  <c r="E403" i="6"/>
  <c r="E404" i="6"/>
  <c r="E405" i="6"/>
  <c r="E406" i="6"/>
  <c r="E407" i="6"/>
  <c r="E408" i="6"/>
  <c r="E409" i="6"/>
  <c r="F409" i="6" s="1"/>
  <c r="E410" i="6"/>
  <c r="E411" i="6"/>
  <c r="E412" i="6"/>
  <c r="E413" i="6"/>
  <c r="E414" i="6"/>
  <c r="E415" i="6"/>
  <c r="E416" i="6"/>
  <c r="E417" i="6"/>
  <c r="E418" i="6"/>
  <c r="E419" i="6"/>
  <c r="E420" i="6"/>
  <c r="E421" i="6"/>
  <c r="E422" i="6"/>
  <c r="E423" i="6"/>
  <c r="E424" i="6"/>
  <c r="E425" i="6"/>
  <c r="E426" i="6"/>
  <c r="E427" i="6"/>
  <c r="E428" i="6"/>
  <c r="E429" i="6"/>
  <c r="E430" i="6"/>
  <c r="E431" i="6"/>
  <c r="E432" i="6"/>
  <c r="E433" i="6"/>
  <c r="E434" i="6"/>
  <c r="E435" i="6"/>
  <c r="E436" i="6"/>
  <c r="E437" i="6"/>
  <c r="E438" i="6"/>
  <c r="E439" i="6"/>
  <c r="E440" i="6"/>
  <c r="E441" i="6"/>
  <c r="E442" i="6"/>
  <c r="E443" i="6"/>
  <c r="E444" i="6"/>
  <c r="E445" i="6"/>
  <c r="E446" i="6"/>
  <c r="E447" i="6"/>
  <c r="E448" i="6"/>
  <c r="E449" i="6"/>
  <c r="E450" i="6"/>
  <c r="E451" i="6"/>
  <c r="E452" i="6"/>
  <c r="E453" i="6"/>
  <c r="E454" i="6"/>
  <c r="E455" i="6"/>
  <c r="E456" i="6"/>
  <c r="E457" i="6"/>
  <c r="E458" i="6"/>
  <c r="E459" i="6"/>
  <c r="E460" i="6"/>
  <c r="E461" i="6"/>
  <c r="E462" i="6"/>
  <c r="E463" i="6"/>
  <c r="E464" i="6"/>
  <c r="E465" i="6"/>
  <c r="E466" i="6"/>
  <c r="E467" i="6"/>
  <c r="E468" i="6"/>
  <c r="E469" i="6"/>
  <c r="E470" i="6"/>
  <c r="E471" i="6"/>
  <c r="E472" i="6"/>
  <c r="E473" i="6"/>
  <c r="E474" i="6"/>
  <c r="E475" i="6"/>
  <c r="E476" i="6"/>
  <c r="E477" i="6"/>
  <c r="E478" i="6"/>
  <c r="E479" i="6"/>
  <c r="E480" i="6"/>
  <c r="E481" i="6"/>
  <c r="E482" i="6"/>
  <c r="E483" i="6"/>
  <c r="E484" i="6"/>
  <c r="E485" i="6"/>
  <c r="E486" i="6"/>
  <c r="E487" i="6"/>
  <c r="E488" i="6"/>
  <c r="E489" i="6"/>
  <c r="E490" i="6"/>
  <c r="E491" i="6"/>
  <c r="E492" i="6"/>
  <c r="E493" i="6"/>
  <c r="E494" i="6"/>
  <c r="E495" i="6"/>
  <c r="E496" i="6"/>
  <c r="E497" i="6"/>
  <c r="E498" i="6"/>
  <c r="E499" i="6"/>
  <c r="E500" i="6"/>
  <c r="E501" i="6"/>
  <c r="E502" i="6"/>
  <c r="E503" i="6"/>
  <c r="E504" i="6"/>
  <c r="E505" i="6"/>
  <c r="E506" i="6"/>
  <c r="E507" i="6"/>
  <c r="E508" i="6"/>
  <c r="E509" i="6"/>
  <c r="E510" i="6"/>
  <c r="E511" i="6"/>
  <c r="E512" i="6"/>
  <c r="E513" i="6"/>
  <c r="E514" i="6"/>
  <c r="E515" i="6"/>
  <c r="E516" i="6"/>
  <c r="E517" i="6"/>
  <c r="E518" i="6"/>
  <c r="E519" i="6"/>
  <c r="E520" i="6"/>
  <c r="E521" i="6"/>
  <c r="E522" i="6"/>
  <c r="E523" i="6"/>
  <c r="E524" i="6"/>
  <c r="E525" i="6"/>
  <c r="E526" i="6"/>
  <c r="E527" i="6"/>
  <c r="E528" i="6"/>
  <c r="E529" i="6"/>
  <c r="E530" i="6"/>
  <c r="E531" i="6"/>
  <c r="E532" i="6"/>
  <c r="E533" i="6"/>
  <c r="E534" i="6"/>
  <c r="E535" i="6"/>
  <c r="E536" i="6"/>
  <c r="E537" i="6"/>
  <c r="E538" i="6"/>
  <c r="E539" i="6"/>
  <c r="E540" i="6"/>
  <c r="E541" i="6"/>
  <c r="E542" i="6"/>
  <c r="E543" i="6"/>
  <c r="E544" i="6"/>
  <c r="E545" i="6"/>
  <c r="E546" i="6"/>
  <c r="E547" i="6"/>
  <c r="E548" i="6"/>
  <c r="E549" i="6"/>
  <c r="E550" i="6"/>
  <c r="E551" i="6"/>
  <c r="E552" i="6"/>
  <c r="E553" i="6"/>
  <c r="E554" i="6"/>
  <c r="E555" i="6"/>
  <c r="E556" i="6"/>
  <c r="E557" i="6"/>
  <c r="E558" i="6"/>
  <c r="E559" i="6"/>
  <c r="E560" i="6"/>
  <c r="E561" i="6"/>
  <c r="E562" i="6"/>
  <c r="E563" i="6"/>
  <c r="E564" i="6"/>
  <c r="E565" i="6"/>
  <c r="E566" i="6"/>
  <c r="E567" i="6"/>
  <c r="E568" i="6"/>
  <c r="E569" i="6"/>
  <c r="E570" i="6"/>
  <c r="E571" i="6"/>
  <c r="E572" i="6"/>
  <c r="E573" i="6"/>
  <c r="E574" i="6"/>
  <c r="E575" i="6"/>
  <c r="E576" i="6"/>
  <c r="E577" i="6"/>
  <c r="E578" i="6"/>
  <c r="E579" i="6"/>
  <c r="E580" i="6"/>
  <c r="E581" i="6"/>
  <c r="E582" i="6"/>
  <c r="E583" i="6"/>
  <c r="E584" i="6"/>
  <c r="E585" i="6"/>
  <c r="E586" i="6"/>
  <c r="E587" i="6"/>
  <c r="E588" i="6"/>
  <c r="E589" i="6"/>
  <c r="E590" i="6"/>
  <c r="E591" i="6"/>
  <c r="E592" i="6"/>
  <c r="E593" i="6"/>
  <c r="E594" i="6"/>
  <c r="E595" i="6"/>
  <c r="E596" i="6"/>
  <c r="E597" i="6"/>
  <c r="E598" i="6"/>
  <c r="E599" i="6"/>
  <c r="E600" i="6"/>
  <c r="E601" i="6"/>
  <c r="E602" i="6"/>
  <c r="E603" i="6"/>
  <c r="E604" i="6"/>
  <c r="E605" i="6"/>
  <c r="E606" i="6"/>
  <c r="E607" i="6"/>
  <c r="E608" i="6"/>
  <c r="E609" i="6"/>
  <c r="E610" i="6"/>
  <c r="E611" i="6"/>
  <c r="E612" i="6"/>
  <c r="E613" i="6"/>
  <c r="E614" i="6"/>
  <c r="E615" i="6"/>
  <c r="E616" i="6"/>
  <c r="E617" i="6"/>
  <c r="E618" i="6"/>
  <c r="E619" i="6"/>
  <c r="E620" i="6"/>
  <c r="E621" i="6"/>
  <c r="E622" i="6"/>
  <c r="E623" i="6"/>
  <c r="E624" i="6"/>
  <c r="E625" i="6"/>
  <c r="E626" i="6"/>
  <c r="E627" i="6"/>
  <c r="E628" i="6"/>
  <c r="E629" i="6"/>
  <c r="E630" i="6"/>
  <c r="E631" i="6"/>
  <c r="E632" i="6"/>
  <c r="E633" i="6"/>
  <c r="E634" i="6"/>
  <c r="E635" i="6"/>
  <c r="F635" i="6" s="1"/>
  <c r="E636" i="6"/>
  <c r="E637" i="6"/>
  <c r="E638" i="6"/>
  <c r="E639" i="6"/>
  <c r="F639" i="6" s="1"/>
  <c r="E640" i="6"/>
  <c r="E641" i="6"/>
  <c r="F641" i="6" s="1"/>
  <c r="E642" i="6"/>
  <c r="F642" i="6" s="1"/>
  <c r="E643" i="6"/>
  <c r="F643" i="6" s="1"/>
  <c r="E644" i="6"/>
  <c r="E645" i="6"/>
  <c r="E646" i="6"/>
  <c r="E647" i="6"/>
  <c r="E648" i="6"/>
  <c r="E649" i="6"/>
  <c r="F649" i="6" s="1"/>
  <c r="E650" i="6"/>
  <c r="F650" i="6" s="1"/>
  <c r="E651" i="6"/>
  <c r="F651" i="6" s="1"/>
  <c r="E652" i="6"/>
  <c r="E653" i="6"/>
  <c r="E654" i="6"/>
  <c r="E655" i="6"/>
  <c r="E656" i="6"/>
  <c r="E657" i="6"/>
  <c r="F657" i="6" s="1"/>
  <c r="E658" i="6"/>
  <c r="E659" i="6"/>
  <c r="F659" i="6" s="1"/>
  <c r="E660" i="6"/>
  <c r="F660" i="6" s="1"/>
  <c r="E661" i="6"/>
  <c r="E662" i="6"/>
  <c r="F662" i="6" s="1"/>
  <c r="E663" i="6"/>
  <c r="E664" i="6"/>
  <c r="E665" i="6"/>
  <c r="F665" i="6" s="1"/>
  <c r="E666" i="6"/>
  <c r="F666" i="6" s="1"/>
  <c r="E3" i="6"/>
  <c r="F3" i="6" s="1"/>
  <c r="E4" i="6"/>
  <c r="F4" i="6" s="1"/>
  <c r="E5" i="6"/>
  <c r="E6" i="6"/>
  <c r="E7" i="6"/>
  <c r="E8" i="6"/>
  <c r="E9" i="6"/>
  <c r="F9" i="6" s="1"/>
  <c r="E10" i="6"/>
  <c r="F10" i="6" s="1"/>
  <c r="E11" i="6"/>
  <c r="F11" i="6" s="1"/>
  <c r="E12" i="6"/>
  <c r="F12" i="6" s="1"/>
  <c r="E13" i="6"/>
  <c r="F13" i="6" s="1"/>
  <c r="E14" i="6"/>
  <c r="E15" i="6"/>
  <c r="E16" i="6"/>
  <c r="E17" i="6"/>
  <c r="F17" i="6" s="1"/>
  <c r="E18" i="6"/>
  <c r="F18" i="6" s="1"/>
  <c r="E19" i="6"/>
  <c r="F19" i="6" s="1"/>
  <c r="E20" i="6"/>
  <c r="F20" i="6" s="1"/>
  <c r="E21" i="6"/>
  <c r="E22" i="6"/>
  <c r="F22" i="6" s="1"/>
  <c r="E23" i="6"/>
  <c r="F23" i="6" s="1"/>
  <c r="E24" i="6"/>
  <c r="E25" i="6"/>
  <c r="F25" i="6" s="1"/>
  <c r="E26" i="6"/>
  <c r="F26" i="6" s="1"/>
  <c r="E27" i="6"/>
  <c r="F27" i="6" s="1"/>
  <c r="E28" i="6"/>
  <c r="F28" i="6" s="1"/>
  <c r="E29" i="6"/>
  <c r="E30" i="6"/>
  <c r="E31" i="6"/>
  <c r="F31" i="6" s="1"/>
  <c r="E32" i="6"/>
  <c r="E33" i="6"/>
  <c r="F33" i="6" s="1"/>
  <c r="E34" i="6"/>
  <c r="F34" i="6" s="1"/>
  <c r="E35" i="6"/>
  <c r="F35" i="6" s="1"/>
  <c r="E36" i="6"/>
  <c r="E37" i="6"/>
  <c r="E38" i="6"/>
  <c r="E39" i="6"/>
  <c r="E40" i="6"/>
  <c r="E41" i="6"/>
  <c r="F41" i="6" s="1"/>
  <c r="E42" i="6"/>
  <c r="F42" i="6" s="1"/>
  <c r="E43" i="6"/>
  <c r="F43" i="6" s="1"/>
  <c r="E44" i="6"/>
  <c r="F44" i="6" s="1"/>
  <c r="E45" i="6"/>
  <c r="F45" i="6" s="1"/>
  <c r="E46" i="6"/>
  <c r="F46" i="6" s="1"/>
  <c r="E47" i="6"/>
  <c r="F47" i="6" s="1"/>
  <c r="E48" i="6"/>
  <c r="E49" i="6"/>
  <c r="F49" i="6" s="1"/>
  <c r="E50" i="6"/>
  <c r="F50" i="6" s="1"/>
  <c r="E51" i="6"/>
  <c r="F51" i="6" s="1"/>
  <c r="E52" i="6"/>
  <c r="F52" i="6" s="1"/>
  <c r="E53" i="6"/>
  <c r="E54" i="6"/>
  <c r="F54" i="6" s="1"/>
  <c r="E55" i="6"/>
  <c r="F55" i="6" s="1"/>
  <c r="E56" i="6"/>
  <c r="E57" i="6"/>
  <c r="F57" i="6" s="1"/>
  <c r="E58" i="6"/>
  <c r="F58" i="6" s="1"/>
  <c r="E59" i="6"/>
  <c r="F59" i="6" s="1"/>
  <c r="E60" i="6"/>
  <c r="F60" i="6" s="1"/>
  <c r="E61" i="6"/>
  <c r="F61" i="6" s="1"/>
  <c r="E62" i="6"/>
  <c r="F62" i="6" s="1"/>
  <c r="E63" i="6"/>
  <c r="F63" i="6" s="1"/>
  <c r="E64" i="6"/>
  <c r="E65" i="6"/>
  <c r="F65" i="6" s="1"/>
  <c r="E66" i="6"/>
  <c r="F66" i="6" s="1"/>
  <c r="E67" i="6"/>
  <c r="F67" i="6" s="1"/>
  <c r="E68" i="6"/>
  <c r="E69" i="6"/>
  <c r="E70" i="6"/>
  <c r="E71" i="6"/>
  <c r="E72" i="6"/>
  <c r="E73" i="6"/>
  <c r="F73" i="6" s="1"/>
  <c r="E74" i="6"/>
  <c r="F74" i="6" s="1"/>
  <c r="E75" i="6"/>
  <c r="F75" i="6" s="1"/>
  <c r="E76" i="6"/>
  <c r="F76" i="6" s="1"/>
  <c r="E77" i="6"/>
  <c r="F77" i="6" s="1"/>
  <c r="E78" i="6"/>
  <c r="F78" i="6" s="1"/>
  <c r="E79" i="6"/>
  <c r="F79" i="6" s="1"/>
  <c r="E80" i="6"/>
  <c r="E81" i="6"/>
  <c r="F81" i="6" s="1"/>
  <c r="E82" i="6"/>
  <c r="F82" i="6" s="1"/>
  <c r="E83" i="6"/>
  <c r="F83" i="6" s="1"/>
  <c r="E84" i="6"/>
  <c r="F84" i="6" s="1"/>
  <c r="E85" i="6"/>
  <c r="E86" i="6"/>
  <c r="F86" i="6" s="1"/>
  <c r="E87" i="6"/>
  <c r="F87" i="6" s="1"/>
  <c r="E88" i="6"/>
  <c r="E89" i="6"/>
  <c r="F89" i="6" s="1"/>
  <c r="E90" i="6"/>
  <c r="F90" i="6" s="1"/>
  <c r="E91" i="6"/>
  <c r="F91" i="6" s="1"/>
  <c r="E92" i="6"/>
  <c r="F92" i="6" s="1"/>
  <c r="E93" i="6"/>
  <c r="F93" i="6" s="1"/>
  <c r="C634" i="7"/>
  <c r="H634" i="7" s="1"/>
  <c r="E2" i="6"/>
  <c r="F2" i="6" s="1"/>
  <c r="F5" i="6"/>
  <c r="F6" i="6"/>
  <c r="F7" i="6"/>
  <c r="F8" i="6"/>
  <c r="F14" i="6"/>
  <c r="F15" i="6"/>
  <c r="F16" i="6"/>
  <c r="F21" i="6"/>
  <c r="F24" i="6"/>
  <c r="F29" i="6"/>
  <c r="F30" i="6"/>
  <c r="F32" i="6"/>
  <c r="F36" i="6"/>
  <c r="F37" i="6"/>
  <c r="F38" i="6"/>
  <c r="F39" i="6"/>
  <c r="F40" i="6"/>
  <c r="F48" i="6"/>
  <c r="F53" i="6"/>
  <c r="F56" i="6"/>
  <c r="F64" i="6"/>
  <c r="F68" i="6"/>
  <c r="F69" i="6"/>
  <c r="F70" i="6"/>
  <c r="F71" i="6"/>
  <c r="F72" i="6"/>
  <c r="F80" i="6"/>
  <c r="F85" i="6"/>
  <c r="F88" i="6"/>
  <c r="F94" i="6"/>
  <c r="E95" i="6"/>
  <c r="F95" i="6" s="1"/>
  <c r="F96" i="6"/>
  <c r="F97" i="6"/>
  <c r="F98" i="6"/>
  <c r="F99" i="6"/>
  <c r="F100" i="6"/>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F168" i="6"/>
  <c r="F169" i="6"/>
  <c r="F170" i="6"/>
  <c r="F171" i="6"/>
  <c r="F172" i="6"/>
  <c r="F173" i="6"/>
  <c r="F174" i="6"/>
  <c r="F175" i="6"/>
  <c r="F176" i="6"/>
  <c r="F177" i="6"/>
  <c r="F178" i="6"/>
  <c r="F179" i="6"/>
  <c r="F180" i="6"/>
  <c r="F181" i="6"/>
  <c r="F182" i="6"/>
  <c r="F183" i="6"/>
  <c r="F184" i="6"/>
  <c r="F185" i="6"/>
  <c r="F186" i="6"/>
  <c r="F187" i="6"/>
  <c r="F188" i="6"/>
  <c r="F189" i="6"/>
  <c r="F190" i="6"/>
  <c r="F191" i="6"/>
  <c r="F192" i="6"/>
  <c r="F193" i="6"/>
  <c r="F194" i="6"/>
  <c r="F195" i="6"/>
  <c r="F196" i="6"/>
  <c r="F197" i="6"/>
  <c r="F198" i="6"/>
  <c r="F199" i="6"/>
  <c r="F200" i="6"/>
  <c r="F201" i="6"/>
  <c r="F202" i="6"/>
  <c r="F203" i="6"/>
  <c r="F204" i="6"/>
  <c r="F205" i="6"/>
  <c r="F206" i="6"/>
  <c r="F207" i="6"/>
  <c r="F208" i="6"/>
  <c r="F209" i="6"/>
  <c r="F210" i="6"/>
  <c r="F211" i="6"/>
  <c r="F212" i="6"/>
  <c r="F213" i="6"/>
  <c r="F214" i="6"/>
  <c r="F215" i="6"/>
  <c r="F216" i="6"/>
  <c r="F217" i="6"/>
  <c r="F218" i="6"/>
  <c r="F219" i="6"/>
  <c r="F220" i="6"/>
  <c r="F221" i="6"/>
  <c r="F222" i="6"/>
  <c r="F223" i="6"/>
  <c r="F224" i="6"/>
  <c r="F225" i="6"/>
  <c r="F226" i="6"/>
  <c r="F227" i="6"/>
  <c r="F228" i="6"/>
  <c r="F229" i="6"/>
  <c r="F230" i="6"/>
  <c r="F231" i="6"/>
  <c r="F232" i="6"/>
  <c r="F233" i="6"/>
  <c r="F234" i="6"/>
  <c r="F235" i="6"/>
  <c r="F236" i="6"/>
  <c r="F237" i="6"/>
  <c r="F238" i="6"/>
  <c r="F239" i="6"/>
  <c r="F240" i="6"/>
  <c r="F241" i="6"/>
  <c r="F242" i="6"/>
  <c r="F243" i="6"/>
  <c r="F244" i="6"/>
  <c r="F245" i="6"/>
  <c r="F246" i="6"/>
  <c r="F247" i="6"/>
  <c r="F248" i="6"/>
  <c r="F249" i="6"/>
  <c r="F250" i="6"/>
  <c r="F251" i="6"/>
  <c r="F252" i="6"/>
  <c r="F253" i="6"/>
  <c r="F254" i="6"/>
  <c r="F255" i="6"/>
  <c r="F256" i="6"/>
  <c r="F257" i="6"/>
  <c r="F258" i="6"/>
  <c r="F259" i="6"/>
  <c r="F260" i="6"/>
  <c r="F261" i="6"/>
  <c r="F262" i="6"/>
  <c r="F263" i="6"/>
  <c r="F264" i="6"/>
  <c r="F265" i="6"/>
  <c r="F266" i="6"/>
  <c r="F267" i="6"/>
  <c r="F268" i="6"/>
  <c r="F269" i="6"/>
  <c r="F270" i="6"/>
  <c r="F271" i="6"/>
  <c r="F272" i="6"/>
  <c r="F273" i="6"/>
  <c r="F274" i="6"/>
  <c r="F275" i="6"/>
  <c r="F276" i="6"/>
  <c r="F277" i="6"/>
  <c r="F278" i="6"/>
  <c r="F279" i="6"/>
  <c r="F280" i="6"/>
  <c r="F281" i="6"/>
  <c r="F282" i="6"/>
  <c r="F283" i="6"/>
  <c r="F284" i="6"/>
  <c r="F285" i="6"/>
  <c r="F286" i="6"/>
  <c r="F287" i="6"/>
  <c r="F288" i="6"/>
  <c r="F289" i="6"/>
  <c r="F290" i="6"/>
  <c r="F291" i="6"/>
  <c r="F292" i="6"/>
  <c r="F293" i="6"/>
  <c r="F294" i="6"/>
  <c r="F295" i="6"/>
  <c r="F296" i="6"/>
  <c r="F297" i="6"/>
  <c r="F298" i="6"/>
  <c r="F299" i="6"/>
  <c r="F300" i="6"/>
  <c r="F301" i="6"/>
  <c r="F302" i="6"/>
  <c r="F303" i="6"/>
  <c r="F304" i="6"/>
  <c r="F305" i="6"/>
  <c r="F306" i="6"/>
  <c r="F307" i="6"/>
  <c r="F308" i="6"/>
  <c r="F309" i="6"/>
  <c r="F310" i="6"/>
  <c r="F311" i="6"/>
  <c r="F312" i="6"/>
  <c r="F313" i="6"/>
  <c r="F314" i="6"/>
  <c r="F315" i="6"/>
  <c r="F316" i="6"/>
  <c r="F317" i="6"/>
  <c r="F318" i="6"/>
  <c r="F319" i="6"/>
  <c r="F320" i="6"/>
  <c r="F321" i="6"/>
  <c r="F322" i="6"/>
  <c r="F323" i="6"/>
  <c r="F324" i="6"/>
  <c r="F325" i="6"/>
  <c r="F326" i="6"/>
  <c r="F327" i="6"/>
  <c r="F328" i="6"/>
  <c r="F329" i="6"/>
  <c r="F330" i="6"/>
  <c r="F331" i="6"/>
  <c r="F332" i="6"/>
  <c r="F333" i="6"/>
  <c r="F334" i="6"/>
  <c r="F335" i="6"/>
  <c r="F336" i="6"/>
  <c r="F337" i="6"/>
  <c r="F338" i="6"/>
  <c r="F339" i="6"/>
  <c r="F340" i="6"/>
  <c r="F341" i="6"/>
  <c r="F342" i="6"/>
  <c r="F343" i="6"/>
  <c r="F344" i="6"/>
  <c r="F345" i="6"/>
  <c r="F346" i="6"/>
  <c r="F347" i="6"/>
  <c r="F348" i="6"/>
  <c r="F349" i="6"/>
  <c r="F350" i="6"/>
  <c r="F351" i="6"/>
  <c r="F352" i="6"/>
  <c r="F353" i="6"/>
  <c r="F354" i="6"/>
  <c r="F355" i="6"/>
  <c r="F356" i="6"/>
  <c r="F357" i="6"/>
  <c r="F358" i="6"/>
  <c r="F359" i="6"/>
  <c r="F360" i="6"/>
  <c r="F361" i="6"/>
  <c r="F362" i="6"/>
  <c r="F363" i="6"/>
  <c r="F364" i="6"/>
  <c r="F365" i="6"/>
  <c r="F366" i="6"/>
  <c r="F367" i="6"/>
  <c r="F368" i="6"/>
  <c r="F369" i="6"/>
  <c r="F370" i="6"/>
  <c r="F371" i="6"/>
  <c r="F372" i="6"/>
  <c r="F373" i="6"/>
  <c r="F374" i="6"/>
  <c r="F375" i="6"/>
  <c r="F376" i="6"/>
  <c r="F377" i="6"/>
  <c r="F378" i="6"/>
  <c r="F379" i="6"/>
  <c r="F380" i="6"/>
  <c r="F381" i="6"/>
  <c r="F382" i="6"/>
  <c r="F383" i="6"/>
  <c r="F384" i="6"/>
  <c r="F385" i="6"/>
  <c r="F386" i="6"/>
  <c r="F387" i="6"/>
  <c r="F388" i="6"/>
  <c r="F389" i="6"/>
  <c r="F390" i="6"/>
  <c r="F391" i="6"/>
  <c r="F392" i="6"/>
  <c r="F393" i="6"/>
  <c r="F394" i="6"/>
  <c r="F395" i="6"/>
  <c r="F396" i="6"/>
  <c r="F397" i="6"/>
  <c r="F398" i="6"/>
  <c r="F399" i="6"/>
  <c r="F400" i="6"/>
  <c r="F401" i="6"/>
  <c r="F402" i="6"/>
  <c r="F403" i="6"/>
  <c r="F404" i="6"/>
  <c r="F405" i="6"/>
  <c r="F406" i="6"/>
  <c r="F407" i="6"/>
  <c r="F408" i="6"/>
  <c r="F410" i="6"/>
  <c r="F411" i="6"/>
  <c r="F412" i="6"/>
  <c r="F413" i="6"/>
  <c r="F414" i="6"/>
  <c r="F415" i="6"/>
  <c r="F416" i="6"/>
  <c r="F417" i="6"/>
  <c r="F418" i="6"/>
  <c r="F419" i="6"/>
  <c r="F420" i="6"/>
  <c r="F421" i="6"/>
  <c r="F422" i="6"/>
  <c r="F423" i="6"/>
  <c r="F424" i="6"/>
  <c r="F425" i="6"/>
  <c r="F426" i="6"/>
  <c r="F427" i="6"/>
  <c r="F428" i="6"/>
  <c r="F429" i="6"/>
  <c r="F430" i="6"/>
  <c r="F431" i="6"/>
  <c r="F432" i="6"/>
  <c r="F433" i="6"/>
  <c r="F434" i="6"/>
  <c r="F435" i="6"/>
  <c r="F436" i="6"/>
  <c r="F437" i="6"/>
  <c r="F438" i="6"/>
  <c r="F439" i="6"/>
  <c r="F440" i="6"/>
  <c r="F441" i="6"/>
  <c r="F442" i="6"/>
  <c r="F443" i="6"/>
  <c r="F444" i="6"/>
  <c r="F445" i="6"/>
  <c r="F446" i="6"/>
  <c r="F447" i="6"/>
  <c r="F448" i="6"/>
  <c r="F449" i="6"/>
  <c r="F450" i="6"/>
  <c r="F451" i="6"/>
  <c r="F452" i="6"/>
  <c r="F453" i="6"/>
  <c r="F454" i="6"/>
  <c r="F455" i="6"/>
  <c r="F456" i="6"/>
  <c r="F457" i="6"/>
  <c r="F458" i="6"/>
  <c r="F459" i="6"/>
  <c r="F460" i="6"/>
  <c r="F461" i="6"/>
  <c r="F462" i="6"/>
  <c r="F463" i="6"/>
  <c r="F464" i="6"/>
  <c r="F465" i="6"/>
  <c r="F466" i="6"/>
  <c r="F467" i="6"/>
  <c r="F468" i="6"/>
  <c r="F469" i="6"/>
  <c r="F470" i="6"/>
  <c r="F471" i="6"/>
  <c r="F472" i="6"/>
  <c r="F473" i="6"/>
  <c r="F474" i="6"/>
  <c r="F475" i="6"/>
  <c r="F476" i="6"/>
  <c r="F477" i="6"/>
  <c r="F478" i="6"/>
  <c r="F479" i="6"/>
  <c r="F480" i="6"/>
  <c r="F481" i="6"/>
  <c r="F482" i="6"/>
  <c r="F483" i="6"/>
  <c r="F484" i="6"/>
  <c r="F485" i="6"/>
  <c r="F486" i="6"/>
  <c r="F487" i="6"/>
  <c r="F488" i="6"/>
  <c r="F489" i="6"/>
  <c r="F490" i="6"/>
  <c r="F491" i="6"/>
  <c r="F492" i="6"/>
  <c r="F493" i="6"/>
  <c r="F494" i="6"/>
  <c r="F495" i="6"/>
  <c r="F496" i="6"/>
  <c r="F497" i="6"/>
  <c r="F498" i="6"/>
  <c r="F499" i="6"/>
  <c r="F500" i="6"/>
  <c r="F501" i="6"/>
  <c r="F502" i="6"/>
  <c r="F503" i="6"/>
  <c r="F504" i="6"/>
  <c r="F505" i="6"/>
  <c r="F506" i="6"/>
  <c r="F507" i="6"/>
  <c r="F508" i="6"/>
  <c r="F509" i="6"/>
  <c r="F510" i="6"/>
  <c r="F511" i="6"/>
  <c r="F512" i="6"/>
  <c r="F513" i="6"/>
  <c r="F514" i="6"/>
  <c r="F515" i="6"/>
  <c r="F516" i="6"/>
  <c r="F517" i="6"/>
  <c r="F518" i="6"/>
  <c r="F519" i="6"/>
  <c r="F520" i="6"/>
  <c r="F521" i="6"/>
  <c r="F522" i="6"/>
  <c r="F523" i="6"/>
  <c r="F524" i="6"/>
  <c r="F525" i="6"/>
  <c r="F526" i="6"/>
  <c r="F527" i="6"/>
  <c r="F528" i="6"/>
  <c r="F529" i="6"/>
  <c r="F530" i="6"/>
  <c r="F531" i="6"/>
  <c r="F532" i="6"/>
  <c r="F533" i="6"/>
  <c r="F534" i="6"/>
  <c r="F535" i="6"/>
  <c r="F536" i="6"/>
  <c r="F537" i="6"/>
  <c r="F538" i="6"/>
  <c r="F539" i="6"/>
  <c r="F540" i="6"/>
  <c r="F541" i="6"/>
  <c r="F542" i="6"/>
  <c r="F543" i="6"/>
  <c r="F544" i="6"/>
  <c r="F545" i="6"/>
  <c r="F546" i="6"/>
  <c r="F547" i="6"/>
  <c r="F548" i="6"/>
  <c r="F549" i="6"/>
  <c r="F550" i="6"/>
  <c r="F551" i="6"/>
  <c r="F552" i="6"/>
  <c r="F553" i="6"/>
  <c r="F554" i="6"/>
  <c r="F555" i="6"/>
  <c r="F556" i="6"/>
  <c r="F557" i="6"/>
  <c r="F558" i="6"/>
  <c r="F559" i="6"/>
  <c r="F560" i="6"/>
  <c r="F561" i="6"/>
  <c r="F562" i="6"/>
  <c r="F563" i="6"/>
  <c r="F564" i="6"/>
  <c r="F565" i="6"/>
  <c r="F566" i="6"/>
  <c r="F567" i="6"/>
  <c r="F568" i="6"/>
  <c r="F569" i="6"/>
  <c r="F570" i="6"/>
  <c r="F571" i="6"/>
  <c r="F572" i="6"/>
  <c r="F573" i="6"/>
  <c r="F574" i="6"/>
  <c r="F575" i="6"/>
  <c r="F576" i="6"/>
  <c r="F577" i="6"/>
  <c r="F578" i="6"/>
  <c r="F579" i="6"/>
  <c r="F580" i="6"/>
  <c r="F581" i="6"/>
  <c r="F582" i="6"/>
  <c r="F583" i="6"/>
  <c r="F584" i="6"/>
  <c r="F585" i="6"/>
  <c r="F586" i="6"/>
  <c r="F587" i="6"/>
  <c r="F588" i="6"/>
  <c r="F589" i="6"/>
  <c r="F590" i="6"/>
  <c r="F591" i="6"/>
  <c r="F592" i="6"/>
  <c r="F593" i="6"/>
  <c r="F594" i="6"/>
  <c r="F595" i="6"/>
  <c r="F596" i="6"/>
  <c r="F597" i="6"/>
  <c r="F598" i="6"/>
  <c r="F599" i="6"/>
  <c r="F600" i="6"/>
  <c r="F601" i="6"/>
  <c r="F602" i="6"/>
  <c r="F603" i="6"/>
  <c r="F604" i="6"/>
  <c r="F605" i="6"/>
  <c r="F606" i="6"/>
  <c r="F607" i="6"/>
  <c r="F608" i="6"/>
  <c r="F609" i="6"/>
  <c r="F610" i="6"/>
  <c r="F611" i="6"/>
  <c r="F612" i="6"/>
  <c r="F613" i="6"/>
  <c r="F614" i="6"/>
  <c r="F615" i="6"/>
  <c r="F616" i="6"/>
  <c r="F617" i="6"/>
  <c r="F618" i="6"/>
  <c r="F619" i="6"/>
  <c r="F620" i="6"/>
  <c r="F621" i="6"/>
  <c r="F622" i="6"/>
  <c r="F623" i="6"/>
  <c r="F624" i="6"/>
  <c r="F625" i="6"/>
  <c r="F626" i="6"/>
  <c r="F627" i="6"/>
  <c r="F628" i="6"/>
  <c r="F629" i="6"/>
  <c r="F630" i="6"/>
  <c r="F631" i="6"/>
  <c r="F632" i="6"/>
  <c r="F633" i="6"/>
  <c r="F634" i="6"/>
  <c r="F636" i="6"/>
  <c r="F637" i="6"/>
  <c r="F638" i="6"/>
  <c r="F640" i="6"/>
  <c r="F644" i="6"/>
  <c r="F645" i="6"/>
  <c r="F646" i="6"/>
  <c r="F647" i="6"/>
  <c r="F648" i="6"/>
  <c r="F652" i="6"/>
  <c r="F653" i="6"/>
  <c r="F654" i="6"/>
  <c r="F655" i="6"/>
  <c r="F656" i="6"/>
  <c r="F658" i="6"/>
  <c r="F661" i="6"/>
  <c r="F663" i="6"/>
  <c r="F664" i="6"/>
  <c r="C419" i="7"/>
  <c r="H419" i="7" s="1"/>
  <c r="C421" i="7"/>
  <c r="H421" i="7" s="1"/>
  <c r="C423" i="7"/>
  <c r="H423" i="7" s="1"/>
  <c r="C635" i="7"/>
  <c r="H635" i="7" s="1"/>
  <c r="C153" i="7"/>
  <c r="H153" i="7" s="1"/>
  <c r="C434" i="7"/>
  <c r="H434" i="7" s="1"/>
  <c r="C438" i="7"/>
  <c r="H438" i="7" s="1"/>
  <c r="C636" i="7"/>
  <c r="H636" i="7" s="1"/>
  <c r="C628" i="7"/>
  <c r="H628" i="7" s="1"/>
  <c r="C413" i="7"/>
  <c r="H413" i="7" s="1"/>
  <c r="C629" i="7"/>
  <c r="H629" i="7" s="1"/>
  <c r="C637" i="7"/>
  <c r="H637" i="7" s="1"/>
  <c r="C630" i="7"/>
  <c r="H630" i="7" s="1"/>
  <c r="C650" i="7"/>
  <c r="H650" i="7" s="1"/>
  <c r="C186" i="7"/>
  <c r="H186" i="7" s="1"/>
  <c r="C192" i="7"/>
  <c r="H192" i="7" s="1"/>
  <c r="C645" i="7"/>
  <c r="H645" i="7" s="1"/>
  <c r="C204" i="7"/>
  <c r="H204" i="7" s="1"/>
  <c r="C631" i="7"/>
  <c r="H631" i="7" s="1"/>
  <c r="C632" i="7"/>
  <c r="H632" i="7" s="1"/>
  <c r="C213" i="7"/>
  <c r="H213" i="7" s="1"/>
  <c r="C220" i="7"/>
  <c r="H220" i="7" s="1"/>
  <c r="C227" i="7"/>
  <c r="H227" i="7" s="1"/>
  <c r="C633" i="7"/>
  <c r="H633" i="7" s="1"/>
  <c r="C622" i="7"/>
  <c r="H622" i="7" s="1"/>
  <c r="C623" i="7"/>
  <c r="H623" i="7" s="1"/>
  <c r="C624" i="7"/>
  <c r="H624" i="7" s="1"/>
  <c r="C625" i="7"/>
  <c r="H625" i="7" s="1"/>
  <c r="C626" i="7"/>
  <c r="H626" i="7" s="1"/>
  <c r="C627" i="7"/>
  <c r="H627" i="7" s="1"/>
  <c r="C596" i="7"/>
  <c r="H596" i="7" s="1"/>
  <c r="C597" i="7"/>
  <c r="H597" i="7" s="1"/>
  <c r="C598" i="7"/>
  <c r="H598" i="7" s="1"/>
  <c r="C660" i="7"/>
  <c r="H660" i="7" s="1"/>
  <c r="C386" i="7"/>
  <c r="H386" i="7" s="1"/>
  <c r="C599" i="7"/>
  <c r="H599" i="7" s="1"/>
  <c r="C600" i="7"/>
  <c r="H600" i="7" s="1"/>
  <c r="C601" i="7"/>
  <c r="H601" i="7" s="1"/>
  <c r="C602" i="7"/>
  <c r="H602" i="7" s="1"/>
  <c r="C603" i="7"/>
  <c r="H603" i="7" s="1"/>
  <c r="C604" i="7"/>
  <c r="H604" i="7" s="1"/>
  <c r="C544" i="7"/>
  <c r="H544" i="7" s="1"/>
  <c r="C605" i="7"/>
  <c r="H605" i="7" s="1"/>
  <c r="C606" i="7"/>
  <c r="H606" i="7" s="1"/>
  <c r="C607" i="7"/>
  <c r="H607" i="7" s="1"/>
  <c r="C548" i="7"/>
  <c r="H548" i="7" s="1"/>
  <c r="C608" i="7"/>
  <c r="H608" i="7" s="1"/>
  <c r="C609" i="7"/>
  <c r="H609" i="7" s="1"/>
  <c r="C610" i="7"/>
  <c r="H610" i="7" s="1"/>
  <c r="C389" i="7"/>
  <c r="H389" i="7" s="1"/>
  <c r="C611" i="7"/>
  <c r="H611" i="7" s="1"/>
  <c r="C612" i="7"/>
  <c r="H612" i="7" s="1"/>
  <c r="C613" i="7"/>
  <c r="H613" i="7" s="1"/>
  <c r="C614" i="7"/>
  <c r="H614" i="7" s="1"/>
  <c r="C615" i="7"/>
  <c r="H615" i="7" s="1"/>
  <c r="C616" i="7"/>
  <c r="H616" i="7" s="1"/>
  <c r="C617" i="7"/>
  <c r="H617" i="7" s="1"/>
  <c r="C618" i="7"/>
  <c r="H618" i="7" s="1"/>
  <c r="C619" i="7"/>
  <c r="H619" i="7" s="1"/>
  <c r="C620" i="7"/>
  <c r="H620" i="7" s="1"/>
  <c r="C621" i="7"/>
  <c r="H621" i="7" s="1"/>
  <c r="C502" i="7"/>
  <c r="H502" i="7" s="1"/>
  <c r="C503" i="7"/>
  <c r="H503" i="7" s="1"/>
  <c r="C504" i="7"/>
  <c r="H504" i="7" s="1"/>
  <c r="C644" i="7"/>
  <c r="H644" i="7" s="1"/>
  <c r="C432" i="7"/>
  <c r="H432" i="7" s="1"/>
  <c r="C158" i="7"/>
  <c r="H158" i="7" s="1"/>
  <c r="C436" i="7"/>
  <c r="H436" i="7" s="1"/>
  <c r="C505" i="7"/>
  <c r="H505" i="7" s="1"/>
  <c r="C506" i="7"/>
  <c r="H506" i="7" s="1"/>
  <c r="C652" i="7"/>
  <c r="H652" i="7" s="1"/>
  <c r="C507" i="7"/>
  <c r="H507" i="7" s="1"/>
  <c r="C508" i="7"/>
  <c r="H508" i="7" s="1"/>
  <c r="C240" i="7"/>
  <c r="H240" i="7" s="1"/>
  <c r="C509" i="7"/>
  <c r="H509" i="7" s="1"/>
  <c r="C510" i="7"/>
  <c r="H510" i="7" s="1"/>
  <c r="C511" i="7"/>
  <c r="H511" i="7" s="1"/>
  <c r="C512" i="7"/>
  <c r="H512" i="7" s="1"/>
  <c r="C513" i="7"/>
  <c r="H513" i="7" s="1"/>
  <c r="C514" i="7"/>
  <c r="H514" i="7" s="1"/>
  <c r="C515" i="7"/>
  <c r="H515" i="7" s="1"/>
  <c r="C516" i="7"/>
  <c r="H516" i="7" s="1"/>
  <c r="C517" i="7"/>
  <c r="H517" i="7" s="1"/>
  <c r="C518" i="7"/>
  <c r="H518" i="7" s="1"/>
  <c r="C519" i="7"/>
  <c r="H519" i="7" s="1"/>
  <c r="C305" i="7"/>
  <c r="H305" i="7" s="1"/>
  <c r="C307" i="7"/>
  <c r="H307" i="7" s="1"/>
  <c r="C520" i="7"/>
  <c r="H520" i="7" s="1"/>
  <c r="C521" i="7"/>
  <c r="H521" i="7" s="1"/>
  <c r="C522" i="7"/>
  <c r="H522" i="7" s="1"/>
  <c r="C523" i="7"/>
  <c r="H523" i="7" s="1"/>
  <c r="C524" i="7"/>
  <c r="H524" i="7" s="1"/>
  <c r="C525" i="7"/>
  <c r="H525" i="7" s="1"/>
  <c r="C526" i="7"/>
  <c r="H526" i="7" s="1"/>
  <c r="C527" i="7"/>
  <c r="H527" i="7" s="1"/>
  <c r="C528" i="7"/>
  <c r="H528" i="7" s="1"/>
  <c r="C529" i="7"/>
  <c r="H529" i="7" s="1"/>
  <c r="C530" i="7"/>
  <c r="H530" i="7" s="1"/>
  <c r="C531" i="7"/>
  <c r="H531" i="7" s="1"/>
  <c r="C532" i="7"/>
  <c r="H532" i="7" s="1"/>
  <c r="C533" i="7"/>
  <c r="H533" i="7" s="1"/>
  <c r="C534" i="7"/>
  <c r="H534" i="7" s="1"/>
  <c r="C535" i="7"/>
  <c r="H535" i="7" s="1"/>
  <c r="C536" i="7"/>
  <c r="H536" i="7" s="1"/>
  <c r="C537" i="7"/>
  <c r="H537" i="7" s="1"/>
  <c r="C538" i="7"/>
  <c r="H538" i="7" s="1"/>
  <c r="C340" i="7"/>
  <c r="H340" i="7" s="1"/>
  <c r="C539" i="7"/>
  <c r="H539" i="7" s="1"/>
  <c r="C540" i="7"/>
  <c r="H540" i="7" s="1"/>
  <c r="C541" i="7"/>
  <c r="H541" i="7" s="1"/>
  <c r="C542" i="7"/>
  <c r="H542" i="7" s="1"/>
  <c r="C543" i="7"/>
  <c r="H543" i="7" s="1"/>
  <c r="C545" i="7"/>
  <c r="H545" i="7" s="1"/>
  <c r="C546" i="7"/>
  <c r="H546" i="7" s="1"/>
  <c r="C547" i="7"/>
  <c r="H547" i="7" s="1"/>
  <c r="C549" i="7"/>
  <c r="H549" i="7" s="1"/>
  <c r="C400" i="7"/>
  <c r="H400" i="7" s="1"/>
  <c r="C550" i="7"/>
  <c r="H550" i="7" s="1"/>
  <c r="C551" i="7"/>
  <c r="H551" i="7" s="1"/>
  <c r="C552" i="7"/>
  <c r="H552" i="7" s="1"/>
  <c r="C553" i="7"/>
  <c r="H553" i="7" s="1"/>
  <c r="C554" i="7"/>
  <c r="H554" i="7" s="1"/>
  <c r="C555" i="7"/>
  <c r="H555" i="7" s="1"/>
  <c r="C556" i="7"/>
  <c r="H556" i="7" s="1"/>
  <c r="C557" i="7"/>
  <c r="H557" i="7" s="1"/>
  <c r="C558" i="7"/>
  <c r="H558" i="7" s="1"/>
  <c r="C559" i="7"/>
  <c r="H559" i="7" s="1"/>
  <c r="C560" i="7"/>
  <c r="H560" i="7" s="1"/>
  <c r="C561" i="7"/>
  <c r="H561" i="7" s="1"/>
  <c r="C562" i="7"/>
  <c r="H562" i="7" s="1"/>
  <c r="C404" i="7"/>
  <c r="H404" i="7" s="1"/>
  <c r="C563" i="7"/>
  <c r="H563" i="7" s="1"/>
  <c r="C564" i="7"/>
  <c r="H564" i="7" s="1"/>
  <c r="C565" i="7"/>
  <c r="H565" i="7" s="1"/>
  <c r="C566" i="7"/>
  <c r="H566" i="7" s="1"/>
  <c r="C567" i="7"/>
  <c r="H567" i="7" s="1"/>
  <c r="C638" i="7"/>
  <c r="H638" i="7" s="1"/>
  <c r="C324" i="7"/>
  <c r="H324" i="7" s="1"/>
  <c r="C569" i="7"/>
  <c r="H569" i="7" s="1"/>
  <c r="C570" i="7"/>
  <c r="H570" i="7" s="1"/>
  <c r="C571" i="7"/>
  <c r="H571" i="7" s="1"/>
  <c r="C572" i="7"/>
  <c r="H572" i="7" s="1"/>
  <c r="C573" i="7"/>
  <c r="H573" i="7" s="1"/>
  <c r="C574" i="7"/>
  <c r="H574" i="7" s="1"/>
  <c r="C655" i="7"/>
  <c r="H655" i="7" s="1"/>
  <c r="C575" i="7"/>
  <c r="H575" i="7" s="1"/>
  <c r="C576" i="7"/>
  <c r="H576" i="7" s="1"/>
  <c r="C577" i="7"/>
  <c r="H577" i="7" s="1"/>
  <c r="C578" i="7"/>
  <c r="H578" i="7" s="1"/>
  <c r="C579" i="7"/>
  <c r="H579" i="7" s="1"/>
  <c r="C409" i="7"/>
  <c r="H409" i="7" s="1"/>
  <c r="C412" i="7"/>
  <c r="H412" i="7" s="1"/>
  <c r="C29" i="7"/>
  <c r="H29" i="7" s="1"/>
  <c r="C580" i="7"/>
  <c r="H580" i="7" s="1"/>
  <c r="C649" i="7"/>
  <c r="H649" i="7" s="1"/>
  <c r="C185" i="7"/>
  <c r="H185" i="7" s="1"/>
  <c r="C191" i="7"/>
  <c r="H191" i="7" s="1"/>
  <c r="C500" i="7"/>
  <c r="H500" i="7" s="1"/>
  <c r="C203" i="7"/>
  <c r="H203" i="7" s="1"/>
  <c r="C212" i="7"/>
  <c r="H212" i="7" s="1"/>
  <c r="C219" i="7"/>
  <c r="H219" i="7" s="1"/>
  <c r="C226" i="7"/>
  <c r="H226" i="7" s="1"/>
  <c r="C425" i="7"/>
  <c r="H425" i="7" s="1"/>
  <c r="C581" i="7"/>
  <c r="H581" i="7" s="1"/>
  <c r="C582" i="7"/>
  <c r="H582" i="7" s="1"/>
  <c r="C583" i="7"/>
  <c r="H583" i="7" s="1"/>
  <c r="C584" i="7"/>
  <c r="H584" i="7" s="1"/>
  <c r="C152" i="7"/>
  <c r="H152" i="7" s="1"/>
  <c r="C433" i="7"/>
  <c r="H433" i="7" s="1"/>
  <c r="C159" i="7"/>
  <c r="H159" i="7" s="1"/>
  <c r="C437" i="7"/>
  <c r="H437" i="7" s="1"/>
  <c r="C642" i="7"/>
  <c r="H642" i="7" s="1"/>
  <c r="C585" i="7"/>
  <c r="H585" i="7" s="1"/>
  <c r="C586" i="7"/>
  <c r="H586" i="7" s="1"/>
  <c r="C587" i="7"/>
  <c r="H587" i="7" s="1"/>
  <c r="C588" i="7"/>
  <c r="H588" i="7" s="1"/>
  <c r="C589" i="7"/>
  <c r="H589" i="7" s="1"/>
  <c r="C590" i="7"/>
  <c r="H590" i="7" s="1"/>
  <c r="C591" i="7"/>
  <c r="H591" i="7" s="1"/>
  <c r="C592" i="7"/>
  <c r="H592" i="7" s="1"/>
  <c r="C593" i="7"/>
  <c r="H593" i="7" s="1"/>
  <c r="C594" i="7"/>
  <c r="H594" i="7" s="1"/>
  <c r="C595" i="7"/>
  <c r="H595" i="7" s="1"/>
  <c r="C492" i="7"/>
  <c r="H492" i="7" s="1"/>
  <c r="C493" i="7"/>
  <c r="H493" i="7" s="1"/>
  <c r="C494" i="7"/>
  <c r="H494" i="7" s="1"/>
  <c r="C495" i="7"/>
  <c r="H495" i="7" s="1"/>
  <c r="C496" i="7"/>
  <c r="H496" i="7" s="1"/>
  <c r="C411" i="7"/>
  <c r="H411" i="7" s="1"/>
  <c r="C28" i="7"/>
  <c r="H28" i="7" s="1"/>
  <c r="C497" i="7"/>
  <c r="H497" i="7" s="1"/>
  <c r="C648" i="7"/>
  <c r="H648" i="7" s="1"/>
  <c r="C184" i="7"/>
  <c r="H184" i="7" s="1"/>
  <c r="C190" i="7"/>
  <c r="H190" i="7" s="1"/>
  <c r="C498" i="7"/>
  <c r="H498" i="7" s="1"/>
  <c r="C499" i="7"/>
  <c r="H499" i="7" s="1"/>
  <c r="C651" i="7"/>
  <c r="H651" i="7" s="1"/>
  <c r="C211" i="7"/>
  <c r="H211" i="7" s="1"/>
  <c r="C218" i="7"/>
  <c r="H218" i="7" s="1"/>
  <c r="C225" i="7"/>
  <c r="H225" i="7" s="1"/>
  <c r="C501" i="7"/>
  <c r="H501" i="7" s="1"/>
  <c r="C459" i="7"/>
  <c r="H459" i="7" s="1"/>
  <c r="C460" i="7"/>
  <c r="H460" i="7" s="1"/>
  <c r="C461" i="7"/>
  <c r="H461" i="7" s="1"/>
  <c r="C462" i="7"/>
  <c r="H462" i="7" s="1"/>
  <c r="C463" i="7"/>
  <c r="H463" i="7" s="1"/>
  <c r="C654" i="7"/>
  <c r="H654" i="7" s="1"/>
  <c r="C464" i="7"/>
  <c r="H464" i="7" s="1"/>
  <c r="C663" i="7"/>
  <c r="H663" i="7" s="1"/>
  <c r="C465" i="7"/>
  <c r="H465" i="7" s="1"/>
  <c r="C466" i="7"/>
  <c r="H466" i="7" s="1"/>
  <c r="C467" i="7"/>
  <c r="H467" i="7" s="1"/>
  <c r="C468" i="7"/>
  <c r="H468" i="7" s="1"/>
  <c r="C469" i="7"/>
  <c r="H469" i="7" s="1"/>
  <c r="C470" i="7"/>
  <c r="H470" i="7" s="1"/>
  <c r="C471" i="7"/>
  <c r="H471" i="7" s="1"/>
  <c r="C472" i="7"/>
  <c r="H472" i="7" s="1"/>
  <c r="C473" i="7"/>
  <c r="H473" i="7" s="1"/>
  <c r="C474" i="7"/>
  <c r="H474" i="7" s="1"/>
  <c r="C475" i="7"/>
  <c r="H475" i="7" s="1"/>
  <c r="C476" i="7"/>
  <c r="H476" i="7" s="1"/>
  <c r="C477" i="7"/>
  <c r="H477" i="7" s="1"/>
  <c r="C478" i="7"/>
  <c r="H478" i="7" s="1"/>
  <c r="C479" i="7"/>
  <c r="H479" i="7" s="1"/>
  <c r="C282" i="7"/>
  <c r="H282" i="7" s="1"/>
  <c r="C480" i="7"/>
  <c r="H480" i="7" s="1"/>
  <c r="C662" i="7"/>
  <c r="H662" i="7" s="1"/>
  <c r="C664" i="7"/>
  <c r="H664" i="7" s="1"/>
  <c r="C665" i="7"/>
  <c r="H665" i="7" s="1"/>
  <c r="C481" i="7"/>
  <c r="H481" i="7" s="1"/>
  <c r="C286" i="7"/>
  <c r="H286" i="7" s="1"/>
  <c r="C482" i="7"/>
  <c r="H482" i="7" s="1"/>
  <c r="C483" i="7"/>
  <c r="H483" i="7" s="1"/>
  <c r="C484" i="7"/>
  <c r="H484" i="7" s="1"/>
  <c r="C485" i="7"/>
  <c r="H485" i="7" s="1"/>
  <c r="C486" i="7"/>
  <c r="H486" i="7" s="1"/>
  <c r="C487" i="7"/>
  <c r="H487" i="7" s="1"/>
  <c r="C488" i="7"/>
  <c r="H488" i="7" s="1"/>
  <c r="C489" i="7"/>
  <c r="H489" i="7" s="1"/>
  <c r="C490" i="7"/>
  <c r="H490" i="7" s="1"/>
  <c r="C491" i="7"/>
  <c r="H491" i="7" s="1"/>
  <c r="C408" i="7"/>
  <c r="H408" i="7" s="1"/>
  <c r="C410" i="7"/>
  <c r="H410" i="7" s="1"/>
  <c r="C27" i="7"/>
  <c r="H27" i="7" s="1"/>
  <c r="C414" i="7"/>
  <c r="H414" i="7" s="1"/>
  <c r="C415" i="7"/>
  <c r="H415" i="7" s="1"/>
  <c r="C416" i="7"/>
  <c r="H416" i="7" s="1"/>
  <c r="C202" i="7"/>
  <c r="H202" i="7" s="1"/>
  <c r="C417" i="7"/>
  <c r="H417" i="7" s="1"/>
  <c r="C217" i="7"/>
  <c r="H217" i="7" s="1"/>
  <c r="C224" i="7"/>
  <c r="H224" i="7" s="1"/>
  <c r="C418" i="7"/>
  <c r="H418" i="7" s="1"/>
  <c r="C420" i="7"/>
  <c r="H420" i="7" s="1"/>
  <c r="C422" i="7"/>
  <c r="H422" i="7" s="1"/>
  <c r="C424" i="7"/>
  <c r="H424" i="7" s="1"/>
  <c r="C426" i="7"/>
  <c r="H426" i="7" s="1"/>
  <c r="C427" i="7"/>
  <c r="H427" i="7" s="1"/>
  <c r="C428" i="7"/>
  <c r="H428" i="7" s="1"/>
  <c r="C429" i="7"/>
  <c r="H429" i="7" s="1"/>
  <c r="C430" i="7"/>
  <c r="H430" i="7" s="1"/>
  <c r="C431" i="7"/>
  <c r="H431" i="7" s="1"/>
  <c r="C157" i="7"/>
  <c r="H157" i="7" s="1"/>
  <c r="C435" i="7"/>
  <c r="H435" i="7" s="1"/>
  <c r="C646" i="7"/>
  <c r="H646" i="7" s="1"/>
  <c r="C439" i="7"/>
  <c r="H439" i="7" s="1"/>
  <c r="C440" i="7"/>
  <c r="H440" i="7" s="1"/>
  <c r="C647" i="7"/>
  <c r="H647" i="7" s="1"/>
  <c r="C231" i="7"/>
  <c r="H231" i="7" s="1"/>
  <c r="C441" i="7"/>
  <c r="H441" i="7" s="1"/>
  <c r="C442" i="7"/>
  <c r="H442" i="7" s="1"/>
  <c r="C443" i="7"/>
  <c r="H443" i="7" s="1"/>
  <c r="C444" i="7"/>
  <c r="H444" i="7" s="1"/>
  <c r="C232" i="7"/>
  <c r="H232" i="7" s="1"/>
  <c r="C239" i="7"/>
  <c r="H239" i="7" s="1"/>
  <c r="C446" i="7"/>
  <c r="H446" i="7" s="1"/>
  <c r="C447" i="7"/>
  <c r="H447" i="7" s="1"/>
  <c r="C448" i="7"/>
  <c r="H448" i="7" s="1"/>
  <c r="C449" i="7"/>
  <c r="H449" i="7" s="1"/>
  <c r="C450" i="7"/>
  <c r="H450" i="7" s="1"/>
  <c r="C451" i="7"/>
  <c r="H451" i="7" s="1"/>
  <c r="C657" i="7"/>
  <c r="H657" i="7" s="1"/>
  <c r="C452" i="7"/>
  <c r="H452" i="7" s="1"/>
  <c r="C453" i="7"/>
  <c r="H453" i="7" s="1"/>
  <c r="C454" i="7"/>
  <c r="H454" i="7" s="1"/>
  <c r="C455" i="7"/>
  <c r="H455" i="7" s="1"/>
  <c r="C456" i="7"/>
  <c r="H456" i="7" s="1"/>
  <c r="C457" i="7"/>
  <c r="H457" i="7" s="1"/>
  <c r="C458" i="7"/>
  <c r="H458" i="7" s="1"/>
  <c r="C375" i="7"/>
  <c r="H375" i="7" s="1"/>
  <c r="C376" i="7"/>
  <c r="H376" i="7" s="1"/>
  <c r="C377" i="7"/>
  <c r="H377" i="7" s="1"/>
  <c r="C378" i="7"/>
  <c r="H378" i="7" s="1"/>
  <c r="C379" i="7"/>
  <c r="H379" i="7" s="1"/>
  <c r="C380" i="7"/>
  <c r="H380" i="7" s="1"/>
  <c r="C381" i="7"/>
  <c r="H381" i="7" s="1"/>
  <c r="C382" i="7"/>
  <c r="H382" i="7" s="1"/>
  <c r="C383" i="7"/>
  <c r="H383" i="7" s="1"/>
  <c r="C384" i="7"/>
  <c r="H384" i="7" s="1"/>
  <c r="C659" i="7"/>
  <c r="H659" i="7" s="1"/>
  <c r="C385" i="7"/>
  <c r="H385" i="7" s="1"/>
  <c r="C387" i="7"/>
  <c r="H387" i="7" s="1"/>
  <c r="C388" i="7"/>
  <c r="H388" i="7" s="1"/>
  <c r="C390" i="7"/>
  <c r="H390" i="7" s="1"/>
  <c r="C391" i="7"/>
  <c r="H391" i="7" s="1"/>
  <c r="C392" i="7"/>
  <c r="H392" i="7" s="1"/>
  <c r="C393" i="7"/>
  <c r="H393" i="7" s="1"/>
  <c r="C661" i="7"/>
  <c r="H661" i="7" s="1"/>
  <c r="C568" i="7"/>
  <c r="H568" i="7" s="1"/>
  <c r="C394" i="7"/>
  <c r="H394" i="7" s="1"/>
  <c r="C445" i="7"/>
  <c r="H445" i="7" s="1"/>
  <c r="C395" i="7"/>
  <c r="H395" i="7" s="1"/>
  <c r="C396" i="7"/>
  <c r="H396" i="7" s="1"/>
  <c r="C397" i="7"/>
  <c r="H397" i="7" s="1"/>
  <c r="C398" i="7"/>
  <c r="H398" i="7" s="1"/>
  <c r="C399" i="7"/>
  <c r="H399" i="7" s="1"/>
  <c r="C401" i="7"/>
  <c r="H401" i="7" s="1"/>
  <c r="C402" i="7"/>
  <c r="H402" i="7" s="1"/>
  <c r="C403" i="7"/>
  <c r="H403" i="7" s="1"/>
  <c r="C405" i="7"/>
  <c r="H405" i="7" s="1"/>
  <c r="C406" i="7"/>
  <c r="H406" i="7" s="1"/>
  <c r="C407" i="7"/>
  <c r="H407" i="7" s="1"/>
  <c r="C358" i="7"/>
  <c r="H358" i="7" s="1"/>
  <c r="C359" i="7"/>
  <c r="H359" i="7" s="1"/>
  <c r="C360" i="7"/>
  <c r="H360" i="7" s="1"/>
  <c r="C361" i="7"/>
  <c r="H361" i="7" s="1"/>
  <c r="C362" i="7"/>
  <c r="H362" i="7" s="1"/>
  <c r="C363" i="7"/>
  <c r="H363" i="7" s="1"/>
  <c r="C364" i="7"/>
  <c r="H364" i="7" s="1"/>
  <c r="C365" i="7"/>
  <c r="H365" i="7" s="1"/>
  <c r="C366" i="7"/>
  <c r="H366" i="7" s="1"/>
  <c r="C367" i="7"/>
  <c r="H367" i="7" s="1"/>
  <c r="C368" i="7"/>
  <c r="H368" i="7" s="1"/>
  <c r="C369" i="7"/>
  <c r="H369" i="7" s="1"/>
  <c r="C370" i="7"/>
  <c r="H370" i="7" s="1"/>
  <c r="C371" i="7"/>
  <c r="H371" i="7" s="1"/>
  <c r="C372" i="7"/>
  <c r="H372" i="7" s="1"/>
  <c r="C373" i="7"/>
  <c r="H373" i="7" s="1"/>
  <c r="C374" i="7"/>
  <c r="H374" i="7" s="1"/>
  <c r="C278" i="7"/>
  <c r="H278" i="7" s="1"/>
  <c r="C279" i="7"/>
  <c r="H279" i="7" s="1"/>
  <c r="C280" i="7"/>
  <c r="H280" i="7" s="1"/>
  <c r="C281" i="7"/>
  <c r="H281" i="7" s="1"/>
  <c r="C283" i="7"/>
  <c r="H283" i="7" s="1"/>
  <c r="C284" i="7"/>
  <c r="H284" i="7" s="1"/>
  <c r="C285" i="7"/>
  <c r="H285" i="7" s="1"/>
  <c r="C287" i="7"/>
  <c r="H287" i="7" s="1"/>
  <c r="C288" i="7"/>
  <c r="H288" i="7" s="1"/>
  <c r="C289" i="7"/>
  <c r="H289" i="7" s="1"/>
  <c r="C290" i="7"/>
  <c r="H290" i="7" s="1"/>
  <c r="C291" i="7"/>
  <c r="H291" i="7" s="1"/>
  <c r="C292" i="7"/>
  <c r="H292" i="7" s="1"/>
  <c r="C293" i="7"/>
  <c r="H293" i="7" s="1"/>
  <c r="C294" i="7"/>
  <c r="H294" i="7" s="1"/>
  <c r="C295" i="7"/>
  <c r="H295" i="7" s="1"/>
  <c r="C296" i="7"/>
  <c r="H296" i="7" s="1"/>
  <c r="C297" i="7"/>
  <c r="H297" i="7" s="1"/>
  <c r="C298" i="7"/>
  <c r="H298" i="7" s="1"/>
  <c r="C299" i="7"/>
  <c r="H299" i="7" s="1"/>
  <c r="C300" i="7"/>
  <c r="H300" i="7" s="1"/>
  <c r="C301" i="7"/>
  <c r="H301" i="7" s="1"/>
  <c r="C643" i="7"/>
  <c r="H643" i="7" s="1"/>
  <c r="C302" i="7"/>
  <c r="H302" i="7" s="1"/>
  <c r="C303" i="7"/>
  <c r="H303" i="7" s="1"/>
  <c r="C641" i="7"/>
  <c r="H641" i="7" s="1"/>
  <c r="C304" i="7"/>
  <c r="H304" i="7" s="1"/>
  <c r="C306" i="7"/>
  <c r="H306" i="7" s="1"/>
  <c r="C308" i="7"/>
  <c r="H308" i="7" s="1"/>
  <c r="C309" i="7"/>
  <c r="H309" i="7" s="1"/>
  <c r="C311" i="7"/>
  <c r="H311" i="7" s="1"/>
  <c r="C312" i="7"/>
  <c r="H312" i="7" s="1"/>
  <c r="C313" i="7"/>
  <c r="H313" i="7" s="1"/>
  <c r="C314" i="7"/>
  <c r="H314" i="7" s="1"/>
  <c r="C315" i="7"/>
  <c r="H315" i="7" s="1"/>
  <c r="C316" i="7"/>
  <c r="H316" i="7" s="1"/>
  <c r="C317" i="7"/>
  <c r="H317" i="7" s="1"/>
  <c r="C318" i="7"/>
  <c r="H318" i="7" s="1"/>
  <c r="C319" i="7"/>
  <c r="H319" i="7" s="1"/>
  <c r="C320" i="7"/>
  <c r="H320" i="7" s="1"/>
  <c r="C321" i="7"/>
  <c r="H321" i="7" s="1"/>
  <c r="C322" i="7"/>
  <c r="H322" i="7" s="1"/>
  <c r="C323" i="7"/>
  <c r="H323" i="7" s="1"/>
  <c r="C325" i="7"/>
  <c r="H325" i="7" s="1"/>
  <c r="C326" i="7"/>
  <c r="H326" i="7" s="1"/>
  <c r="C658" i="7"/>
  <c r="H658" i="7" s="1"/>
  <c r="C327" i="7"/>
  <c r="H327" i="7" s="1"/>
  <c r="C328" i="7"/>
  <c r="H328" i="7" s="1"/>
  <c r="C329" i="7"/>
  <c r="H329" i="7" s="1"/>
  <c r="C330" i="7"/>
  <c r="H330" i="7" s="1"/>
  <c r="C331" i="7"/>
  <c r="H331" i="7" s="1"/>
  <c r="C332" i="7"/>
  <c r="H332" i="7" s="1"/>
  <c r="C333" i="7"/>
  <c r="H333" i="7" s="1"/>
  <c r="C334" i="7"/>
  <c r="H334" i="7" s="1"/>
  <c r="C335" i="7"/>
  <c r="H335" i="7" s="1"/>
  <c r="C336" i="7"/>
  <c r="H336" i="7" s="1"/>
  <c r="C337" i="7"/>
  <c r="H337" i="7" s="1"/>
  <c r="C338" i="7"/>
  <c r="H338" i="7" s="1"/>
  <c r="C653" i="7"/>
  <c r="H653" i="7" s="1"/>
  <c r="C339" i="7"/>
  <c r="H339" i="7" s="1"/>
  <c r="C341" i="7"/>
  <c r="H341" i="7" s="1"/>
  <c r="C342" i="7"/>
  <c r="H342" i="7" s="1"/>
  <c r="C343" i="7"/>
  <c r="H343" i="7" s="1"/>
  <c r="C656" i="7"/>
  <c r="H656" i="7" s="1"/>
  <c r="C310" i="7"/>
  <c r="H310" i="7" s="1"/>
  <c r="C344" i="7"/>
  <c r="H344" i="7" s="1"/>
  <c r="C345" i="7"/>
  <c r="H345" i="7" s="1"/>
  <c r="C346" i="7"/>
  <c r="H346" i="7" s="1"/>
  <c r="C347" i="7"/>
  <c r="H347" i="7" s="1"/>
  <c r="C348" i="7"/>
  <c r="H348" i="7" s="1"/>
  <c r="C349" i="7"/>
  <c r="H349" i="7" s="1"/>
  <c r="C350" i="7"/>
  <c r="H350" i="7" s="1"/>
  <c r="C351" i="7"/>
  <c r="H351" i="7" s="1"/>
  <c r="C352" i="7"/>
  <c r="H352" i="7" s="1"/>
  <c r="C353" i="7"/>
  <c r="H353" i="7" s="1"/>
  <c r="C354" i="7"/>
  <c r="H354" i="7" s="1"/>
  <c r="C355" i="7"/>
  <c r="H355" i="7" s="1"/>
  <c r="C356" i="7"/>
  <c r="H356" i="7" s="1"/>
  <c r="C357" i="7"/>
  <c r="H357" i="7" s="1"/>
  <c r="C247" i="7"/>
  <c r="H247" i="7" s="1"/>
  <c r="C249" i="7"/>
  <c r="H249" i="7" s="1"/>
  <c r="C251" i="7"/>
  <c r="H251" i="7" s="1"/>
  <c r="C253" i="7"/>
  <c r="H253" i="7" s="1"/>
  <c r="C255" i="7"/>
  <c r="H255" i="7" s="1"/>
  <c r="C257" i="7"/>
  <c r="H257" i="7" s="1"/>
  <c r="C259" i="7"/>
  <c r="H259" i="7" s="1"/>
  <c r="C261" i="7"/>
  <c r="H261" i="7" s="1"/>
  <c r="C263" i="7"/>
  <c r="H263" i="7" s="1"/>
  <c r="C265" i="7"/>
  <c r="H265" i="7" s="1"/>
  <c r="C267" i="7"/>
  <c r="H267" i="7" s="1"/>
  <c r="C269" i="7"/>
  <c r="H269" i="7" s="1"/>
  <c r="C271" i="7"/>
  <c r="H271" i="7" s="1"/>
  <c r="C273" i="7"/>
  <c r="H273" i="7" s="1"/>
  <c r="C3" i="7"/>
  <c r="H3" i="7" s="1"/>
  <c r="C5" i="7"/>
  <c r="H5" i="7" s="1"/>
  <c r="C7" i="7"/>
  <c r="H7" i="7" s="1"/>
  <c r="C9" i="7"/>
  <c r="H9" i="7" s="1"/>
  <c r="C11" i="7"/>
  <c r="H11" i="7" s="1"/>
  <c r="C13" i="7"/>
  <c r="H13" i="7" s="1"/>
  <c r="C15" i="7"/>
  <c r="H15" i="7" s="1"/>
  <c r="C17" i="7"/>
  <c r="H17" i="7" s="1"/>
  <c r="C19" i="7"/>
  <c r="H19" i="7" s="1"/>
  <c r="C24" i="7"/>
  <c r="H24" i="7" s="1"/>
  <c r="C31" i="7"/>
  <c r="H31" i="7" s="1"/>
  <c r="C33" i="7"/>
  <c r="H33" i="7" s="1"/>
  <c r="C35" i="7"/>
  <c r="H35" i="7" s="1"/>
  <c r="C37" i="7"/>
  <c r="H37" i="7" s="1"/>
  <c r="C39" i="7"/>
  <c r="H39" i="7" s="1"/>
  <c r="C41" i="7"/>
  <c r="H41" i="7" s="1"/>
  <c r="C43" i="7"/>
  <c r="H43" i="7" s="1"/>
  <c r="C45" i="7"/>
  <c r="H45" i="7" s="1"/>
  <c r="C47" i="7"/>
  <c r="H47" i="7" s="1"/>
  <c r="C49" i="7"/>
  <c r="H49" i="7" s="1"/>
  <c r="C51" i="7"/>
  <c r="H51" i="7" s="1"/>
  <c r="C53" i="7"/>
  <c r="H53" i="7" s="1"/>
  <c r="C55" i="7"/>
  <c r="H55" i="7" s="1"/>
  <c r="C57" i="7"/>
  <c r="H57" i="7" s="1"/>
  <c r="C59" i="7"/>
  <c r="H59" i="7" s="1"/>
  <c r="C61" i="7"/>
  <c r="H61" i="7" s="1"/>
  <c r="C63" i="7"/>
  <c r="H63" i="7" s="1"/>
  <c r="C65" i="7"/>
  <c r="H65" i="7" s="1"/>
  <c r="C67" i="7"/>
  <c r="H67" i="7" s="1"/>
  <c r="C69" i="7"/>
  <c r="H69" i="7" s="1"/>
  <c r="C71" i="7"/>
  <c r="H71" i="7" s="1"/>
  <c r="C73" i="7"/>
  <c r="H73" i="7" s="1"/>
  <c r="C75" i="7"/>
  <c r="H75" i="7" s="1"/>
  <c r="C77" i="7"/>
  <c r="H77" i="7" s="1"/>
  <c r="C25" i="7"/>
  <c r="H25" i="7" s="1"/>
  <c r="C79" i="7"/>
  <c r="H79" i="7" s="1"/>
  <c r="C81" i="7"/>
  <c r="H81" i="7" s="1"/>
  <c r="C83" i="7"/>
  <c r="H83" i="7" s="1"/>
  <c r="C85" i="7"/>
  <c r="H85" i="7" s="1"/>
  <c r="C87" i="7"/>
  <c r="H87" i="7" s="1"/>
  <c r="C89" i="7"/>
  <c r="H89" i="7" s="1"/>
  <c r="C91" i="7"/>
  <c r="H91" i="7" s="1"/>
  <c r="C93" i="7"/>
  <c r="H93" i="7" s="1"/>
  <c r="C95" i="7"/>
  <c r="H95" i="7" s="1"/>
  <c r="C98" i="7"/>
  <c r="H98" i="7" s="1"/>
  <c r="C101" i="7"/>
  <c r="H101" i="7" s="1"/>
  <c r="C103" i="7"/>
  <c r="H103" i="7" s="1"/>
  <c r="C640" i="7"/>
  <c r="H640" i="7" s="1"/>
  <c r="C105" i="7"/>
  <c r="H105" i="7" s="1"/>
  <c r="C107" i="7"/>
  <c r="H107" i="7" s="1"/>
  <c r="C109" i="7"/>
  <c r="H109" i="7" s="1"/>
  <c r="C111" i="7"/>
  <c r="H111" i="7" s="1"/>
  <c r="C113" i="7"/>
  <c r="H113" i="7" s="1"/>
  <c r="C115" i="7"/>
  <c r="H115" i="7" s="1"/>
  <c r="C117" i="7"/>
  <c r="H117" i="7" s="1"/>
  <c r="C119" i="7"/>
  <c r="H119" i="7" s="1"/>
  <c r="C99" i="7"/>
  <c r="H99" i="7" s="1"/>
  <c r="C122" i="7"/>
  <c r="H122" i="7" s="1"/>
  <c r="C125" i="7"/>
  <c r="H125" i="7" s="1"/>
  <c r="C128" i="7"/>
  <c r="H128" i="7" s="1"/>
  <c r="C130" i="7"/>
  <c r="H130" i="7" s="1"/>
  <c r="C133" i="7"/>
  <c r="H133" i="7" s="1"/>
  <c r="C136" i="7"/>
  <c r="H136" i="7" s="1"/>
  <c r="C139" i="7"/>
  <c r="H139" i="7" s="1"/>
  <c r="C142" i="7"/>
  <c r="H142" i="7" s="1"/>
  <c r="C145" i="7"/>
  <c r="H145" i="7" s="1"/>
  <c r="C148" i="7"/>
  <c r="H148" i="7" s="1"/>
  <c r="C151" i="7"/>
  <c r="H151" i="7" s="1"/>
  <c r="C156" i="7"/>
  <c r="H156" i="7" s="1"/>
  <c r="C162" i="7"/>
  <c r="H162" i="7" s="1"/>
  <c r="C165" i="7"/>
  <c r="H165" i="7" s="1"/>
  <c r="C168" i="7"/>
  <c r="H168" i="7" s="1"/>
  <c r="C171" i="7"/>
  <c r="H171" i="7" s="1"/>
  <c r="C174" i="7"/>
  <c r="H174" i="7" s="1"/>
  <c r="C26" i="7"/>
  <c r="H26" i="7" s="1"/>
  <c r="C177" i="7"/>
  <c r="H177" i="7" s="1"/>
  <c r="C180" i="7"/>
  <c r="H180" i="7" s="1"/>
  <c r="C183" i="7"/>
  <c r="H183" i="7" s="1"/>
  <c r="C189" i="7"/>
  <c r="H189" i="7" s="1"/>
  <c r="C195" i="7"/>
  <c r="H195" i="7" s="1"/>
  <c r="C198" i="7"/>
  <c r="H198" i="7" s="1"/>
  <c r="C201" i="7"/>
  <c r="H201" i="7" s="1"/>
  <c r="C207" i="7"/>
  <c r="H207" i="7" s="1"/>
  <c r="C210" i="7"/>
  <c r="H210" i="7" s="1"/>
  <c r="C216" i="7"/>
  <c r="H216" i="7" s="1"/>
  <c r="C223" i="7"/>
  <c r="H223" i="7" s="1"/>
  <c r="C230" i="7"/>
  <c r="H230" i="7" s="1"/>
  <c r="C235" i="7"/>
  <c r="H235" i="7" s="1"/>
  <c r="C238" i="7"/>
  <c r="H238" i="7" s="1"/>
  <c r="C242" i="7"/>
  <c r="H242" i="7" s="1"/>
  <c r="C244" i="7"/>
  <c r="H244" i="7" s="1"/>
  <c r="C246" i="7"/>
  <c r="H246" i="7" s="1"/>
  <c r="C248" i="7"/>
  <c r="H248" i="7" s="1"/>
  <c r="C250" i="7"/>
  <c r="H250" i="7" s="1"/>
  <c r="C252" i="7"/>
  <c r="H252" i="7" s="1"/>
  <c r="C254" i="7"/>
  <c r="H254" i="7" s="1"/>
  <c r="C256" i="7"/>
  <c r="H256" i="7" s="1"/>
  <c r="C258" i="7"/>
  <c r="H258" i="7" s="1"/>
  <c r="C260" i="7"/>
  <c r="H260" i="7" s="1"/>
  <c r="C262" i="7"/>
  <c r="H262" i="7" s="1"/>
  <c r="C264" i="7"/>
  <c r="H264" i="7" s="1"/>
  <c r="C266" i="7"/>
  <c r="H266" i="7" s="1"/>
  <c r="C268" i="7"/>
  <c r="H268" i="7" s="1"/>
  <c r="C270" i="7"/>
  <c r="H270" i="7" s="1"/>
  <c r="C272" i="7"/>
  <c r="H272" i="7" s="1"/>
  <c r="C274" i="7"/>
  <c r="H274" i="7" s="1"/>
  <c r="C275" i="7"/>
  <c r="H275" i="7" s="1"/>
  <c r="C276" i="7"/>
  <c r="H276" i="7" s="1"/>
  <c r="C277" i="7"/>
  <c r="H277" i="7" s="1"/>
  <c r="C138" i="7"/>
  <c r="H138" i="7" s="1"/>
  <c r="C141" i="7"/>
  <c r="H141" i="7" s="1"/>
  <c r="C144" i="7"/>
  <c r="H144" i="7" s="1"/>
  <c r="C147" i="7"/>
  <c r="H147" i="7" s="1"/>
  <c r="C150" i="7"/>
  <c r="H150" i="7" s="1"/>
  <c r="C155" i="7"/>
  <c r="H155" i="7" s="1"/>
  <c r="C161" i="7"/>
  <c r="H161" i="7" s="1"/>
  <c r="C164" i="7"/>
  <c r="H164" i="7" s="1"/>
  <c r="C167" i="7"/>
  <c r="H167" i="7" s="1"/>
  <c r="C170" i="7"/>
  <c r="H170" i="7" s="1"/>
  <c r="C173" i="7"/>
  <c r="H173" i="7" s="1"/>
  <c r="C23" i="7"/>
  <c r="H23" i="7" s="1"/>
  <c r="C176" i="7"/>
  <c r="H176" i="7" s="1"/>
  <c r="C179" i="7"/>
  <c r="H179" i="7" s="1"/>
  <c r="C182" i="7"/>
  <c r="H182" i="7" s="1"/>
  <c r="C188" i="7"/>
  <c r="H188" i="7" s="1"/>
  <c r="C194" i="7"/>
  <c r="H194" i="7" s="1"/>
  <c r="C197" i="7"/>
  <c r="H197" i="7" s="1"/>
  <c r="C200" i="7"/>
  <c r="H200" i="7" s="1"/>
  <c r="C206" i="7"/>
  <c r="H206" i="7" s="1"/>
  <c r="C209" i="7"/>
  <c r="H209" i="7" s="1"/>
  <c r="C215" i="7"/>
  <c r="H215" i="7" s="1"/>
  <c r="C222" i="7"/>
  <c r="H222" i="7" s="1"/>
  <c r="C229" i="7"/>
  <c r="H229" i="7" s="1"/>
  <c r="C234" i="7"/>
  <c r="H234" i="7" s="1"/>
  <c r="C237" i="7"/>
  <c r="H237" i="7" s="1"/>
  <c r="C241" i="7"/>
  <c r="H241" i="7" s="1"/>
  <c r="C243" i="7"/>
  <c r="H243" i="7" s="1"/>
  <c r="C245" i="7"/>
  <c r="H245" i="7" s="1"/>
  <c r="C124" i="7"/>
  <c r="H124" i="7" s="1"/>
  <c r="C127" i="7"/>
  <c r="H127" i="7" s="1"/>
  <c r="C132" i="7"/>
  <c r="H132" i="7" s="1"/>
  <c r="C135" i="7"/>
  <c r="H135" i="7" s="1"/>
  <c r="C40" i="7"/>
  <c r="H40" i="7" s="1"/>
  <c r="C42" i="7"/>
  <c r="H42" i="7" s="1"/>
  <c r="C44" i="7"/>
  <c r="H44" i="7" s="1"/>
  <c r="C46" i="7"/>
  <c r="H46" i="7" s="1"/>
  <c r="C48" i="7"/>
  <c r="H48" i="7" s="1"/>
  <c r="C50" i="7"/>
  <c r="H50" i="7" s="1"/>
  <c r="C52" i="7"/>
  <c r="H52" i="7" s="1"/>
  <c r="C54" i="7"/>
  <c r="H54" i="7" s="1"/>
  <c r="C56" i="7"/>
  <c r="H56" i="7" s="1"/>
  <c r="C58" i="7"/>
  <c r="H58" i="7" s="1"/>
  <c r="C60" i="7"/>
  <c r="H60" i="7" s="1"/>
  <c r="C62" i="7"/>
  <c r="H62" i="7" s="1"/>
  <c r="C64" i="7"/>
  <c r="H64" i="7" s="1"/>
  <c r="C66" i="7"/>
  <c r="H66" i="7" s="1"/>
  <c r="C68" i="7"/>
  <c r="H68" i="7" s="1"/>
  <c r="C70" i="7"/>
  <c r="H70" i="7" s="1"/>
  <c r="C72" i="7"/>
  <c r="H72" i="7" s="1"/>
  <c r="C74" i="7"/>
  <c r="H74" i="7" s="1"/>
  <c r="C76" i="7"/>
  <c r="H76" i="7" s="1"/>
  <c r="C21" i="7"/>
  <c r="H21" i="7" s="1"/>
  <c r="C78" i="7"/>
  <c r="H78" i="7" s="1"/>
  <c r="C80" i="7"/>
  <c r="H80" i="7" s="1"/>
  <c r="C82" i="7"/>
  <c r="H82" i="7" s="1"/>
  <c r="C84" i="7"/>
  <c r="H84" i="7" s="1"/>
  <c r="C86" i="7"/>
  <c r="H86" i="7" s="1"/>
  <c r="C88" i="7"/>
  <c r="H88" i="7" s="1"/>
  <c r="C90" i="7"/>
  <c r="H90" i="7" s="1"/>
  <c r="C92" i="7"/>
  <c r="H92" i="7" s="1"/>
  <c r="C94" i="7"/>
  <c r="H94" i="7" s="1"/>
  <c r="C96" i="7"/>
  <c r="H96" i="7" s="1"/>
  <c r="C100" i="7"/>
  <c r="H100" i="7" s="1"/>
  <c r="C102" i="7"/>
  <c r="H102" i="7" s="1"/>
  <c r="C639" i="7"/>
  <c r="H639" i="7" s="1"/>
  <c r="C104" i="7"/>
  <c r="H104" i="7" s="1"/>
  <c r="C106" i="7"/>
  <c r="H106" i="7" s="1"/>
  <c r="C108" i="7"/>
  <c r="H108" i="7" s="1"/>
  <c r="C110" i="7"/>
  <c r="H110" i="7" s="1"/>
  <c r="C112" i="7"/>
  <c r="H112" i="7" s="1"/>
  <c r="C114" i="7"/>
  <c r="H114" i="7" s="1"/>
  <c r="C116" i="7"/>
  <c r="H116" i="7" s="1"/>
  <c r="C118" i="7"/>
  <c r="H118" i="7" s="1"/>
  <c r="C97" i="7"/>
  <c r="H97" i="7" s="1"/>
  <c r="C120" i="7"/>
  <c r="H120" i="7" s="1"/>
  <c r="C123" i="7"/>
  <c r="H123" i="7" s="1"/>
  <c r="C126" i="7"/>
  <c r="H126" i="7" s="1"/>
  <c r="C129" i="7"/>
  <c r="H129" i="7" s="1"/>
  <c r="C131" i="7"/>
  <c r="H131" i="7" s="1"/>
  <c r="C134" i="7"/>
  <c r="H134" i="7" s="1"/>
  <c r="C137" i="7"/>
  <c r="H137" i="7" s="1"/>
  <c r="C140" i="7"/>
  <c r="H140" i="7" s="1"/>
  <c r="C143" i="7"/>
  <c r="H143" i="7" s="1"/>
  <c r="C146" i="7"/>
  <c r="H146" i="7" s="1"/>
  <c r="C149" i="7"/>
  <c r="H149" i="7" s="1"/>
  <c r="C154" i="7"/>
  <c r="H154" i="7" s="1"/>
  <c r="C160" i="7"/>
  <c r="H160" i="7" s="1"/>
  <c r="C163" i="7"/>
  <c r="H163" i="7" s="1"/>
  <c r="C166" i="7"/>
  <c r="H166" i="7" s="1"/>
  <c r="C169" i="7"/>
  <c r="H169" i="7" s="1"/>
  <c r="C172" i="7"/>
  <c r="H172" i="7" s="1"/>
  <c r="C22" i="7"/>
  <c r="H22" i="7" s="1"/>
  <c r="C175" i="7"/>
  <c r="H175" i="7" s="1"/>
  <c r="C178" i="7"/>
  <c r="H178" i="7" s="1"/>
  <c r="C181" i="7"/>
  <c r="H181" i="7" s="1"/>
  <c r="C187" i="7"/>
  <c r="H187" i="7" s="1"/>
  <c r="C193" i="7"/>
  <c r="H193" i="7" s="1"/>
  <c r="C196" i="7"/>
  <c r="H196" i="7" s="1"/>
  <c r="C199" i="7"/>
  <c r="H199" i="7" s="1"/>
  <c r="C205" i="7"/>
  <c r="H205" i="7" s="1"/>
  <c r="C208" i="7"/>
  <c r="H208" i="7" s="1"/>
  <c r="C214" i="7"/>
  <c r="H214" i="7" s="1"/>
  <c r="C221" i="7"/>
  <c r="H221" i="7" s="1"/>
  <c r="C228" i="7"/>
  <c r="H228" i="7" s="1"/>
  <c r="C233" i="7"/>
  <c r="H233" i="7" s="1"/>
  <c r="C236" i="7"/>
  <c r="H236" i="7" s="1"/>
  <c r="C121" i="7"/>
  <c r="H121" i="7" s="1"/>
  <c r="C4" i="7"/>
  <c r="H4" i="7" s="1"/>
  <c r="C6" i="7"/>
  <c r="H6" i="7" s="1"/>
  <c r="C8" i="7"/>
  <c r="H8" i="7" s="1"/>
  <c r="C10" i="7"/>
  <c r="H10" i="7" s="1"/>
  <c r="C12" i="7"/>
  <c r="H12" i="7" s="1"/>
  <c r="C14" i="7"/>
  <c r="H14" i="7" s="1"/>
  <c r="C16" i="7"/>
  <c r="H16" i="7" s="1"/>
  <c r="C18" i="7"/>
  <c r="H18" i="7" s="1"/>
  <c r="C20" i="7"/>
  <c r="H20" i="7" s="1"/>
  <c r="C30" i="7"/>
  <c r="H30" i="7" s="1"/>
  <c r="C32" i="7"/>
  <c r="H32" i="7" s="1"/>
  <c r="C34" i="7"/>
  <c r="H34" i="7" s="1"/>
  <c r="C36" i="7"/>
  <c r="H36" i="7" s="1"/>
  <c r="C38" i="7"/>
  <c r="H38" i="7" s="1"/>
  <c r="C2" i="7"/>
  <c r="H2" i="7" s="1"/>
  <c r="I2" i="7" s="1"/>
  <c r="E3" i="9"/>
  <c r="J75" i="3"/>
  <c r="J4" i="3"/>
  <c r="J5" i="3"/>
  <c r="J6" i="3"/>
  <c r="J7" i="3"/>
  <c r="J8" i="3"/>
  <c r="J9" i="3"/>
  <c r="J10" i="3"/>
  <c r="J11" i="3"/>
  <c r="J12" i="3"/>
  <c r="J13" i="3"/>
  <c r="J14" i="3"/>
  <c r="J16" i="3"/>
  <c r="J17" i="3"/>
  <c r="J18" i="3"/>
  <c r="J19" i="3"/>
  <c r="J20" i="3"/>
  <c r="J21" i="3"/>
  <c r="J22" i="3"/>
  <c r="J23" i="3"/>
  <c r="J24" i="3"/>
  <c r="J25" i="3"/>
  <c r="J26" i="3"/>
  <c r="J27" i="3"/>
  <c r="J28" i="3"/>
  <c r="J29" i="3"/>
  <c r="J30" i="3"/>
  <c r="J31" i="3"/>
  <c r="J32" i="3"/>
  <c r="J33" i="3"/>
  <c r="J34" i="3"/>
  <c r="J35" i="3"/>
  <c r="J36" i="3"/>
  <c r="J37" i="3"/>
  <c r="J38" i="3"/>
  <c r="J40" i="3"/>
  <c r="J41" i="3"/>
  <c r="J42" i="3"/>
  <c r="J43" i="3"/>
  <c r="J44" i="3"/>
  <c r="J45" i="3"/>
  <c r="J46" i="3"/>
  <c r="J47" i="3"/>
  <c r="J48" i="3"/>
  <c r="J49" i="3"/>
  <c r="J50" i="3"/>
  <c r="J51" i="3"/>
  <c r="J52" i="3"/>
  <c r="J53" i="3"/>
  <c r="J55" i="3"/>
  <c r="J56" i="3"/>
  <c r="J57" i="3"/>
  <c r="J58" i="3"/>
  <c r="J59" i="3"/>
  <c r="J60" i="3"/>
  <c r="J61" i="3"/>
  <c r="J62" i="3"/>
  <c r="J64" i="3"/>
  <c r="J65" i="3"/>
  <c r="J66" i="3"/>
  <c r="J67" i="3"/>
  <c r="J68" i="3"/>
  <c r="J69" i="3"/>
  <c r="J70" i="3"/>
  <c r="J71" i="3"/>
  <c r="J72" i="3"/>
  <c r="J74" i="3"/>
  <c r="J76" i="3"/>
  <c r="J77" i="3"/>
  <c r="J78" i="3"/>
  <c r="J79" i="3"/>
  <c r="J80" i="3"/>
  <c r="J82" i="3"/>
  <c r="J83" i="3"/>
  <c r="J84" i="3"/>
  <c r="J85" i="3"/>
  <c r="J86" i="3"/>
  <c r="J87" i="3"/>
  <c r="J88" i="3"/>
  <c r="J89" i="3"/>
  <c r="J90" i="3"/>
  <c r="J91" i="3"/>
  <c r="J92" i="3"/>
  <c r="J93" i="3"/>
  <c r="J94" i="3"/>
  <c r="J96" i="3"/>
  <c r="J97" i="3"/>
  <c r="J98" i="3"/>
  <c r="J100" i="3"/>
  <c r="J101" i="3"/>
  <c r="J102" i="3"/>
  <c r="J103" i="3"/>
  <c r="J104" i="3"/>
  <c r="J105" i="3"/>
  <c r="J106" i="3"/>
  <c r="J107" i="3"/>
  <c r="J108" i="3"/>
  <c r="J109" i="3"/>
  <c r="J111" i="3"/>
  <c r="J112" i="3"/>
  <c r="J113" i="3"/>
  <c r="J114" i="3"/>
  <c r="J115" i="3"/>
  <c r="J116" i="3"/>
  <c r="J117" i="3"/>
  <c r="J120" i="3"/>
  <c r="J121" i="3"/>
  <c r="J122" i="3"/>
  <c r="J123" i="3"/>
  <c r="J124" i="3"/>
  <c r="J125" i="3"/>
  <c r="J126" i="3"/>
  <c r="J128" i="3"/>
  <c r="J129" i="3"/>
  <c r="J130" i="3"/>
  <c r="J131" i="3"/>
  <c r="J132" i="3"/>
  <c r="J133" i="3"/>
  <c r="J135" i="3"/>
  <c r="J136" i="3"/>
  <c r="J137" i="3"/>
  <c r="J138" i="3"/>
  <c r="J139" i="3"/>
  <c r="J140" i="3"/>
  <c r="J141" i="3"/>
  <c r="J143" i="3"/>
  <c r="J144" i="3"/>
  <c r="J145" i="3"/>
  <c r="J146" i="3"/>
  <c r="J147" i="3"/>
  <c r="J148" i="3"/>
  <c r="J149" i="3"/>
  <c r="J150" i="3"/>
  <c r="J151" i="3"/>
  <c r="J152" i="3"/>
  <c r="J153" i="3"/>
  <c r="J155" i="3"/>
  <c r="J156" i="3"/>
  <c r="J157" i="3"/>
  <c r="J158" i="3"/>
  <c r="J159" i="3"/>
  <c r="J160" i="3"/>
  <c r="J161" i="3"/>
  <c r="J162" i="3"/>
  <c r="J163" i="3"/>
  <c r="J164" i="3"/>
  <c r="J165" i="3"/>
  <c r="J166" i="3"/>
  <c r="J167" i="3"/>
  <c r="J168" i="3"/>
  <c r="J169"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9" i="3"/>
  <c r="J210" i="3"/>
  <c r="J211" i="3"/>
  <c r="J212" i="3"/>
  <c r="J213" i="3"/>
  <c r="J214" i="3"/>
  <c r="J215" i="3"/>
  <c r="J216" i="3"/>
  <c r="J217" i="3"/>
  <c r="J218" i="3"/>
  <c r="J220" i="3"/>
  <c r="J221" i="3"/>
  <c r="J222" i="3"/>
  <c r="J223" i="3"/>
  <c r="J224" i="3"/>
  <c r="J225" i="3"/>
  <c r="J226" i="3"/>
  <c r="J227" i="3"/>
  <c r="J228" i="3"/>
  <c r="J229" i="3"/>
  <c r="J230" i="3"/>
  <c r="J231" i="3"/>
  <c r="J232" i="3"/>
  <c r="J233" i="3"/>
  <c r="J234" i="3"/>
  <c r="J235" i="3"/>
  <c r="J237" i="3"/>
  <c r="J238" i="3"/>
  <c r="J239" i="3"/>
  <c r="J240" i="3"/>
  <c r="J241" i="3"/>
  <c r="J242" i="3"/>
  <c r="J243" i="3"/>
  <c r="J244" i="3"/>
  <c r="J245" i="3"/>
  <c r="J248" i="3"/>
  <c r="J249" i="3"/>
  <c r="J250" i="3"/>
  <c r="J251" i="3"/>
  <c r="J252" i="3"/>
  <c r="J253" i="3"/>
  <c r="J254" i="3"/>
  <c r="J255" i="3"/>
  <c r="J256" i="3"/>
  <c r="J257" i="3"/>
  <c r="J259" i="3"/>
  <c r="J260" i="3"/>
  <c r="J261" i="3"/>
  <c r="J262" i="3"/>
  <c r="J264" i="3"/>
  <c r="J265" i="3"/>
  <c r="J266" i="3"/>
  <c r="J268" i="3"/>
  <c r="J269" i="3"/>
  <c r="J270" i="3"/>
  <c r="J271" i="3"/>
  <c r="J272" i="3"/>
  <c r="J273" i="3"/>
  <c r="J274" i="3"/>
  <c r="J275" i="3"/>
  <c r="J276" i="3"/>
  <c r="J277" i="3"/>
  <c r="J278" i="3"/>
  <c r="J279" i="3"/>
  <c r="J280" i="3"/>
  <c r="J281" i="3"/>
  <c r="J283" i="3"/>
  <c r="J284" i="3"/>
  <c r="J285" i="3"/>
  <c r="J286" i="3"/>
  <c r="J287" i="3"/>
  <c r="J288" i="3"/>
  <c r="J289" i="3"/>
  <c r="J290" i="3"/>
  <c r="J291" i="3"/>
  <c r="J292" i="3"/>
  <c r="J293" i="3"/>
  <c r="J294" i="3"/>
  <c r="J296" i="3"/>
  <c r="J297" i="3"/>
  <c r="J298" i="3"/>
  <c r="J299" i="3"/>
  <c r="J300" i="3"/>
  <c r="J301" i="3"/>
  <c r="J302" i="3"/>
  <c r="J305" i="3"/>
  <c r="J306" i="3"/>
  <c r="J307" i="3"/>
  <c r="J308" i="3"/>
  <c r="J310" i="3"/>
  <c r="J312" i="3"/>
  <c r="J314" i="3"/>
  <c r="J316" i="3"/>
  <c r="J321" i="3"/>
  <c r="J322" i="3"/>
  <c r="J323" i="3"/>
  <c r="J324" i="3"/>
  <c r="J325" i="3"/>
  <c r="J327" i="3"/>
  <c r="J328" i="3"/>
  <c r="J329" i="3"/>
  <c r="J331" i="3"/>
  <c r="J332" i="3"/>
  <c r="J333" i="3"/>
  <c r="J334" i="3"/>
  <c r="J335" i="3"/>
  <c r="J336" i="3"/>
  <c r="J337" i="3"/>
  <c r="J339" i="3"/>
  <c r="J340" i="3"/>
  <c r="J341" i="3"/>
  <c r="J342" i="3"/>
  <c r="J344" i="3"/>
  <c r="J345" i="3"/>
  <c r="J346" i="3"/>
  <c r="J347" i="3"/>
  <c r="J348" i="3"/>
  <c r="J350" i="3"/>
  <c r="J351" i="3"/>
  <c r="J352" i="3"/>
  <c r="J357" i="3"/>
  <c r="J361" i="3"/>
  <c r="J363" i="3"/>
  <c r="J365" i="3"/>
  <c r="J367" i="3"/>
  <c r="J368" i="3"/>
  <c r="J369" i="3"/>
  <c r="J370" i="3"/>
  <c r="J372" i="3"/>
  <c r="J373" i="3"/>
  <c r="J374" i="3"/>
  <c r="J376" i="3"/>
  <c r="J378" i="3"/>
  <c r="J380" i="3"/>
  <c r="J382" i="3"/>
  <c r="J384" i="3"/>
  <c r="J386" i="3"/>
  <c r="J388" i="3"/>
  <c r="J390" i="3"/>
  <c r="J392" i="3"/>
  <c r="J394" i="3"/>
  <c r="J396" i="3"/>
  <c r="J398" i="3"/>
  <c r="J403" i="3"/>
  <c r="J405" i="3"/>
  <c r="J407" i="3"/>
  <c r="J409" i="3"/>
  <c r="J411" i="3"/>
  <c r="J413" i="3"/>
  <c r="J415" i="3"/>
  <c r="J417" i="3"/>
  <c r="J419" i="3"/>
  <c r="J421" i="3"/>
  <c r="J423" i="3"/>
  <c r="J425" i="3"/>
  <c r="J427" i="3"/>
  <c r="J429" i="3"/>
  <c r="J434" i="3"/>
  <c r="J436" i="3"/>
  <c r="J438" i="3"/>
  <c r="J440" i="3"/>
  <c r="J442" i="3"/>
  <c r="J443" i="3"/>
  <c r="J444" i="3"/>
  <c r="J449" i="3"/>
  <c r="J451" i="3"/>
  <c r="J453" i="3"/>
  <c r="J455" i="3"/>
  <c r="J457" i="3"/>
  <c r="J459" i="3"/>
  <c r="J462" i="3"/>
  <c r="J463" i="3"/>
  <c r="J464" i="3"/>
  <c r="J465" i="3"/>
  <c r="J466" i="3"/>
  <c r="J467" i="3"/>
  <c r="J468" i="3"/>
  <c r="J469" i="3"/>
  <c r="J470" i="3"/>
  <c r="J471" i="3"/>
  <c r="J475" i="3"/>
  <c r="J476" i="3"/>
  <c r="J477" i="3"/>
  <c r="J478" i="3"/>
  <c r="J480" i="3"/>
  <c r="J481" i="3"/>
  <c r="J482" i="3"/>
  <c r="J483" i="3"/>
  <c r="J484" i="3"/>
  <c r="J486" i="3"/>
  <c r="J487" i="3"/>
  <c r="J488" i="3"/>
  <c r="J489" i="3"/>
  <c r="J491" i="3"/>
  <c r="J492" i="3"/>
  <c r="J493" i="3"/>
  <c r="J494" i="3"/>
  <c r="J495" i="3"/>
  <c r="J496" i="3"/>
  <c r="J497" i="3"/>
  <c r="J498" i="3"/>
  <c r="J500" i="3"/>
  <c r="J501" i="3"/>
  <c r="J502" i="3"/>
  <c r="J511" i="3"/>
  <c r="J512" i="3"/>
  <c r="J513" i="3"/>
  <c r="J514" i="3"/>
  <c r="J515" i="3"/>
  <c r="J517" i="3"/>
  <c r="J518" i="3"/>
  <c r="J519" i="3"/>
  <c r="J520" i="3"/>
  <c r="J521" i="3"/>
  <c r="J523" i="3"/>
  <c r="J524" i="3"/>
  <c r="J525" i="3"/>
  <c r="J526" i="3"/>
  <c r="J528" i="3"/>
  <c r="J529" i="3"/>
  <c r="J530" i="3"/>
  <c r="J531" i="3"/>
  <c r="J533" i="3"/>
  <c r="J534" i="3"/>
  <c r="J535" i="3"/>
  <c r="J536" i="3"/>
  <c r="J537" i="3"/>
  <c r="J539" i="3"/>
  <c r="J540" i="3"/>
  <c r="J541" i="3"/>
  <c r="J542" i="3"/>
  <c r="J543" i="3"/>
  <c r="J545" i="3"/>
  <c r="J546" i="3"/>
  <c r="J547" i="3"/>
  <c r="J548" i="3"/>
  <c r="J549" i="3"/>
  <c r="J550" i="3"/>
  <c r="J555" i="3"/>
  <c r="J557" i="3"/>
  <c r="J559" i="3"/>
  <c r="J561" i="3"/>
  <c r="J562" i="3"/>
  <c r="J564" i="3"/>
  <c r="J566" i="3"/>
  <c r="J568" i="3"/>
  <c r="J573" i="3"/>
  <c r="J575" i="3"/>
  <c r="J577" i="3"/>
  <c r="J579" i="3"/>
  <c r="J581" i="3"/>
  <c r="J583" i="3"/>
  <c r="J585" i="3"/>
  <c r="J587" i="3"/>
  <c r="J589" i="3"/>
  <c r="J591" i="3"/>
  <c r="J593" i="3"/>
  <c r="J595" i="3"/>
  <c r="J597" i="3"/>
  <c r="J602" i="3"/>
  <c r="J604" i="3"/>
  <c r="J606" i="3"/>
  <c r="J608" i="3"/>
  <c r="J610" i="3"/>
  <c r="J612" i="3"/>
  <c r="J613" i="3"/>
  <c r="J614" i="3"/>
  <c r="J619" i="3"/>
  <c r="J621" i="3"/>
  <c r="J623" i="3"/>
  <c r="J625" i="3"/>
  <c r="J629" i="3"/>
  <c r="J630" i="3"/>
  <c r="J633" i="3"/>
  <c r="J634" i="3"/>
  <c r="J635" i="3"/>
  <c r="J636" i="3"/>
  <c r="J637" i="3"/>
  <c r="J638" i="3"/>
  <c r="J639" i="3"/>
  <c r="J640" i="3"/>
  <c r="J641" i="3"/>
  <c r="J644" i="3"/>
  <c r="J645" i="3"/>
  <c r="J647" i="3"/>
  <c r="J648" i="3"/>
  <c r="J649" i="3"/>
  <c r="J650" i="3"/>
  <c r="J656" i="3"/>
  <c r="J657" i="3"/>
  <c r="J658" i="3"/>
  <c r="J661" i="3"/>
  <c r="J662" i="3"/>
  <c r="J663" i="3"/>
  <c r="J666" i="3"/>
  <c r="J667" i="3"/>
  <c r="J668" i="3"/>
  <c r="J669" i="3"/>
  <c r="J671" i="3"/>
  <c r="J672" i="3"/>
  <c r="J673" i="3"/>
  <c r="J674" i="3"/>
  <c r="J675" i="3"/>
  <c r="J676" i="3"/>
  <c r="J678" i="3"/>
  <c r="J681" i="3"/>
  <c r="J682" i="3"/>
  <c r="J683" i="3"/>
  <c r="J689" i="3"/>
  <c r="J690" i="3"/>
  <c r="J691" i="3"/>
  <c r="J693" i="3"/>
  <c r="J694" i="3"/>
  <c r="J695" i="3"/>
  <c r="J696" i="3"/>
  <c r="J701" i="3"/>
  <c r="J702" i="3"/>
  <c r="J704" i="3"/>
  <c r="J706" i="3"/>
  <c r="J708" i="3"/>
  <c r="J710" i="3"/>
  <c r="J712" i="3"/>
  <c r="J714" i="3"/>
  <c r="J716" i="3"/>
  <c r="J718" i="3"/>
  <c r="J720" i="3"/>
  <c r="J722" i="3"/>
  <c r="J724" i="3"/>
  <c r="J726" i="3"/>
  <c r="J728" i="3"/>
  <c r="J730" i="3"/>
  <c r="J732" i="3"/>
  <c r="J734" i="3"/>
  <c r="J736" i="3"/>
  <c r="J737" i="3"/>
  <c r="J738" i="3"/>
  <c r="J739" i="3"/>
  <c r="J740" i="3"/>
  <c r="J741" i="3"/>
  <c r="J746" i="3"/>
  <c r="J747" i="3"/>
  <c r="J748" i="3"/>
  <c r="J749" i="3"/>
  <c r="J754" i="3"/>
  <c r="J3" i="3"/>
  <c r="I44" i="7" l="1"/>
  <c r="I129" i="7"/>
  <c r="I82" i="7"/>
  <c r="I147" i="7"/>
  <c r="I111" i="7"/>
  <c r="I295" i="7"/>
  <c r="I16" i="7"/>
  <c r="I46" i="7"/>
  <c r="I22" i="7"/>
  <c r="I251" i="7"/>
  <c r="I327" i="7"/>
  <c r="I145" i="7"/>
  <c r="I49" i="7"/>
  <c r="I77" i="7"/>
  <c r="I228" i="7"/>
  <c r="I164" i="7"/>
  <c r="I105" i="7"/>
  <c r="I332" i="7"/>
  <c r="I300" i="7"/>
  <c r="I193" i="7"/>
  <c r="I166" i="7"/>
  <c r="I165" i="7"/>
  <c r="I43" i="7"/>
  <c r="I19" i="7"/>
  <c r="I85" i="7"/>
  <c r="I356" i="7"/>
  <c r="I198" i="7"/>
  <c r="I272" i="7"/>
  <c r="I328" i="7"/>
  <c r="I206" i="7"/>
  <c r="I106" i="7"/>
  <c r="I104" i="7"/>
  <c r="I209" i="7"/>
  <c r="I216" i="7"/>
  <c r="I21" i="7"/>
  <c r="I639" i="7"/>
  <c r="I15" i="7"/>
  <c r="I297" i="7"/>
  <c r="I140" i="7"/>
  <c r="I114" i="7"/>
  <c r="I56" i="7"/>
  <c r="I199" i="7"/>
  <c r="I175" i="7"/>
  <c r="I268" i="7"/>
  <c r="I130" i="7"/>
  <c r="I233" i="7"/>
  <c r="I196" i="7"/>
  <c r="I97" i="7"/>
  <c r="I76" i="7"/>
  <c r="I30" i="7"/>
  <c r="I10" i="7"/>
  <c r="I149" i="7"/>
  <c r="I131" i="7"/>
  <c r="I116" i="7"/>
  <c r="I72" i="7"/>
  <c r="I58" i="7"/>
  <c r="I124" i="7"/>
  <c r="I222" i="7"/>
  <c r="I197" i="7"/>
  <c r="I173" i="7"/>
  <c r="I150" i="7"/>
  <c r="I275" i="7"/>
  <c r="I262" i="7"/>
  <c r="I248" i="7"/>
  <c r="I195" i="7"/>
  <c r="I83" i="7"/>
  <c r="I71" i="7"/>
  <c r="I55" i="7"/>
  <c r="I24" i="7"/>
  <c r="I9" i="7"/>
  <c r="I267" i="7"/>
  <c r="I355" i="7"/>
  <c r="I349" i="7"/>
  <c r="I316" i="7"/>
  <c r="I308" i="7"/>
  <c r="I369" i="7"/>
  <c r="I411" i="7"/>
  <c r="I553" i="7"/>
  <c r="I537" i="7"/>
  <c r="I413" i="7"/>
  <c r="I421" i="7"/>
  <c r="I34" i="7"/>
  <c r="I108" i="7"/>
  <c r="I102" i="7"/>
  <c r="I176" i="7"/>
  <c r="I151" i="7"/>
  <c r="I113" i="7"/>
  <c r="I20" i="7"/>
  <c r="I8" i="7"/>
  <c r="I221" i="7"/>
  <c r="I172" i="7"/>
  <c r="I146" i="7"/>
  <c r="I94" i="7"/>
  <c r="I80" i="7"/>
  <c r="I70" i="7"/>
  <c r="I245" i="7"/>
  <c r="I215" i="7"/>
  <c r="I194" i="7"/>
  <c r="I170" i="7"/>
  <c r="I142" i="7"/>
  <c r="I99" i="7"/>
  <c r="I109" i="7"/>
  <c r="I95" i="7"/>
  <c r="I81" i="7"/>
  <c r="I69" i="7"/>
  <c r="I53" i="7"/>
  <c r="I7" i="7"/>
  <c r="I265" i="7"/>
  <c r="I354" i="7"/>
  <c r="I348" i="7"/>
  <c r="I343" i="7"/>
  <c r="I315" i="7"/>
  <c r="I285" i="7"/>
  <c r="I279" i="7"/>
  <c r="I392" i="7"/>
  <c r="I560" i="7"/>
  <c r="I536" i="7"/>
  <c r="I86" i="7"/>
  <c r="I135" i="7"/>
  <c r="I161" i="7"/>
  <c r="I18" i="7"/>
  <c r="I6" i="7"/>
  <c r="I169" i="7"/>
  <c r="I243" i="7"/>
  <c r="I188" i="7"/>
  <c r="I244" i="7"/>
  <c r="I210" i="7"/>
  <c r="I119" i="7"/>
  <c r="I107" i="7"/>
  <c r="I79" i="7"/>
  <c r="I41" i="7"/>
  <c r="I263" i="7"/>
  <c r="I249" i="7"/>
  <c r="I347" i="7"/>
  <c r="I342" i="7"/>
  <c r="I334" i="7"/>
  <c r="I322" i="7"/>
  <c r="I304" i="7"/>
  <c r="I214" i="7"/>
  <c r="I143" i="7"/>
  <c r="I92" i="7"/>
  <c r="I78" i="7"/>
  <c r="I68" i="7"/>
  <c r="I167" i="7"/>
  <c r="I258" i="7"/>
  <c r="I183" i="7"/>
  <c r="I139" i="7"/>
  <c r="I93" i="7"/>
  <c r="I67" i="7"/>
  <c r="I51" i="7"/>
  <c r="I5" i="7"/>
  <c r="I38" i="7"/>
  <c r="I4" i="7"/>
  <c r="I208" i="7"/>
  <c r="I181" i="7"/>
  <c r="I126" i="7"/>
  <c r="I112" i="7"/>
  <c r="I90" i="7"/>
  <c r="I42" i="7"/>
  <c r="I241" i="7"/>
  <c r="I182" i="7"/>
  <c r="I144" i="7"/>
  <c r="I242" i="7"/>
  <c r="I180" i="7"/>
  <c r="I162" i="7"/>
  <c r="I136" i="7"/>
  <c r="I117" i="7"/>
  <c r="I91" i="7"/>
  <c r="I25" i="7"/>
  <c r="I65" i="7"/>
  <c r="I39" i="7"/>
  <c r="I17" i="7"/>
  <c r="I261" i="7"/>
  <c r="I353" i="7"/>
  <c r="I313" i="7"/>
  <c r="I292" i="7"/>
  <c r="I137" i="7"/>
  <c r="I254" i="7"/>
  <c r="I187" i="7"/>
  <c r="I36" i="7"/>
  <c r="I121" i="7"/>
  <c r="I205" i="7"/>
  <c r="I178" i="7"/>
  <c r="I123" i="7"/>
  <c r="I110" i="7"/>
  <c r="I88" i="7"/>
  <c r="I66" i="7"/>
  <c r="I52" i="7"/>
  <c r="I237" i="7"/>
  <c r="I270" i="7"/>
  <c r="I256" i="7"/>
  <c r="I238" i="7"/>
  <c r="I207" i="7"/>
  <c r="I177" i="7"/>
  <c r="I156" i="7"/>
  <c r="I133" i="7"/>
  <c r="I115" i="7"/>
  <c r="I89" i="7"/>
  <c r="I63" i="7"/>
  <c r="I37" i="7"/>
  <c r="I3" i="7"/>
  <c r="I259" i="7"/>
  <c r="I247" i="7"/>
  <c r="I352" i="7"/>
  <c r="I345" i="7"/>
  <c r="I339" i="7"/>
  <c r="I320" i="7"/>
  <c r="I388" i="7"/>
  <c r="I482" i="7"/>
  <c r="I663" i="7"/>
  <c r="I236" i="7"/>
  <c r="I235" i="7"/>
  <c r="I26" i="7"/>
  <c r="I640" i="7"/>
  <c r="I319" i="7"/>
  <c r="I302" i="7"/>
  <c r="I281" i="7"/>
  <c r="I372" i="7"/>
  <c r="I471" i="7"/>
  <c r="I225" i="7"/>
  <c r="I120" i="7"/>
  <c r="I201" i="7"/>
  <c r="I14" i="7"/>
  <c r="I160" i="7"/>
  <c r="I62" i="7"/>
  <c r="I266" i="7"/>
  <c r="I230" i="7"/>
  <c r="I75" i="7"/>
  <c r="I47" i="7"/>
  <c r="I33" i="7"/>
  <c r="I13" i="7"/>
  <c r="I255" i="7"/>
  <c r="I338" i="7"/>
  <c r="I331" i="7"/>
  <c r="I658" i="7"/>
  <c r="I643" i="7"/>
  <c r="I289" i="7"/>
  <c r="I568" i="7"/>
  <c r="I455" i="7"/>
  <c r="I505" i="7"/>
  <c r="I163" i="7"/>
  <c r="I138" i="7"/>
  <c r="I32" i="7"/>
  <c r="I134" i="7"/>
  <c r="I48" i="7"/>
  <c r="I132" i="7"/>
  <c r="I229" i="7"/>
  <c r="I277" i="7"/>
  <c r="I252" i="7"/>
  <c r="I174" i="7"/>
  <c r="I59" i="7"/>
  <c r="I271" i="7"/>
  <c r="I310" i="7"/>
  <c r="I318" i="7"/>
  <c r="I406" i="7"/>
  <c r="I398" i="7"/>
  <c r="I12" i="7"/>
  <c r="I154" i="7"/>
  <c r="I118" i="7"/>
  <c r="I100" i="7"/>
  <c r="I60" i="7"/>
  <c r="I200" i="7"/>
  <c r="I23" i="7"/>
  <c r="I155" i="7"/>
  <c r="I276" i="7"/>
  <c r="I264" i="7"/>
  <c r="I171" i="7"/>
  <c r="I125" i="7"/>
  <c r="I101" i="7"/>
  <c r="I350" i="7"/>
  <c r="I337" i="7"/>
  <c r="I326" i="7"/>
  <c r="I317" i="7"/>
  <c r="I309" i="7"/>
  <c r="I363" i="7"/>
  <c r="I296" i="7"/>
  <c r="I608" i="7"/>
  <c r="I583" i="7"/>
  <c r="I288" i="7"/>
  <c r="I641" i="7"/>
  <c r="I383" i="7"/>
  <c r="I566" i="7"/>
  <c r="I542" i="7"/>
  <c r="I644" i="7"/>
  <c r="I426" i="7"/>
  <c r="I282" i="7"/>
  <c r="I191" i="7"/>
  <c r="I558" i="7"/>
  <c r="I541" i="7"/>
  <c r="I307" i="7"/>
  <c r="I386" i="7"/>
  <c r="I501" i="7"/>
  <c r="I184" i="7"/>
  <c r="I493" i="7"/>
  <c r="I557" i="7"/>
  <c r="I533" i="7"/>
  <c r="I305" i="7"/>
  <c r="I652" i="7"/>
  <c r="I610" i="7"/>
  <c r="I519" i="7"/>
  <c r="I74" i="7"/>
  <c r="I64" i="7"/>
  <c r="I50" i="7"/>
  <c r="I40" i="7"/>
  <c r="I141" i="7"/>
  <c r="I260" i="7"/>
  <c r="I246" i="7"/>
  <c r="I189" i="7"/>
  <c r="I168" i="7"/>
  <c r="I122" i="7"/>
  <c r="I98" i="7"/>
  <c r="I73" i="7"/>
  <c r="I57" i="7"/>
  <c r="I45" i="7"/>
  <c r="I31" i="7"/>
  <c r="I11" i="7"/>
  <c r="I269" i="7"/>
  <c r="I253" i="7"/>
  <c r="I344" i="7"/>
  <c r="I653" i="7"/>
  <c r="I314" i="7"/>
  <c r="I306" i="7"/>
  <c r="I301" i="7"/>
  <c r="I373" i="7"/>
  <c r="I367" i="7"/>
  <c r="I360" i="7"/>
  <c r="I403" i="7"/>
  <c r="I659" i="7"/>
  <c r="I379" i="7"/>
  <c r="I449" i="7"/>
  <c r="I442" i="7"/>
  <c r="I157" i="7"/>
  <c r="I424" i="7"/>
  <c r="I416" i="7"/>
  <c r="I474" i="7"/>
  <c r="I467" i="7"/>
  <c r="I462" i="7"/>
  <c r="I218" i="7"/>
  <c r="I648" i="7"/>
  <c r="I590" i="7"/>
  <c r="I159" i="7"/>
  <c r="I581" i="7"/>
  <c r="I500" i="7"/>
  <c r="I409" i="7"/>
  <c r="I567" i="7"/>
  <c r="I561" i="7"/>
  <c r="I556" i="7"/>
  <c r="I400" i="7"/>
  <c r="I530" i="7"/>
  <c r="I522" i="7"/>
  <c r="I513" i="7"/>
  <c r="I612" i="7"/>
  <c r="I548" i="7"/>
  <c r="I602" i="7"/>
  <c r="I598" i="7"/>
  <c r="I624" i="7"/>
  <c r="I631" i="7"/>
  <c r="I637" i="7"/>
  <c r="I153" i="7"/>
  <c r="I366" i="7"/>
  <c r="I359" i="7"/>
  <c r="I402" i="7"/>
  <c r="I396" i="7"/>
  <c r="I384" i="7"/>
  <c r="I378" i="7"/>
  <c r="I448" i="7"/>
  <c r="I441" i="7"/>
  <c r="I431" i="7"/>
  <c r="I422" i="7"/>
  <c r="I415" i="7"/>
  <c r="I489" i="7"/>
  <c r="I473" i="7"/>
  <c r="I466" i="7"/>
  <c r="I461" i="7"/>
  <c r="I211" i="7"/>
  <c r="I497" i="7"/>
  <c r="I589" i="7"/>
  <c r="I433" i="7"/>
  <c r="I425" i="7"/>
  <c r="I579" i="7"/>
  <c r="I573" i="7"/>
  <c r="I555" i="7"/>
  <c r="I549" i="7"/>
  <c r="I529" i="7"/>
  <c r="I521" i="7"/>
  <c r="I512" i="7"/>
  <c r="I619" i="7"/>
  <c r="I611" i="7"/>
  <c r="I607" i="7"/>
  <c r="I601" i="7"/>
  <c r="I597" i="7"/>
  <c r="I623" i="7"/>
  <c r="I204" i="7"/>
  <c r="I629" i="7"/>
  <c r="I635" i="7"/>
  <c r="I634" i="7"/>
  <c r="I312" i="7"/>
  <c r="I371" i="7"/>
  <c r="I365" i="7"/>
  <c r="I358" i="7"/>
  <c r="I401" i="7"/>
  <c r="I395" i="7"/>
  <c r="I391" i="7"/>
  <c r="I377" i="7"/>
  <c r="I454" i="7"/>
  <c r="I447" i="7"/>
  <c r="I231" i="7"/>
  <c r="I430" i="7"/>
  <c r="I420" i="7"/>
  <c r="I414" i="7"/>
  <c r="I488" i="7"/>
  <c r="I286" i="7"/>
  <c r="I479" i="7"/>
  <c r="I472" i="7"/>
  <c r="I465" i="7"/>
  <c r="I460" i="7"/>
  <c r="I651" i="7"/>
  <c r="I28" i="7"/>
  <c r="I492" i="7"/>
  <c r="I588" i="7"/>
  <c r="I152" i="7"/>
  <c r="I226" i="7"/>
  <c r="I578" i="7"/>
  <c r="I572" i="7"/>
  <c r="I554" i="7"/>
  <c r="I547" i="7"/>
  <c r="I540" i="7"/>
  <c r="I535" i="7"/>
  <c r="I528" i="7"/>
  <c r="I520" i="7"/>
  <c r="I518" i="7"/>
  <c r="I511" i="7"/>
  <c r="I506" i="7"/>
  <c r="I504" i="7"/>
  <c r="I618" i="7"/>
  <c r="I389" i="7"/>
  <c r="I606" i="7"/>
  <c r="I600" i="7"/>
  <c r="I596" i="7"/>
  <c r="I622" i="7"/>
  <c r="I423" i="7"/>
  <c r="I656" i="7"/>
  <c r="I336" i="7"/>
  <c r="I330" i="7"/>
  <c r="I325" i="7"/>
  <c r="I299" i="7"/>
  <c r="I294" i="7"/>
  <c r="I280" i="7"/>
  <c r="I370" i="7"/>
  <c r="I364" i="7"/>
  <c r="I407" i="7"/>
  <c r="I399" i="7"/>
  <c r="I445" i="7"/>
  <c r="I390" i="7"/>
  <c r="I376" i="7"/>
  <c r="I453" i="7"/>
  <c r="I446" i="7"/>
  <c r="I647" i="7"/>
  <c r="I429" i="7"/>
  <c r="I418" i="7"/>
  <c r="I27" i="7"/>
  <c r="I487" i="7"/>
  <c r="I481" i="7"/>
  <c r="I459" i="7"/>
  <c r="I499" i="7"/>
  <c r="I595" i="7"/>
  <c r="I587" i="7"/>
  <c r="I219" i="7"/>
  <c r="I185" i="7"/>
  <c r="I577" i="7"/>
  <c r="I571" i="7"/>
  <c r="I565" i="7"/>
  <c r="I559" i="7"/>
  <c r="I546" i="7"/>
  <c r="I539" i="7"/>
  <c r="I534" i="7"/>
  <c r="I527" i="7"/>
  <c r="I517" i="7"/>
  <c r="I510" i="7"/>
  <c r="I503" i="7"/>
  <c r="I617" i="7"/>
  <c r="I605" i="7"/>
  <c r="I599" i="7"/>
  <c r="I627" i="7"/>
  <c r="I633" i="7"/>
  <c r="I645" i="7"/>
  <c r="I335" i="7"/>
  <c r="I329" i="7"/>
  <c r="I323" i="7"/>
  <c r="I311" i="7"/>
  <c r="I303" i="7"/>
  <c r="I298" i="7"/>
  <c r="I293" i="7"/>
  <c r="I287" i="7"/>
  <c r="I394" i="7"/>
  <c r="I375" i="7"/>
  <c r="I452" i="7"/>
  <c r="I239" i="7"/>
  <c r="I440" i="7"/>
  <c r="I428" i="7"/>
  <c r="I224" i="7"/>
  <c r="I410" i="7"/>
  <c r="I486" i="7"/>
  <c r="I665" i="7"/>
  <c r="I478" i="7"/>
  <c r="I498" i="7"/>
  <c r="I594" i="7"/>
  <c r="I586" i="7"/>
  <c r="I584" i="7"/>
  <c r="I649" i="7"/>
  <c r="I576" i="7"/>
  <c r="I570" i="7"/>
  <c r="I564" i="7"/>
  <c r="I545" i="7"/>
  <c r="I340" i="7"/>
  <c r="I526" i="7"/>
  <c r="I516" i="7"/>
  <c r="I509" i="7"/>
  <c r="I502" i="7"/>
  <c r="I616" i="7"/>
  <c r="I626" i="7"/>
  <c r="I227" i="7"/>
  <c r="I192" i="7"/>
  <c r="I628" i="7"/>
  <c r="I382" i="7"/>
  <c r="I458" i="7"/>
  <c r="I657" i="7"/>
  <c r="I232" i="7"/>
  <c r="I439" i="7"/>
  <c r="I427" i="7"/>
  <c r="I217" i="7"/>
  <c r="I408" i="7"/>
  <c r="I485" i="7"/>
  <c r="I664" i="7"/>
  <c r="I477" i="7"/>
  <c r="I470" i="7"/>
  <c r="I464" i="7"/>
  <c r="I190" i="7"/>
  <c r="I496" i="7"/>
  <c r="I593" i="7"/>
  <c r="I585" i="7"/>
  <c r="I212" i="7"/>
  <c r="I580" i="7"/>
  <c r="I575" i="7"/>
  <c r="I569" i="7"/>
  <c r="I563" i="7"/>
  <c r="I552" i="7"/>
  <c r="I543" i="7"/>
  <c r="I538" i="7"/>
  <c r="I525" i="7"/>
  <c r="I515" i="7"/>
  <c r="I240" i="7"/>
  <c r="I436" i="7"/>
  <c r="I615" i="7"/>
  <c r="I609" i="7"/>
  <c r="I544" i="7"/>
  <c r="I625" i="7"/>
  <c r="I220" i="7"/>
  <c r="I186" i="7"/>
  <c r="I636" i="7"/>
  <c r="I419" i="7"/>
  <c r="I96" i="7"/>
  <c r="I84" i="7"/>
  <c r="I54" i="7"/>
  <c r="I127" i="7"/>
  <c r="I234" i="7"/>
  <c r="I179" i="7"/>
  <c r="I274" i="7"/>
  <c r="I250" i="7"/>
  <c r="I223" i="7"/>
  <c r="I148" i="7"/>
  <c r="I128" i="7"/>
  <c r="I103" i="7"/>
  <c r="I87" i="7"/>
  <c r="I61" i="7"/>
  <c r="I35" i="7"/>
  <c r="I273" i="7"/>
  <c r="I257" i="7"/>
  <c r="I357" i="7"/>
  <c r="I351" i="7"/>
  <c r="I346" i="7"/>
  <c r="I341" i="7"/>
  <c r="I333" i="7"/>
  <c r="I321" i="7"/>
  <c r="I291" i="7"/>
  <c r="I284" i="7"/>
  <c r="I278" i="7"/>
  <c r="I368" i="7"/>
  <c r="I362" i="7"/>
  <c r="I405" i="7"/>
  <c r="I661" i="7"/>
  <c r="I387" i="7"/>
  <c r="I381" i="7"/>
  <c r="I457" i="7"/>
  <c r="I451" i="7"/>
  <c r="I444" i="7"/>
  <c r="I646" i="7"/>
  <c r="I417" i="7"/>
  <c r="I491" i="7"/>
  <c r="I484" i="7"/>
  <c r="I662" i="7"/>
  <c r="I476" i="7"/>
  <c r="I469" i="7"/>
  <c r="I654" i="7"/>
  <c r="I495" i="7"/>
  <c r="I592" i="7"/>
  <c r="I642" i="7"/>
  <c r="I29" i="7"/>
  <c r="I655" i="7"/>
  <c r="I324" i="7"/>
  <c r="I404" i="7"/>
  <c r="I551" i="7"/>
  <c r="I532" i="7"/>
  <c r="I524" i="7"/>
  <c r="I508" i="7"/>
  <c r="I158" i="7"/>
  <c r="I621" i="7"/>
  <c r="I614" i="7"/>
  <c r="I604" i="7"/>
  <c r="I660" i="7"/>
  <c r="I213" i="7"/>
  <c r="I650" i="7"/>
  <c r="I438" i="7"/>
  <c r="I290" i="7"/>
  <c r="I283" i="7"/>
  <c r="I374" i="7"/>
  <c r="I361" i="7"/>
  <c r="I397" i="7"/>
  <c r="I393" i="7"/>
  <c r="I385" i="7"/>
  <c r="I380" i="7"/>
  <c r="I456" i="7"/>
  <c r="I450" i="7"/>
  <c r="I443" i="7"/>
  <c r="I435" i="7"/>
  <c r="I202" i="7"/>
  <c r="I490" i="7"/>
  <c r="I483" i="7"/>
  <c r="I480" i="7"/>
  <c r="I475" i="7"/>
  <c r="I468" i="7"/>
  <c r="I463" i="7"/>
  <c r="I494" i="7"/>
  <c r="I591" i="7"/>
  <c r="I437" i="7"/>
  <c r="I582" i="7"/>
  <c r="I203" i="7"/>
  <c r="I412" i="7"/>
  <c r="I574" i="7"/>
  <c r="I638" i="7"/>
  <c r="I562" i="7"/>
  <c r="I550" i="7"/>
  <c r="I531" i="7"/>
  <c r="I523" i="7"/>
  <c r="I514" i="7"/>
  <c r="I507" i="7"/>
  <c r="I432" i="7"/>
  <c r="I620" i="7"/>
  <c r="I613" i="7"/>
  <c r="I603" i="7"/>
  <c r="I632" i="7"/>
  <c r="I630" i="7"/>
  <c r="I434" i="7"/>
</calcChain>
</file>

<file path=xl/sharedStrings.xml><?xml version="1.0" encoding="utf-8"?>
<sst xmlns="http://schemas.openxmlformats.org/spreadsheetml/2006/main" count="9503" uniqueCount="1388">
  <si>
    <t>SubcategoryName</t>
  </si>
  <si>
    <t>SuiteID</t>
  </si>
  <si>
    <t>CategoryID</t>
  </si>
  <si>
    <t>SubcategoryID</t>
  </si>
  <si>
    <t>SuiteCatSubID</t>
  </si>
  <si>
    <t>Catalogs</t>
  </si>
  <si>
    <t>Shopping / Requisitioning</t>
  </si>
  <si>
    <t>Ordering</t>
  </si>
  <si>
    <t>Receiving</t>
  </si>
  <si>
    <t>Supplier Network</t>
  </si>
  <si>
    <t>Configurability</t>
  </si>
  <si>
    <t>Technology</t>
  </si>
  <si>
    <t>General Services</t>
  </si>
  <si>
    <t>Invoicing</t>
  </si>
  <si>
    <t>Payment / Financing</t>
  </si>
  <si>
    <t>Opportunity</t>
  </si>
  <si>
    <t>Project Management</t>
  </si>
  <si>
    <t>Supplier Portal</t>
  </si>
  <si>
    <t>Spend Analysis</t>
  </si>
  <si>
    <t>RFX Auction</t>
  </si>
  <si>
    <t>Optimization</t>
  </si>
  <si>
    <t>Contracts</t>
  </si>
  <si>
    <t>Execution</t>
  </si>
  <si>
    <t>Data Layer</t>
  </si>
  <si>
    <t>Process Support</t>
  </si>
  <si>
    <t>Function Support</t>
  </si>
  <si>
    <t>MDM</t>
  </si>
  <si>
    <t>SIM</t>
  </si>
  <si>
    <t>SXM</t>
  </si>
  <si>
    <t>Portal</t>
  </si>
  <si>
    <t>Contract Information Management</t>
  </si>
  <si>
    <t>Contract Process Management</t>
  </si>
  <si>
    <t>Analytics</t>
  </si>
  <si>
    <t>Services</t>
  </si>
  <si>
    <t>ElementID</t>
  </si>
  <si>
    <t>1.2.5.6.22.35.64.43.34</t>
  </si>
  <si>
    <t>ElementName</t>
  </si>
  <si>
    <t>Subcat?</t>
  </si>
  <si>
    <t xml:space="preserve">Catalog Creation / Onboarding </t>
  </si>
  <si>
    <t>Catalog Data Quality Control</t>
  </si>
  <si>
    <t xml:space="preserve">Catalog Maintenance </t>
  </si>
  <si>
    <t>Catalog Approvals</t>
  </si>
  <si>
    <t xml:space="preserve">Catalog Objects </t>
  </si>
  <si>
    <t>Catalog Mobility</t>
  </si>
  <si>
    <t>Catalog Analytics</t>
  </si>
  <si>
    <t>Catalog Roadmap</t>
  </si>
  <si>
    <t>Catalog Contracts</t>
  </si>
  <si>
    <t>On-Premise Software Option</t>
  </si>
  <si>
    <t>Internet Shopping / Catalog Visibility</t>
  </si>
  <si>
    <t xml:space="preserve">Catalog "Secret Sauce" </t>
  </si>
  <si>
    <t>Y</t>
  </si>
  <si>
    <t>Requisitioning Set Up</t>
  </si>
  <si>
    <t>Marketplace User Interface</t>
  </si>
  <si>
    <t xml:space="preserve">Markeplace Dashboard </t>
  </si>
  <si>
    <t>Profiles</t>
  </si>
  <si>
    <t>Search Engine</t>
  </si>
  <si>
    <t>Third-Party Content</t>
  </si>
  <si>
    <t>Requisitioning Process</t>
  </si>
  <si>
    <t>Systems Integration</t>
  </si>
  <si>
    <t>Non-Catalog / Services Requisitions</t>
  </si>
  <si>
    <t>Preferred Supplier Management</t>
  </si>
  <si>
    <t>Repetitive Requisitions</t>
  </si>
  <si>
    <t xml:space="preserve">Help &amp; Support </t>
  </si>
  <si>
    <t>Shopping Cart / Checkout Process</t>
  </si>
  <si>
    <t>Approval Process / Approval Engine</t>
  </si>
  <si>
    <t xml:space="preserve">Guided Buying </t>
  </si>
  <si>
    <t>Sourcing Integration</t>
  </si>
  <si>
    <t>Requisitioning Budget Checking Process</t>
  </si>
  <si>
    <t>Requisitioning Inventory Checking Process</t>
  </si>
  <si>
    <t>Mobility</t>
  </si>
  <si>
    <t>Multi-Currency / Languages</t>
  </si>
  <si>
    <t>Requisition Roadmap</t>
  </si>
  <si>
    <t xml:space="preserve">Order Setup </t>
  </si>
  <si>
    <t xml:space="preserve">Order Creation </t>
  </si>
  <si>
    <t>Contract Compliance</t>
  </si>
  <si>
    <t>Extensibility</t>
  </si>
  <si>
    <t>Order Processing (buy-side)</t>
  </si>
  <si>
    <t>Order Delivery / Communication</t>
  </si>
  <si>
    <t>Order Collaboration (buyer/supplier)</t>
  </si>
  <si>
    <t>Order Processing (supply-side)</t>
  </si>
  <si>
    <t>Services Procurement Integration</t>
  </si>
  <si>
    <t>International Trade and Logistics</t>
  </si>
  <si>
    <t>PO Mobility</t>
  </si>
  <si>
    <t>PO Analytics</t>
  </si>
  <si>
    <t xml:space="preserve">Multi-languages &amp; currencies </t>
  </si>
  <si>
    <t>PO Roadmap</t>
  </si>
  <si>
    <t xml:space="preserve">Receiving Setup </t>
  </si>
  <si>
    <t xml:space="preserve">Fulfillment </t>
  </si>
  <si>
    <t>Receiving Process</t>
  </si>
  <si>
    <t xml:space="preserve">Receiving Integration </t>
  </si>
  <si>
    <t>Receiving Mobility</t>
  </si>
  <si>
    <t>Receiving Analytics</t>
  </si>
  <si>
    <t>Receiving Roadmap</t>
  </si>
  <si>
    <t>Supplier Onboarding</t>
  </si>
  <si>
    <t>Supplier Information Management</t>
  </si>
  <si>
    <t>Supplier Performance and Risk Management</t>
  </si>
  <si>
    <t>Catalog Management</t>
  </si>
  <si>
    <t>Order Management</t>
  </si>
  <si>
    <t>Other Supplier Network Value-Added Services</t>
  </si>
  <si>
    <t>Ability to Connect to Multiple Supplier/Business Networks</t>
  </si>
  <si>
    <t>Other Capabilities</t>
  </si>
  <si>
    <t>P2P Configuration Set Up</t>
  </si>
  <si>
    <t xml:space="preserve">Multi-Currency </t>
  </si>
  <si>
    <t>Business-User Configuration</t>
  </si>
  <si>
    <t>Technical Configuration</t>
  </si>
  <si>
    <t>Vendor/Consultant Configuration</t>
  </si>
  <si>
    <t>Customizations</t>
  </si>
  <si>
    <t xml:space="preserve">Cloud </t>
  </si>
  <si>
    <t>Robotics / AI / Machine Learning</t>
  </si>
  <si>
    <t>Block chain</t>
  </si>
  <si>
    <t>Internet of Things (IoT)</t>
  </si>
  <si>
    <t>OCR / Scanners</t>
  </si>
  <si>
    <t>Intelligent Apps</t>
  </si>
  <si>
    <t>Conversational Systems</t>
  </si>
  <si>
    <t>Personalization</t>
  </si>
  <si>
    <t>Open Standards</t>
  </si>
  <si>
    <t>Integrations</t>
  </si>
  <si>
    <t>Data Management Services</t>
  </si>
  <si>
    <t>Managed Services / Co-Sourcing / Outsourcing</t>
  </si>
  <si>
    <t>Consulting / Change Management</t>
  </si>
  <si>
    <t xml:space="preserve">Invoicing Setup </t>
  </si>
  <si>
    <t>Invoice Creation / Capturing / submission</t>
  </si>
  <si>
    <t>Services Invoicing &amp; Contract Invoicing</t>
  </si>
  <si>
    <t>Invoice Collaboration</t>
  </si>
  <si>
    <t>Invoice Validation / Approvals</t>
  </si>
  <si>
    <t xml:space="preserve">Invoice Integrations </t>
  </si>
  <si>
    <t>Invoice Compliance</t>
  </si>
  <si>
    <t>Invoice Mobility</t>
  </si>
  <si>
    <t>Invoicing Analytics</t>
  </si>
  <si>
    <t>Invoicing Roadmap</t>
  </si>
  <si>
    <t xml:space="preserve">Payment Methods </t>
  </si>
  <si>
    <t>Payment Processing</t>
  </si>
  <si>
    <t>Payment Cards</t>
  </si>
  <si>
    <t>Financing On-Boarding</t>
  </si>
  <si>
    <t xml:space="preserve">Trade Financing (Receivables and Payables Financing)  </t>
  </si>
  <si>
    <t>Collaboration</t>
  </si>
  <si>
    <t>Financing Analytics</t>
  </si>
  <si>
    <t>Arbitrary Categorization in Spend Analysis</t>
  </si>
  <si>
    <t>Category Benchmarks</t>
  </si>
  <si>
    <t>Trend Analysis and Demand Forecasting</t>
  </si>
  <si>
    <t>Category Sourcing Plans/Templates</t>
  </si>
  <si>
    <t>Benchmarking</t>
  </si>
  <si>
    <t>Tracking / Scorecard Integration</t>
  </si>
  <si>
    <t>Prescriptive Analytics</t>
  </si>
  <si>
    <t>Should-Cost Modelling</t>
  </si>
  <si>
    <t>Basic Should Cost Modelling</t>
  </si>
  <si>
    <t>Market Data Feeds</t>
  </si>
  <si>
    <t>Benchmarks</t>
  </si>
  <si>
    <t>Bill of Material Support</t>
  </si>
  <si>
    <t>Formula Support</t>
  </si>
  <si>
    <t>Templates</t>
  </si>
  <si>
    <t>Sourcing Strategy Definition</t>
  </si>
  <si>
    <t>Task, Timeline, and Milestone Definition</t>
  </si>
  <si>
    <t>Role-Based Team Definition</t>
  </si>
  <si>
    <t>Workflow Integration</t>
  </si>
  <si>
    <t>Approvals and Sign-Offs</t>
  </si>
  <si>
    <t>Budget and Demand Definition</t>
  </si>
  <si>
    <t>Execution Support</t>
  </si>
  <si>
    <t>Single Sign-On</t>
  </si>
  <si>
    <t>Distributed Supplier RFX Response Management</t>
  </si>
  <si>
    <t>Distributed Supplier Auction Management</t>
  </si>
  <si>
    <t>Result/Award Notification</t>
  </si>
  <si>
    <t>Contract Negotiation Management</t>
  </si>
  <si>
    <t>Scorecards</t>
  </si>
  <si>
    <t>Corrective Action Management</t>
  </si>
  <si>
    <t>Invitation Management</t>
  </si>
  <si>
    <t>Self Registration</t>
  </si>
  <si>
    <t>ETL Support</t>
  </si>
  <si>
    <t>ERP Integration</t>
  </si>
  <si>
    <t>P2P/S2P Integration</t>
  </si>
  <si>
    <t>3rd Party Feeds</t>
  </si>
  <si>
    <t>Cleansing</t>
  </si>
  <si>
    <t>Automatic data correction based on known fields</t>
  </si>
  <si>
    <t>Simple rules for automatic correction based on common errors</t>
  </si>
  <si>
    <t>Advanced rules for correction based on industry data</t>
  </si>
  <si>
    <t>Categorization</t>
  </si>
  <si>
    <t>Built in Schemas (UNSPSC, Best in Class, etc.)</t>
  </si>
  <si>
    <t>AI</t>
  </si>
  <si>
    <t>Out-of-the-Box Reports and Analytics</t>
  </si>
  <si>
    <t>Standard Spend Reports</t>
  </si>
  <si>
    <t>Customization Capability</t>
  </si>
  <si>
    <t>Report Builder</t>
  </si>
  <si>
    <t>RFX / Surveys</t>
  </si>
  <si>
    <t>Creation Methodology</t>
  </si>
  <si>
    <t>Components</t>
  </si>
  <si>
    <t>Template Library</t>
  </si>
  <si>
    <t>Category</t>
  </si>
  <si>
    <t>Industry</t>
  </si>
  <si>
    <t>Weighting</t>
  </si>
  <si>
    <t>Formula Based</t>
  </si>
  <si>
    <t>Optimization Backed</t>
  </si>
  <si>
    <t>Multi-Party</t>
  </si>
  <si>
    <t>Advanced Scoring</t>
  </si>
  <si>
    <t>Documentary Support</t>
  </si>
  <si>
    <t>Unlimited Attachments w/ Revision Control</t>
  </si>
  <si>
    <t>Bulk Upload and Association</t>
  </si>
  <si>
    <t>CAD/CAM Visualization Support</t>
  </si>
  <si>
    <t>Real Time Messaging</t>
  </si>
  <si>
    <t>Virtual Whiteboard Integration</t>
  </si>
  <si>
    <t>Other Party View Support</t>
  </si>
  <si>
    <t>Screen Sharing</t>
  </si>
  <si>
    <t>Multi-SKU Mapping</t>
  </si>
  <si>
    <t>Automatic Supplier Identification</t>
  </si>
  <si>
    <t>from SIM</t>
  </si>
  <si>
    <t>from Supplier Network</t>
  </si>
  <si>
    <t>Bidding</t>
  </si>
  <si>
    <t>Open, Blind, or Closed</t>
  </si>
  <si>
    <t>Multiple Offers Per Line</t>
  </si>
  <si>
    <t>Evaluation</t>
  </si>
  <si>
    <t>Multi-Party Support</t>
  </si>
  <si>
    <t>Each Field Single or Multi-User Rank</t>
  </si>
  <si>
    <t>Side-by-Side Comparison</t>
  </si>
  <si>
    <t>Management</t>
  </si>
  <si>
    <t>Pause, Edit, Re-Issue</t>
  </si>
  <si>
    <t>Multi-Round Support</t>
  </si>
  <si>
    <t>Auction</t>
  </si>
  <si>
    <t>Out-of-the-Box Auction Formats</t>
  </si>
  <si>
    <t>Configuration Options</t>
  </si>
  <si>
    <t>Saved Market Baskets</t>
  </si>
  <si>
    <t>RFX Integration</t>
  </si>
  <si>
    <t>Real-Time Control Mechanisms</t>
  </si>
  <si>
    <t>Proxy Support</t>
  </si>
  <si>
    <t>Messaging</t>
  </si>
  <si>
    <t>Real-Time Monitoring</t>
  </si>
  <si>
    <t>Integrated Optimization Capability</t>
  </si>
  <si>
    <t>Automatic Supplier Identification/Invitation</t>
  </si>
  <si>
    <t>Solid Mathematical Foundations</t>
  </si>
  <si>
    <t>True Cost Modelling</t>
  </si>
  <si>
    <t>Capacity</t>
  </si>
  <si>
    <t>Allocation</t>
  </si>
  <si>
    <t>Risk Mitigation</t>
  </si>
  <si>
    <t>Qualitative</t>
  </si>
  <si>
    <t>What If? Capability</t>
  </si>
  <si>
    <t>Out-of-the-Box</t>
  </si>
  <si>
    <t>Constraint Relaxation</t>
  </si>
  <si>
    <t>Scenario Comparison</t>
  </si>
  <si>
    <t>Sensitivity Analysis</t>
  </si>
  <si>
    <t>Hard Constraint Identification</t>
  </si>
  <si>
    <t>Soft Constraint Support</t>
  </si>
  <si>
    <t>Model Templates</t>
  </si>
  <si>
    <t>RFX/Auction Integration</t>
  </si>
  <si>
    <t>Scalability</t>
  </si>
  <si>
    <t>Contract Management</t>
  </si>
  <si>
    <t>Negotiation Management</t>
  </si>
  <si>
    <t>Auditable, Unalterable, Messaging</t>
  </si>
  <si>
    <t>Contract Creation</t>
  </si>
  <si>
    <t>Clauses</t>
  </si>
  <si>
    <t>Attachments</t>
  </si>
  <si>
    <t>Word Integration</t>
  </si>
  <si>
    <t>Version Control</t>
  </si>
  <si>
    <t>e-Signatures</t>
  </si>
  <si>
    <t>Performance Management</t>
  </si>
  <si>
    <t>Performance Tracking</t>
  </si>
  <si>
    <t>ETL for Key Metrics</t>
  </si>
  <si>
    <t>RFX/Survey Integration</t>
  </si>
  <si>
    <t>Out of the Box</t>
  </si>
  <si>
    <t>KPIs</t>
  </si>
  <si>
    <t>Advanced Definition</t>
  </si>
  <si>
    <t>Budget Management</t>
  </si>
  <si>
    <t>Finance Integration</t>
  </si>
  <si>
    <t>Demand Management</t>
  </si>
  <si>
    <t>Risk Management</t>
  </si>
  <si>
    <t>3rd Party Data Integration</t>
  </si>
  <si>
    <t>Scorecard Based Alerts/Notifications</t>
  </si>
  <si>
    <t>Trend Detection</t>
  </si>
  <si>
    <t>Event Monitoring</t>
  </si>
  <si>
    <t>Corrective Management</t>
  </si>
  <si>
    <t>Issue Identification</t>
  </si>
  <si>
    <t>Collaborative Plan Creation</t>
  </si>
  <si>
    <t>Milestone Tracking</t>
  </si>
  <si>
    <t>Core Tech Platform</t>
  </si>
  <si>
    <t>SaaS/Cloud</t>
  </si>
  <si>
    <t>Mobile Support</t>
  </si>
  <si>
    <t>Block Chain Support</t>
  </si>
  <si>
    <t>OCR Support</t>
  </si>
  <si>
    <t>Personalization Technology</t>
  </si>
  <si>
    <t>ERP</t>
  </si>
  <si>
    <t>P2P</t>
  </si>
  <si>
    <t>Other</t>
  </si>
  <si>
    <t>Fine Grained Role/Data/Action Based Security</t>
  </si>
  <si>
    <t>Sourcing Process</t>
  </si>
  <si>
    <t>Workflow</t>
  </si>
  <si>
    <t>Configurable Rules</t>
  </si>
  <si>
    <t>Team Management</t>
  </si>
  <si>
    <t>Project Integration</t>
  </si>
  <si>
    <t>Globalization</t>
  </si>
  <si>
    <t>Multi-Currency</t>
  </si>
  <si>
    <t>Multi-Lingual</t>
  </si>
  <si>
    <t>Business User Configuration</t>
  </si>
  <si>
    <t>Manager Configuration</t>
  </si>
  <si>
    <t>Stakeholder Configuration</t>
  </si>
  <si>
    <t>Category Specific Consulting</t>
  </si>
  <si>
    <t>Spend/Opportunity Analysis</t>
  </si>
  <si>
    <t>Sourcing Events (managed RFX/Auction/Optimization)</t>
  </si>
  <si>
    <t>Risk Identification and Management</t>
  </si>
  <si>
    <t>Managed Services</t>
  </si>
  <si>
    <t>InsideaClass?</t>
  </si>
  <si>
    <t>Class?</t>
  </si>
  <si>
    <t/>
  </si>
  <si>
    <t>Schema Support (general)</t>
  </si>
  <si>
    <t>Schema Support (out-of-the-box)</t>
  </si>
  <si>
    <t>Schema Support (custom)</t>
  </si>
  <si>
    <t>Schema Support (multi)</t>
  </si>
  <si>
    <t>Cube Capability</t>
  </si>
  <si>
    <t>Familying/Normalization</t>
  </si>
  <si>
    <t>Rule/Knowledge Model Editor</t>
  </si>
  <si>
    <t>ETL (Extract / Transform / Load)</t>
  </si>
  <si>
    <t>Out of the box ERP integrations</t>
  </si>
  <si>
    <t>Source-to-Pay Integrations (out-of-the-box )</t>
  </si>
  <si>
    <t>Rules Set</t>
  </si>
  <si>
    <t>Rule Groups (including reg-ex / formula support)</t>
  </si>
  <si>
    <t>Enrich</t>
  </si>
  <si>
    <t xml:space="preserve">3rd Party Data Feed Integrations (out-of-the-box) </t>
  </si>
  <si>
    <t>Multi-Source Cross-Joins</t>
  </si>
  <si>
    <t>Classification / Categorization</t>
  </si>
  <si>
    <t>Manual Support</t>
  </si>
  <si>
    <t>Arbitrary Dimensions in Rules</t>
  </si>
  <si>
    <t>Query Capability</t>
  </si>
  <si>
    <t>Hybrid</t>
  </si>
  <si>
    <t>Data Integrity Analytics</t>
  </si>
  <si>
    <t>Outlier Identification</t>
  </si>
  <si>
    <t>Statistical Analysis / Frequency Mapping</t>
  </si>
  <si>
    <t>Sliding Time-Scale</t>
  </si>
  <si>
    <t>VAR: Visualize, Analyze, Report</t>
  </si>
  <si>
    <t>Filter Support</t>
  </si>
  <si>
    <t>Formula / Derived Dimension Support</t>
  </si>
  <si>
    <t>Extent of Charting / Graphing Capability</t>
  </si>
  <si>
    <t>Extent of Report Definition / Building</t>
  </si>
  <si>
    <t>ETD (extract / transform / dump)</t>
  </si>
  <si>
    <t>Flat File / FTP</t>
  </si>
  <si>
    <t>Real-Time Integration</t>
  </si>
  <si>
    <t>Raw Capability</t>
  </si>
  <si>
    <t>Advanced Analytics</t>
  </si>
  <si>
    <t>Predictive Analytics</t>
  </si>
  <si>
    <t>Permissive Analytics</t>
  </si>
  <si>
    <t>KPI Library</t>
  </si>
  <si>
    <t>Internal</t>
  </si>
  <si>
    <t>External</t>
  </si>
  <si>
    <t>Cost Avoidance / Opportunity Program Management</t>
  </si>
  <si>
    <t>Out-of-the-Box Sourcing Support</t>
  </si>
  <si>
    <t>Out-of-the-Box Procurement Support</t>
  </si>
  <si>
    <t>Out-of-the-Box Travel &amp; Expense Support</t>
  </si>
  <si>
    <t>Out-of-the-Box Finance Support</t>
  </si>
  <si>
    <t>Out-of-the-Box Product (Lifecycle) Support</t>
  </si>
  <si>
    <t>Out-of-the-Box Services Support</t>
  </si>
  <si>
    <t>Out-of-the-Box CWM Support</t>
  </si>
  <si>
    <t>Out-of-the-Box Logistics Support</t>
  </si>
  <si>
    <t>Out-of-the-Box Inventory/MRO Support</t>
  </si>
  <si>
    <t>Out-of-the-Box Supplier Analysis Support</t>
  </si>
  <si>
    <t>Out-of-the-Box Risk Management Support</t>
  </si>
  <si>
    <t>3rd Party BI Integration</t>
  </si>
  <si>
    <t>SaaS / Cloud</t>
  </si>
  <si>
    <t>AI / Machine Learning</t>
  </si>
  <si>
    <t>Big Data</t>
  </si>
  <si>
    <t>Block Chain</t>
  </si>
  <si>
    <t>Mobile</t>
  </si>
  <si>
    <t>Semi-Structured / Unstructured Data</t>
  </si>
  <si>
    <t>OCR</t>
  </si>
  <si>
    <t>Fine-Grained Role/Data/Action Based Security</t>
  </si>
  <si>
    <t>Company/Function/Group Configuration</t>
  </si>
  <si>
    <t>Private vs. Public Workspaces</t>
  </si>
  <si>
    <t>Built in vs. External Visualization</t>
  </si>
  <si>
    <t>Business Rules / Workflow</t>
  </si>
  <si>
    <t>Multi-Language</t>
  </si>
  <si>
    <t>Implementation / Integration / Maintenance Services</t>
  </si>
  <si>
    <t>ETL / Cleansing / Classification / Categorization</t>
  </si>
  <si>
    <t>Analytics / Data Science</t>
  </si>
  <si>
    <t>Category / Project Management</t>
  </si>
  <si>
    <t>Schema Support</t>
  </si>
  <si>
    <t>Supplier Information (industry codes)</t>
  </si>
  <si>
    <t>Product / Service Information (e.g., UNSPSC)</t>
  </si>
  <si>
    <t>Multi-Source Integration</t>
  </si>
  <si>
    <t>Multi-Source Federation Control</t>
  </si>
  <si>
    <t>Fine Grained Access / Permission Control</t>
  </si>
  <si>
    <t>Form Support</t>
  </si>
  <si>
    <t>Data Archival and Auditing</t>
  </si>
  <si>
    <t>Document and Version Management</t>
  </si>
  <si>
    <t>OCR and Automatic (meta-data) Indexing</t>
  </si>
  <si>
    <t>Supplier (Pre) Registration</t>
  </si>
  <si>
    <t>Self-Registration</t>
  </si>
  <si>
    <t>SIC Support</t>
  </si>
  <si>
    <t>Supplier On-Boarding</t>
  </si>
  <si>
    <t>On-Boarding Templates</t>
  </si>
  <si>
    <t>Integrated Off-Line Reach Out (phone, fax)</t>
  </si>
  <si>
    <t>Supplier Network Integration</t>
  </si>
  <si>
    <t>Auto Data Verification</t>
  </si>
  <si>
    <t>Supplier Qualification</t>
  </si>
  <si>
    <t>Data Collection / Branching Workflow</t>
  </si>
  <si>
    <t>Delegation of Control</t>
  </si>
  <si>
    <t>Auto Document Identification &amp; Verification</t>
  </si>
  <si>
    <t>Supplier Data Management</t>
  </si>
  <si>
    <t>Entity Core Data</t>
  </si>
  <si>
    <t>Financial Data / ACH Integration</t>
  </si>
  <si>
    <t>3P Data Integration (scores/audits/etc.)</t>
  </si>
  <si>
    <t>Document Management</t>
  </si>
  <si>
    <t>Certificates / Insurance</t>
  </si>
  <si>
    <t>Product / Catalog Management</t>
  </si>
  <si>
    <t>Ratings, Approvals, &amp; Preferred Suppliers</t>
  </si>
  <si>
    <t>Supplier Collaboration</t>
  </si>
  <si>
    <t>Real-Time Messaging</t>
  </si>
  <si>
    <t>Collaborative Whiteboards</t>
  </si>
  <si>
    <t>Conflict Resolution (Average)</t>
  </si>
  <si>
    <t>SPM (Average)</t>
  </si>
  <si>
    <t>Innovation Magament &amp; NPD (Average)</t>
  </si>
  <si>
    <t>Risk Management (Average)</t>
  </si>
  <si>
    <t>Conflict Resolution CAR/CAM</t>
  </si>
  <si>
    <t>Issue Identification and Tracking</t>
  </si>
  <si>
    <t>Plan Development &amp; Milestone Definition</t>
  </si>
  <si>
    <t>Status Updates</t>
  </si>
  <si>
    <t>Resolution Mechanisms</t>
  </si>
  <si>
    <t>Measurement</t>
  </si>
  <si>
    <t>Survey Integration</t>
  </si>
  <si>
    <t>Formulaic Metric Definition on Raw Data</t>
  </si>
  <si>
    <t>Scorecards w/ Automatic Updates</t>
  </si>
  <si>
    <t>Development &amp; Innovation Management</t>
  </si>
  <si>
    <t>Challenge Definition</t>
  </si>
  <si>
    <t>Unsolicited Idea Management</t>
  </si>
  <si>
    <t>Review and Decision Support</t>
  </si>
  <si>
    <t>Monitoring</t>
  </si>
  <si>
    <t>Automatic Data / Scorecard Updates</t>
  </si>
  <si>
    <t>Alerts &amp; Notification</t>
  </si>
  <si>
    <t>Integration with CAR/CAM</t>
  </si>
  <si>
    <t>Risk Identification</t>
  </si>
  <si>
    <t>Mitigation Plan</t>
  </si>
  <si>
    <t>Trend Monitoring</t>
  </si>
  <si>
    <t>NPD / NPI</t>
  </si>
  <si>
    <t>Product Management</t>
  </si>
  <si>
    <t>BoM Management</t>
  </si>
  <si>
    <t>Innovation Integration</t>
  </si>
  <si>
    <t>Process Management</t>
  </si>
  <si>
    <t>Out-of-the-Box Scorecards</t>
  </si>
  <si>
    <t>Out-of-the-Box Metric Reports</t>
  </si>
  <si>
    <t>Out-of-the-Box Trend Reports</t>
  </si>
  <si>
    <t>Out-of-the-Box Risk Reports</t>
  </si>
  <si>
    <t>Single View &amp; Sign-On</t>
  </si>
  <si>
    <t>Deep Onboarding Support</t>
  </si>
  <si>
    <t>SPM/SRM Data Review</t>
  </si>
  <si>
    <t>360-Degree Scorecards</t>
  </si>
  <si>
    <t>Document Management &amp; Updates</t>
  </si>
  <si>
    <t>VMI</t>
  </si>
  <si>
    <t>PO/Invoice/Payment Support</t>
  </si>
  <si>
    <t>AR/Auto Detection of Missing / Needed / Erroneous Data</t>
  </si>
  <si>
    <t>SIM / SPM / SRM Configurability</t>
  </si>
  <si>
    <t>Network Data Model</t>
  </si>
  <si>
    <t>Multi-Tier</t>
  </si>
  <si>
    <t>Supplier Portal Configurability</t>
  </si>
  <si>
    <t>Data/Document Management Services</t>
  </si>
  <si>
    <t>Supplier Management Services</t>
  </si>
  <si>
    <t>Supplier Development / Innovation Management</t>
  </si>
  <si>
    <t xml:space="preserve">Core Core Contract modeling </t>
  </si>
  <si>
    <t>Enterprise Contracts Support (beyond buy-side)</t>
  </si>
  <si>
    <t>Richness of Contract Level Data Modeled</t>
  </si>
  <si>
    <t>Extended Contract Modeling and Analytics</t>
  </si>
  <si>
    <t>Pricing</t>
  </si>
  <si>
    <t>"Categories"</t>
  </si>
  <si>
    <t>General Risk</t>
  </si>
  <si>
    <t>Commodity Risk</t>
  </si>
  <si>
    <t>Supplier / Partner</t>
  </si>
  <si>
    <t>Regulatory Compliance</t>
  </si>
  <si>
    <t>"Financials"</t>
  </si>
  <si>
    <t>Projects</t>
  </si>
  <si>
    <t>Assets (e.g., software licenses)</t>
  </si>
  <si>
    <t>Other (Contract Modeling )</t>
  </si>
  <si>
    <t>Performance Specifications and Deliverables</t>
  </si>
  <si>
    <t>Obligations</t>
  </si>
  <si>
    <t>File Attachments</t>
  </si>
  <si>
    <t>Document Linking and Integration</t>
  </si>
  <si>
    <t>Contract Expiry &amp; Renewal Management</t>
  </si>
  <si>
    <t>Contract Action, Renewals</t>
  </si>
  <si>
    <t>Contract Expiration (non-renewal)</t>
  </si>
  <si>
    <t>Contract Creation and Authoring</t>
  </si>
  <si>
    <t>Search / Discovery</t>
  </si>
  <si>
    <t>Legacy Contract Upload / Conversion</t>
  </si>
  <si>
    <t xml:space="preserve">Clause Extraction, Classification, and Harmonization </t>
  </si>
  <si>
    <t>Survey integration</t>
  </si>
  <si>
    <t>Contract Import from E-Sourcing</t>
  </si>
  <si>
    <t>Ability to Manage Counter-Party Originated Contracts</t>
  </si>
  <si>
    <t>Amendment Creation</t>
  </si>
  <si>
    <t>Contract Collaboration</t>
  </si>
  <si>
    <t>Core Workflow and Approvals</t>
  </si>
  <si>
    <t>Contract Negotiation</t>
  </si>
  <si>
    <t>"Collaboration" Support (which extends across contract lifecycle)</t>
  </si>
  <si>
    <t>Sub-Contracting Support</t>
  </si>
  <si>
    <t>"Guided Contracting" (e.g., user questionnaires)</t>
  </si>
  <si>
    <t>Contract Implementation</t>
  </si>
  <si>
    <t>Contract Performance Management</t>
  </si>
  <si>
    <t>Compliance Management</t>
  </si>
  <si>
    <t>Financial Management</t>
  </si>
  <si>
    <t>Corrective Action &amp; Conflict Resolution</t>
  </si>
  <si>
    <t>Performance Management Analytics</t>
  </si>
  <si>
    <t>Contracting Reports and Analytics</t>
  </si>
  <si>
    <t>Contract / Cmmercial Performance Analysis</t>
  </si>
  <si>
    <t>Knowledge Management and Expertise</t>
  </si>
  <si>
    <t>Knowledge Beyond Technology Applications</t>
  </si>
  <si>
    <t>Community Knowledge</t>
  </si>
  <si>
    <t>Value Creation Methodology and Approach</t>
  </si>
  <si>
    <t xml:space="preserve">General Areas (not integration specific) </t>
  </si>
  <si>
    <t>Core Technology Platform</t>
  </si>
  <si>
    <t>Security</t>
  </si>
  <si>
    <t>Fine Grained Role / Data / Action Based Security</t>
  </si>
  <si>
    <t>User Experience</t>
  </si>
  <si>
    <t>IaaS</t>
  </si>
  <si>
    <t>AR / Auto Detection of Missing / Needed / Erroneous Data</t>
  </si>
  <si>
    <t>Machine Learning</t>
  </si>
  <si>
    <t>"Bots"</t>
  </si>
  <si>
    <t>Approach</t>
  </si>
  <si>
    <t>APIs</t>
  </si>
  <si>
    <t xml:space="preserve">CLM Configuration </t>
  </si>
  <si>
    <t>Opportunity Analysis</t>
  </si>
  <si>
    <t>y</t>
  </si>
  <si>
    <t>Raw</t>
  </si>
  <si>
    <t>Markeplace Dashboard</t>
  </si>
  <si>
    <t>Multi-languages &amp; currencies</t>
  </si>
  <si>
    <t>Order Creation</t>
  </si>
  <si>
    <t>Order Setup</t>
  </si>
  <si>
    <t>Payment Methods</t>
  </si>
  <si>
    <t>Receiving Integration</t>
  </si>
  <si>
    <t>Receiving Setup</t>
  </si>
  <si>
    <t>Trade Financing (Receivables and Payables Financing)</t>
  </si>
  <si>
    <t>3rd Party Data Feed Integrations (out-of-the-box)</t>
  </si>
  <si>
    <t>Catalog "Secret Sauce"</t>
  </si>
  <si>
    <t>Catalog Creation / Onboarding</t>
  </si>
  <si>
    <t>Catalog Maintenance</t>
  </si>
  <si>
    <t>Catalog Objects</t>
  </si>
  <si>
    <t>Clause Extraction, Classification, and Harmonization</t>
  </si>
  <si>
    <t>CLM Configuration</t>
  </si>
  <si>
    <t>Cloud</t>
  </si>
  <si>
    <t>Fulfillment</t>
  </si>
  <si>
    <t>Guided Buying</t>
  </si>
  <si>
    <t>Help &amp; Support</t>
  </si>
  <si>
    <t>Invoice Integrations</t>
  </si>
  <si>
    <t>Invoicing Setup</t>
  </si>
  <si>
    <t>it only appears once and Multi-Lingual appears three times</t>
  </si>
  <si>
    <t>Suite</t>
  </si>
  <si>
    <t>Subcategory</t>
  </si>
  <si>
    <t>scseID</t>
  </si>
  <si>
    <t>scesID</t>
  </si>
  <si>
    <t>Version</t>
  </si>
  <si>
    <t>VariantID</t>
  </si>
  <si>
    <t>ClassID</t>
  </si>
  <si>
    <t>LastVersion</t>
  </si>
  <si>
    <t>UpdateDate</t>
  </si>
  <si>
    <t>Active</t>
  </si>
  <si>
    <t>AppearanceOrder</t>
  </si>
  <si>
    <t>OneSheet</t>
  </si>
  <si>
    <t>Specifications</t>
  </si>
  <si>
    <t>ExampleScoring</t>
  </si>
  <si>
    <t>Specification</t>
  </si>
  <si>
    <t>Subcat</t>
  </si>
  <si>
    <t>Describe mobility features of the requisitioning process including how security capabilities work in a smartphone and tablet environment. Describe any "apps" and other mobile requisitioning access points (Native browser, Apple Watch, etc.)</t>
  </si>
  <si>
    <t>(NOT IN I2P)</t>
  </si>
  <si>
    <t>(NOT IN THE I2P RFI, THOUGH XAVIER SAID IT SHOULD BE INCLUDED IN I2P)</t>
  </si>
  <si>
    <t>In the I2P Customer Survey there is no Spend under Management</t>
  </si>
  <si>
    <t>This is the ability to do category spend analysis within an analytics environment against default, built in, and arbitrary (what-if) categorizations.</t>
  </si>
  <si>
    <t>1 is integrated spend analysis; 2 is integrated spend analysis + a built in taxonomy; 3 is support for what if re-categorizations; 4 is the ability to do all this with data enrichment and multi-taxonomy comparisons; etc.</t>
  </si>
  <si>
    <t>Does the tool contain built in category benchmarks based on real world data, market pricing, real-time updates based on anonymized community events, and/or should-cost models.</t>
  </si>
  <si>
    <t>1 would be the ability to maintain benchmarks ; 2 would be the ability to automatically populate benchmarks with anonymized data from other clients/participants in a buyer network; 3 would be the ability to extend those with industry data; 4 would require innovations in the area beyond these; etc.</t>
  </si>
  <si>
    <t>Does the tool contain the ability to plot historical (benchmark) prices, project future pricing trends, market demands, and company demands?</t>
  </si>
  <si>
    <t>1 would be the ability to plot historical prices and demands and do basic trend analysis; 2 would be the ability to plot this against market data and predict likely market prices; 3 would be the ability to use advanced demand planning models to predict detailed demands over time; 4 would require integrated demand management functionality and guided buying based on prescriptive analytics; etc.</t>
  </si>
  <si>
    <t>Does the tool contain built-in category sourcing plans based on templates built by experts (internal or external to your organization: please specify) and guide a user through the creation and execution of category-based sourcing events?</t>
  </si>
  <si>
    <t>1 would be the ability to define and track such plans; 2 would be a set of template category plans; 3 would be a set of detailed sourcing plans across categories and products with workflow enabled templates integrated into the various modules and functions; 4 would be adaptive sourcing templates that vary the workflow based on market conditions and configurable rules; etc.</t>
  </si>
  <si>
    <t>Does the tool contain the ability for the organization to create and maintain their own benchmarks and (if market benchmarks are included) compare those to market/community benchmarks?</t>
  </si>
  <si>
    <t>1 is the ability to maintain general purpose spending and performance benchmarks; 2 is the ability to define and track advanced KPIs in those benchmarks; 3 is the ability to define and monitor trends based on those benchmarks; 4 would include capability beyond which is previously addressed (but including 1-3)</t>
  </si>
  <si>
    <t>Does the tool contain the ability to create scorecards and track sourcing success against the category plan / opportunity analysis?</t>
  </si>
  <si>
    <t>1 is the ability to define scorecards; 2 is the ability to populate them automatically from KPIs, surveys, and imported data; 3 is the ability define trends and alerts and track changes over time; 4 would include capability beyond which is previously addressed (but including 1-3)</t>
  </si>
  <si>
    <t>Does the tool support prescriptive analytics that can analyze current market conditions, organizational demands, and projected trends and guide the user into the selection of the appropriate sourcing event type and template among multiple built-in options built by industry experts?</t>
  </si>
  <si>
    <t>1 would be the capability of general advice based on general measurements or comparisons; 2 would be the inclusion of more specific advice on a category / project basis; 3 is the ability to adapt the recommendations and workflow based on current market conditions; 4 would be based on, and include, advanced statistical modelling/simulation/optimization models; etc.</t>
  </si>
  <si>
    <t>Does the tool support the creation and maintenance of should cost models?</t>
  </si>
  <si>
    <t>1 is the ability to define a simple should cost model; 2 is the ability to populate from corporate or market data; 3 is the ability to define costs based on advanced formulas; 4 would be the ability to compute future costs based on projected cost trends across raw materials, labor, energy, and overhead costs; etc.</t>
  </si>
  <si>
    <t>Does the tool support the integration of market data to support should-cost model creation?</t>
  </si>
  <si>
    <t>1 would be the ability to import data from flat files; 2 from real-time from data sources; 3 from real-time interpolation using advanced metrics and formulae for more accurate costing; 4 would include capability beyond which is previously addressed (but including 1-3).</t>
  </si>
  <si>
    <t>Does the tool support the integration of benchmarks to support the calculation of overhead / internal production costs not obtainable from market data?</t>
  </si>
  <si>
    <t>1 is support for benchmarks; 2 is integration with benchmarks; 3 is real-time updates based to should cost models based on benchmarks; 4 would include capability beyond which is previously addressed (but including 1-3)</t>
  </si>
  <si>
    <t>Does the tool support the creation of detailed bills of material and can the bill of materials be imported from ERP/MRP solutions?</t>
  </si>
  <si>
    <t>1 is basic support for the definition of a bill of materials; 2 is importation from ERP/MRP; 3 is support for BoM driven cost models; 4 is support for multi-tier dynamic roll-up cost models; etc.</t>
  </si>
  <si>
    <t>Does the tool support the creation of complex formulas (with mathematical functions and not just basic arithmetic operators) in the creation of should-cost models?</t>
  </si>
  <si>
    <t>1 basic arithmetic operators; 2 basic (Excel) functions; 3 advanced trigonometric functions; 4 calculus, etc.</t>
  </si>
  <si>
    <t>Does the tool come with a set of templates for the products and services require by the organization, grouped into the categories supported by the organization?</t>
  </si>
  <si>
    <t>1 a set of high level category templates; 2 detailed category templates with key products / raw materials; 3 adaptive templates based on changing designs / bills of material; 4 would include capability beyond which is previously addressed (but including 1-3)</t>
  </si>
  <si>
    <t>Does the tool support the creation of sourcing strategies based on the sourcing project / category needs that can be documented, archived, and accessed at any time?</t>
  </si>
  <si>
    <t>1 simple, static, sourcing strategy definition; 2 quick links into different modules based on high-level workflow steps; 3 detailed step-by-step strategies with progress tracking and links into specific step workflows within modules; 4 would include capability beyond which is previously addressed (but including 1-3)</t>
  </si>
  <si>
    <t>Does the tool support the definition of detailed tasks, milestones, and timelines that can be used to define the project, walk the team through each step, and allow the senior buyer to track progress at each step of the way?</t>
  </si>
  <si>
    <t>1 timeline, milestone, and task definition; 2 status tracking and automatic status update based on step completion; 3 security controls, approvals, and audits; 4 would include capability beyond which is previously addressed (but including 1-3)</t>
  </si>
  <si>
    <t>Does the tool support role-based team-definition that not only defines a project team but the roles and associated responsibilities and access rights that they will have throughout the sourcing project?</t>
  </si>
  <si>
    <t>1 basic role definition; 2 integration with access controls; 3 support for team members outside the organization; 4 would include capability beyond which is previously addressed (but including 1-3)</t>
  </si>
  <si>
    <t>Does the project management functionality support, and integrate with, a configurable, variable, workflow that integrates with each module and function on the sourcing plan?</t>
  </si>
  <si>
    <t>1 entry point integration; 2 functional integration; 3 rules-based workflow that detects and jumps to the right point in the sourcing workflow; 4 would include capability beyond which is previously addressed (but including 1-3)</t>
  </si>
  <si>
    <t>Does the project management tool support the definition of necessary go/no go breakpoints that require one or more staggered sign offs to continue?</t>
  </si>
  <si>
    <t>1 single approvals; 2 multi-approvals; 3 multi-approvals with override authority in an approval chain; 4 would include capability beyond which is previously addressed (but including 1-3)</t>
  </si>
  <si>
    <t>Does the tool support the definition of budgets and point-in-time demand definition over the course of the project award window?</t>
  </si>
  <si>
    <t>1 budget definition; 2 budget importation from third party tool; 3 budget updates and projections based on demands; 4 automatic updates based on rules and formulas from available spend and demand projection updates</t>
  </si>
  <si>
    <t>Does the tool support the execution of the project through collaboration, document tracking, negotiation, or other non-critical, but beneficial capabilities?</t>
  </si>
  <si>
    <t>1 integrated email; 2 integrated messaging/chat with history; 3 virtual whiteboards or collaborative view creation; 4 would include capability beyond which is previously addressed (but including 1-3)</t>
  </si>
  <si>
    <t>Does the platform support single-sign on for the supplier -- and by this we mean that regardless of how many customers use the supplier, it has one, single, integrated portal to manage all of its customer relationships with one single sign-on for all related activities in the platform</t>
  </si>
  <si>
    <t>1 one login, but each customer view is segregated; 2 one instance of supplier master data, but customer documents/RFXs/purchase orders/etc. in their own portal; 3 all documents/communications integrated; 4 VMI across orders, optimized responses against limited capability, etc.</t>
  </si>
  <si>
    <t>Does the portal integrate with the RFX application and allow distributed or multiple responses that are completely controlled by the supplier, who can add team members with restricted access at will?</t>
  </si>
  <si>
    <t>1 multiple, invited parties can respond; 2 supplier can add parties, but limited control over what they can/cannot respond to; 3 supplier can add parties, restrict roles, and review options; 4 would include capability beyond which is previously addressed (but including 1-3)</t>
  </si>
  <si>
    <t>Does the portal integrate with the auction application and allow for distributed or multiple responses that are completely controlled by the supplier who can add team members and proxies with restricted access down to the item level?</t>
  </si>
  <si>
    <t>1 multiple parties defined by the buyer can respond, typically one per lot; 2 multiple parties, added by the supplier, can respond, typically one per lot; 3 suppliers can add parties and back-up proxies that will automatically be authorized if the primary party does not log in or gets disconnected; 4 would include capability beyond which is previously addressed (but including 1-3)</t>
  </si>
  <si>
    <t>Does the portal allow for the secured and controlled distribution of (optimized) RFX or Auction results with authorized supplier personnel only, allowing for verification of receipt, and secure responses.</t>
  </si>
  <si>
    <t>1 results can be communicated to a single supplier representative through the platform; 2 results can be communicate to all supplier personnel with appropriate access rights; 3 supplier personnel can verify receipt; 4 would include capability beyond which is previously addressed (but including 1-3)</t>
  </si>
  <si>
    <t>Does the portal allow for secure, tracked, and versioned e-negotiation with contract offer and counter offer version control and tracking?</t>
  </si>
  <si>
    <t>1 the buyer can communicate results securely to the supplier and verify access; 2 the supplier can accept, reject, or counter-offer in a secure manner and verify when the buyer has accessed; 3 the platform allows unlimited back and forth, tracking multiple versions of offers and counter offers across multiple documents that will form the complete contract when signed; 4 would include capability beyond which is previously addressed (but including 1-3)</t>
  </si>
  <si>
    <t>Does the portal allow for the collection of all tracked supplier information, controlled updates where new information and documents must be first verified, and communications tracked and archived?</t>
  </si>
  <si>
    <t>1 suppliers can enter basic contact and location information; 2 suppliers can upload and maintain documents; 3 suppliers can maintain complete catalogs and make updates on a regular basis, limited only by contractual rates and changes that must be verified; 4 inclusive of 1-3 + automatic verification of updates that allow suppliers to automatically update data without buyer verification required</t>
  </si>
  <si>
    <t>Does the platform allow for the creation and distribution of 360-degree supplier scorecards?</t>
  </si>
  <si>
    <t>1 scorecards can be created by both parties and distributed manually; 2 scorecards can be automatically updated from KPIs and surveys; 3 scorecard history and performance trends; 4 net promoter scores and advanced relationship metrics</t>
  </si>
  <si>
    <t>Does the platform allow buyers to notify suppliers of issues, create and manage corrective action plans in a collaborative fashion?</t>
  </si>
  <si>
    <t>1 issue identification and tracking; 2 corrective action plan creation and progress tracking; 3 collaborative plan creation, progress updates, and interaction; 4 would include capability beyond which is previously addressed (but including 1-3)</t>
  </si>
  <si>
    <t>Does the platform facilitate the onboarding of new suppliers?</t>
  </si>
  <si>
    <t>1 list creation and invite management; 2 integration with supplier networks and campaign management; 3 integration with (e-)fax and phone campaigns; 4 would include capability beyond which is previously addressed (but including 1-3)</t>
  </si>
  <si>
    <t>Does the platform support invitation management, possibly as part of supplier onboarding campaigns, that allows the buyer to onboard suppliers in a controlled and logical manner?</t>
  </si>
  <si>
    <t>1 timed e-mails; 2 time offline (e-)fax and phone campaigns; 3 integration with supplier self-registration; 4 would include capability beyond which is previously addressed (but including 1-3)</t>
  </si>
  <si>
    <t>Does the platform allow for supplier self-registration, walking the supplier through the process of providing the appropriate information, documentation, and customer/industry references?</t>
  </si>
  <si>
    <t>1 suppliers can sign up for future invitation; 2 suppliers can provide basic information; 3 suppliers can provide extensive category and industry information and be guided through an information collection workflow based on the answers and information provided; 4 would include capability beyond which is previously addressed (but including 1-3)</t>
  </si>
  <si>
    <t>To what extent does the platform support extract, transform and load from other systems?</t>
  </si>
  <si>
    <t>To what extent does the platform support out-of-the-box integration with ERP systems such as Oracle, SAP, JDE, etc?</t>
  </si>
  <si>
    <t>To what extent does the platform support out-of-the-box integration with other P2P/S2P systems that the organization may already have in place for transactional procurement?</t>
  </si>
  <si>
    <t>To what extent does the platform support integration with 3rd party data feeds that are relevant for data enrichment and analysis?</t>
  </si>
  <si>
    <t>To what extent does the platform support the cleansing of data required for analytics?</t>
  </si>
  <si>
    <t>Does the platform support the automatic correction of data pulled from a system with correct data pulled from a master system?</t>
  </si>
  <si>
    <t>Does the platform support the creation of rules for automatic correction of data based on common errors that can easily be encoded in rules by end users?</t>
  </si>
  <si>
    <t>Does the platform support the creation of rules for error correction based on industry data?</t>
  </si>
  <si>
    <t>To what extent does the platform support categorization?</t>
  </si>
  <si>
    <t>Does the platform support (automatic) categorization against one or more built in schemas such as UNSPSC, Best-in-Class schemas created by consultants, or other industry classifications?</t>
  </si>
  <si>
    <t>Does the platform support categorization using one or more AI technologies?</t>
  </si>
  <si>
    <t>To what extent is out-of-the-box reporting supported?</t>
  </si>
  <si>
    <t>To what extent does the platform support standard spend reports? How many are included and to what extent is end-to-end coverage supported?</t>
  </si>
  <si>
    <t>To what extent does the built-in reporting and analytics support end-user customization?</t>
  </si>
  <si>
    <t>Does the tool come with a built-in report builder that allows end-users to create the reports they want on the data they want, regardless of the source of such data?</t>
  </si>
  <si>
    <t>How flexible is the RFP creation methodology and can it be customized to the needs of the buyer?</t>
  </si>
  <si>
    <t>1 the buyer can create the RFP questions that are required; 2 the buyer can modify the process; 3 the buyer can tailor the process to organizational needs; 4 would include capability beyond which is previously addressed (but including 1-3)</t>
  </si>
  <si>
    <t>Does the RFX / Survey tool support all of the standard components including, but not limited to, free form entry, configurable drop-down lists, multi-selects, and other components?</t>
  </si>
  <si>
    <t>1 the tool supports the basic RFX creation from standard components; 2 the tool supports RFX creation from advanced multi-selects and other modern components; 3 the tool supports creation of RFXs from a suite of grouped RFX components that can be reused as needed; 4 would include capability beyond which is previously addressed (but including 1-3)</t>
  </si>
  <si>
    <t>Does the tool support the creation of RFX/Surveys from configurable and customizable templates?</t>
  </si>
  <si>
    <t>1 RFXS can be instantiated from templates; 2 RFXs can be instantiated from a collection of template sections; 3 RFXs can be instantiated from templates can be auto-selected based on industry category or other factors; 4 would include capability beyond which is previously addressed (but including 1-3)</t>
  </si>
  <si>
    <t>To what extent does the solution support a template library?</t>
  </si>
  <si>
    <t>1 a pre-configured template library is supported; 2 the buyer can define his or her own templates; 3 templates can be organized by industry and/or categories and multiple versions based upon different specifications created; 4 would include capability beyond which is previously addressed (but including 1-3)</t>
  </si>
  <si>
    <t>Does the solution support the creation of templates by category and/or come with an extensive library of category templates?</t>
  </si>
  <si>
    <t>1 templates by category are provide; 2 the buyer can create templates by category; 3 the templates can be integrated with should-cost models; 4 would include capability beyond which is previously addressed (but including 1-3)</t>
  </si>
  <si>
    <t>Does the solution support the relation of templates by industry and/or come with an extensive library of category templates?</t>
  </si>
  <si>
    <t>1 templates by industry are provide; 2 the buyer can create templates by industry; 3 the templates are integrated with should-cost models; 4 would include capability beyond which is previously addressed (but including 1-3)</t>
  </si>
  <si>
    <t>To what extent does the RFX tool support weighting?</t>
  </si>
  <si>
    <t>1 a single weight for each factor; 2 group based average weighting for each factor; 3 variable weightings for each response based upon respondent expertise; 4 would include capability beyond which is previously addressed (but including 1-3)</t>
  </si>
  <si>
    <t>Does the RFX support the creation of weighting formulas across elements?</t>
  </si>
  <si>
    <t>1 simple arithmetic formulae; 2 basic statistical/trigonometric spreadsheet formulas; 3 advanced functions; 4 would include capability beyond which is previously addressed (but including 1-3)</t>
  </si>
  <si>
    <t>Does the RFX integrate with an optimization platform or is it optimization backed (that allows for constraints to be taken into account during weightings)?</t>
  </si>
  <si>
    <t>1 simple cost model integration; 2 basic capacity constraint definition and support; 3 full optimization model integration; 4 would include capability beyond which is previously addressed (but including 1-3)</t>
  </si>
  <si>
    <t>Does the RFX support multi-party evaluations with variable rankings?</t>
  </si>
  <si>
    <t>1 multiple parties can weight, but only one response per section; 2 multiple parties can rank all sections; 3 variable rankings on each section across multiple parties; 4 would include capability beyond which is previously addressed (but including 1-3)</t>
  </si>
  <si>
    <t>Does the RFX support advanced scoring evaluation methodologies such as statistical, net promotor, on-target, and other methodologies?</t>
  </si>
  <si>
    <t>1 basic statistical scoring; 2 advanced functions; 3 net promotor; 4 more advanced scoring methodologies</t>
  </si>
  <si>
    <t>To what extent does the RFX tool support document attachments?</t>
  </si>
  <si>
    <t>1 bulk uploads in centralized directory; 2 classification by skype; 3 version management; 4 auto-classification and verification</t>
  </si>
  <si>
    <t>Can the RFX tool support unlimited attachments with detailed meta-data index and version/revision control?</t>
  </si>
  <si>
    <t>1 unlimited attachments with simple meta-data; 2 version control; 3 comparison and auto-difference detection; 4 would include capability beyond which is previously addressed (but including 1-3)</t>
  </si>
  <si>
    <t>Can the RFX tool support bulk upload and automatic association with suppliers, lots and line items using a standard naming convention?</t>
  </si>
  <si>
    <t>1 bulk upload, manual mapping to lots/items; 2 bulk upload, automatic mapping to lots/items based on a naming convention; 3 bulk upload, automatic mapping and automatic verification; 4 would include capability beyond which is previously addressed (but including 1-3)</t>
  </si>
  <si>
    <t>Can the RFX tool support CAD/CAM diagrams and allow them to be visualized within the tool?</t>
  </si>
  <si>
    <t>1 CAD/CAM diagrams detected and associated, displayable in external tools; 2 CAD/CAM diagrams detected and associated, viewable in internal viewer; 3 CAD/CAM diagrams detected, and secured, for safe internal or external viewing; 4 would include capability beyond which is previously addressed (but including 1-3)</t>
  </si>
  <si>
    <t>To what extent does the RFX tool support collaboration?</t>
  </si>
  <si>
    <t>1 email; 2 integrated messaging; 3 collaborative RFX creation/construction; 4 whiteboards and other real-time element creation; 4 would include capability beyond which is previously addressed (but including 1-3)</t>
  </si>
  <si>
    <t>Does the tool support integrated real-time messaging between all parties? And can conversations be stored and associated with associated RFX elements?</t>
  </si>
  <si>
    <t>1 real time chat between two parties; 2 multi-party chat with archival; 3 association with different modules and elements; 4 would include capability beyond which is previously addressed (but including 1-3)</t>
  </si>
  <si>
    <t>Does the tool support integrated virtual whiteboards that allow all parties to collaborate free-form in the creation of RFXs and RFX responses?</t>
  </si>
  <si>
    <t>1 direct links to third party tools with link backs; 2 tightly integrated whiteboards; 3 additional support for mindmaps, flow charts, and other business constructs; 4 would include capability beyond which is previously addressed (but including 1-3)</t>
  </si>
  <si>
    <t>Does the tool allow a buyer to see exactly what a supplier will see and vice versa before sending an RFX or a response?</t>
  </si>
  <si>
    <t>1 yes, but buyer must log in to test portal; 2 yes, with instant view toggle functionality; 3 yes, and RFX can be edited in either view mode; 4 would include capability beyond which is previously addressed (but including 1-3)</t>
  </si>
  <si>
    <t>Does the tool allow multiple parties to see the same screen during collaboration construction of an RFX, a scoring, or a response?</t>
  </si>
  <si>
    <t>1 yes, but only lead buyer can edit; 2 yes, and control can be passed; 3 yes, and multiple buyers can work on multiple sections simultaneously and track what each other are doing; 4 would include capability beyond which is previously addressed (but including 1-3)</t>
  </si>
  <si>
    <t>Does the tool support bill of materials capabilities for direct sourcing?</t>
  </si>
  <si>
    <t>1 "lots" can be called bill of materials; 2 basic bill of material support, where bills of material can be grouped into lots; 3 basic should cost model integration where the bill is a product or assembly and energy, labor, and overhead costs can be broken out; 4 automatic cost population from market data, etc.</t>
  </si>
  <si>
    <t>Does the tool support ERP integration out-of-the-box for populating bill of materials?</t>
  </si>
  <si>
    <t>1 ERP integration for extracting SKUs and links, but BoMs need to be built/verified manually; 2 complete BoMs can be imported, but prices need to be imported/defined separately; 3 complete BoMs with most recent pricing can be pulled in, along with any associated component specification documents; 4 would include capability beyond which is previously addressed (but including 1-3)</t>
  </si>
  <si>
    <t>Does the tool support multi-sku mapping and support the mapping of buyer SKUs to distinct supplier SKUs?</t>
  </si>
  <si>
    <t>1 manual mapping of supplier SKUs to buyer SKUs; 2 automatic mapping and designation of preferred SKUs; 3 support for related and substitute SKUs; 4 would include capability beyond which is previously addressed (but including 1-3)</t>
  </si>
  <si>
    <t>Does the tool support the appropriate identification of appropriate suppliers?</t>
  </si>
  <si>
    <t>1 auto selection of previously invited suppliers; 2 suggestion based on category/product and suppliers in the SIM module; 3 smart network search based on industry, category, and/or product/service; 4 would include capability beyond which is previously addressed (but including 1-3)</t>
  </si>
  <si>
    <t>Does the tool integrate with the organization's SIM solution for the identification of current and potential suppliers based upon the line items / bill of materials?</t>
  </si>
  <si>
    <t>1 yes for selection of current/previous awarded suppliers; 2 yes for suggestion of suppliers offering similar products/services and support for simple searches; 3 yes for suggestion of suppliers with capabilities similar to those required for products/services and support for advanced searches; 4 would include capability beyond which is previously addressed (but including 1-3)</t>
  </si>
  <si>
    <t>Does the tool integrate with one or more external supplier network offerings that can be used to find new potential suppliers based upon the line items and/or bill of materials?</t>
  </si>
  <si>
    <t>1 yes for simple search based on key words; 2 for advanced search based on keywords, SKUs, capabilities; 3 for multi-variate search and ranking based on complete BoM; 4 would include capability beyond which is previously addressed (but including 1-3)</t>
  </si>
  <si>
    <t>To what extent is bidding supported?</t>
  </si>
  <si>
    <t>1 single value bid submission only; 2 simple formula-based bids using arithmetic operators; 3 complex bids using functions and market data (if the supplier relies on 3rd party carriers or buys raw materials at market price); 4 would include capability beyond which is previously addressed (but including 1-3)</t>
  </si>
  <si>
    <t>Does the tool support multiple types of bidding, including open, blind, or closed bids?</t>
  </si>
  <si>
    <t>1 single mode bidding across the entire event; 2 selection of mode by lot, sub-event; 3 multi-modal interactive real-time displays that can compare bids across previous events by bid type; 4 would include capability beyond which is previously addressed (but including 1-3)</t>
  </si>
  <si>
    <t>Does the tool support multiple offers per line item from the same supplier? To what extent?</t>
  </si>
  <si>
    <t>1 one offer, but the supplier can indicate preferred or alternate product; 2 two offers, one preferred, one alternate; 3 multiple offers, one preferred, multiple alternates with a feature comparison matrix; 4 would include capability beyond which is previously addressed (but including 1-3)</t>
  </si>
  <si>
    <t>Sourcing: Evaluation, Management, Sophisticated Constraint Analysis, Performance Tracking, Risk Tracking, Corrective Actions OUT. They are neither element or classes</t>
  </si>
  <si>
    <t>How extensible is the multi-party evaluation -- can it be configured on a section by section basis?</t>
  </si>
  <si>
    <t>1 multi-party supported, but all stakeholders can evaluate all sections and evaluations overwrite; 2 multi-party supported, and each party can be limited to a single section, and evaluations average; 3 parties can be restricted to individual elements, evaluations are weighted by authority, and all responses can be analyzed/plotted (and outliers marked or removed); 4 would include capability beyond which is previously addressed (but including 1-3)</t>
  </si>
  <si>
    <t>Can the weighting algorithms be configured to allow a variable number of users to rank each section and field?</t>
  </si>
  <si>
    <t>1 yes, but each field is equally weighed across participants; 2 yes, and each field can be differently weighted for each participant; 3, yes, and complex scorings (including statistical, net promoter, etc.) can be used; 4 would include capability beyond which is previously addressed (but including 1-3)</t>
  </si>
  <si>
    <t>To what extent are configurable side-by-side comparisons supported in the tool?</t>
  </si>
  <si>
    <t>1 simple tabular; 2 graphical displays; 3 advanced statistical/outlier/constrained analysis; 4 would include capability beyond which is previously addressed (but including 1-3)</t>
  </si>
  <si>
    <t>Can buyers pause, edit, and re-issue RFXs and / or partial RFXs during an event if one or more issues are detected?</t>
  </si>
  <si>
    <t>1 pause / extend only; 2 edit and complete re-issue with notification of changes; 3 edit and partial reissue of changes only; 4 would include capability beyond which is previously addressed (but including 1-3)</t>
  </si>
  <si>
    <t>Does the tool support the easy creation of multiple-round RFXs?</t>
  </si>
  <si>
    <t>1 yes, but a new round is a new RFX; 2 yes, and the new round can be populated with the results of the previous round; 3 yes, and suppliers can be added or not, reasons tracked, and feedback given; 4 would include capability beyond which is previously addressed (but including 1-3)</t>
  </si>
  <si>
    <t>There are a number of types of auctions: Dutch, Yankee, Japanese, etc. How many are supported out of the box?</t>
  </si>
  <si>
    <t>1 just a basic reverse auction; 2 just the big ones - English, Dutch, and Yankee; 3 all of the standard auction types with every associated configuration option; 4 all of the above plus constraints and optimization backing; 5 backed up with quantum computing for super-fast feedback</t>
  </si>
  <si>
    <t>What degree of configuration is available for each auction? Floors, ceiling, minimum increments, blind, ranked, open? Describe in detail.</t>
  </si>
  <si>
    <t>1 just ceilings and floors; 2 increments, visibility, minimum time delay, auto extension; 3 supplier restriction to lots/items, forced proxy definition (in case lead supplier bidder disconnected); 4 would include capability beyond which is previously addressed (but including 1-3)</t>
  </si>
  <si>
    <t>Can auctions be quickly instantiated from saved market baskets of items and lots that are re-sourced on a regular basis?</t>
  </si>
  <si>
    <t>1 previous auctions can be copied; 2 formal basket templates can be created; 3 basket templates can be created and starting bids defined from previous bids, market prices, or formula that takes both into account; 4 would include capability beyond which is previously addressed (but including 1-3)</t>
  </si>
  <si>
    <t>Does the auction integrate with the RFX for initial population?</t>
  </si>
  <si>
    <t>1 yes for the identification of lots and suppliers; 2 yes and all relevant data can be pulled; 3 yes and capacity constraints, restrictions, and other configuration parameters can be auto-set from RFX responses;4 would include capability beyond which is previously addressed (but including 1-3)</t>
  </si>
  <si>
    <t>What degree of control is available once the auction begins? Can it be paused if issues are detected? Can bidding privileges automatically be switched from primary to proxy bidders if a connection is lost? Describe in detail.</t>
  </si>
  <si>
    <t>1 limited, manual pause and restart only; 2 decent, automatic pause if too many bidders drop or don't show up; proxy bidders can take control if primary bidder not logged on or responsive for more than 2 minutes; 3 extensive, control is at the individual lot level, and individual suppliers can be banned in real time (for not following the rules); 4 would include capability beyond which is previously addressed (but including 1-3)</t>
  </si>
  <si>
    <t>How powerful and configurable is the proxy support? Can the suppliers define their own proxies and prevent buyers from changing bids without their express permission?</t>
  </si>
  <si>
    <t>1 limited, buyers can define primary and back-up bidders; 2 decent, suppliers can define primary and back-up bidders; 3 advanced, this can be done on a lot and item basis and can prevent buyers from making any changes through appropriate, highly secure, settings; 4 would include capability beyond which is previously addressed (but including 1-3)</t>
  </si>
  <si>
    <t>To what extent is real-time messaging supported during the auction?</t>
  </si>
  <si>
    <t>1 limited, only push messages from buyers to suppliers; 2 decent, real-time two-way forum communication; 3 advanced forum and direct messaging support with live help guides and alerts to potential issues; 4 would include capability beyond which is previously addressed (but including 1-3); 4 would include capability beyond which is previously addressed (but including 1-3)</t>
  </si>
  <si>
    <t>How powerful is the real-time monitoring? Can it detect when bidders are dropped, when bidders are bidding too fast (and might be represented by prohibited bots), when their might be security issues, alert he buyers, and allow the auction to be paused if necessary?</t>
  </si>
  <si>
    <t>1 limited, can only track logins and last bid time; 2 decent, can detect delays/drops and switch to proxy bidders; 3 advanced and can detect too much activity (which could indicate suppliers using bots or auction hacked), too little activity, abnormal bids (which could indicate a supplier might not understand the process); 4 would include capability beyond which is previously addressed (but including 1-3)</t>
  </si>
  <si>
    <t>Is the auction tool integrated with optimization to allow for real-time constraint based optimization?</t>
  </si>
  <si>
    <t>1 yes but model is limited to unconstrained cost optimization among product providers and carriers; 2 yes and the model can support capacity constraints and award limits; 3 yes and the integration is complete and supports costs, all constraints, and advanced formula in the bid calculations / rankings; 4 would include capability beyond which is previously addressed (but including 1-3)</t>
  </si>
  <si>
    <t>Does the tool integrate with the SIM module and/or supplier networks for the automatic identification of suppliers who should be invited to bid?</t>
  </si>
  <si>
    <t>What is the foundation of the solver? Is it a sound and complete MILP solver that is guaranteed to find an optimal answer if sufficient time is given? Is it an evolutionary algorithm that is likely to find a great answer but not complete? Is it a hybrid approach that can augment branch-and-bound / decomposition MILP with a technique that quickly finds good starting solutions?</t>
  </si>
  <si>
    <t>1 no, evolutionary, monte carlo, tableau, or non (MI) LP solver or home-grown algorithm; sort-of, supports LP with home-grown rounding/hybrid algorithms for allocation of discrete units; 3 true MILP; 4 true MILP with powerful branch and bound that can use parallel processing and other optimization techniques to quickly find starting solutions</t>
  </si>
  <si>
    <t>Does the solution support true cost modelling? In other words, can the buyer define any and all cost components that are part of the lifecycle cost model, and not a fixed set of cost components combined in a pre-defined cost formula?</t>
  </si>
  <si>
    <t>1 the buyer can define as many discrete cost components as she wants but they all roll up into one cost; 2 the buyer can define as many cost components as she wants and they are all treated separately with their own additive or multiplicative formulas that allow their own discounts and constraints; 3 the buyer can define as many cost components as she wants using advanced mathematical functions and non-circular ; interdependencies; 4 would include capability beyond which is previously addressed (but including 1-3)</t>
  </si>
  <si>
    <t>Can it support capacity constraints that define minimums and/or maximums on each product, location, lane, etc. so that all allocation models are feasible (and respectful of hard business constraints)?</t>
  </si>
  <si>
    <t>1 basic, fixed, capacity limit by supplier-product, or supplier-product-location; 2 fixed capacity limits sell side and fixed capacity limits buy-side; 3 configurable capacity limits on any set of relevant model dimensions (supplier, ship from, product, ship to, lane, carrier); 4 would include capability beyond which is previously addressed (but including 1-3)</t>
  </si>
  <si>
    <t>Can it support minimum or maximum allocation requirements that take into account existing contracts or acquisition requirements from strategic suppliers?</t>
  </si>
  <si>
    <t>1 fixed allocation by supplier-product; 2 percentage allocation by supplier, supplier-product, or geographic location; 3 ranged allocations based upon business rules and supplier capacity that can be defined on buyer defined model dimensions; 4 would include capability beyond which is previously addressed (but including 1-3)</t>
  </si>
  <si>
    <t>Can it support risk mitigation constraints which insure that a maximum allocation is given to a certain supplier (set), geography, etc. and that allocations are split in accordance with corporate risk mitigation objectives?</t>
  </si>
  <si>
    <t>1 fixed maximums to predefined supplier sets; 2 percentage based maximums to supplier and ship from / ship to sets using tags to define sets of interest; 3 advanced multi-way splits (20/30/50), ranges, and allocations across multiple requirements; 4 would include capability beyond which is previously addressed (but including 1-3)</t>
  </si>
  <si>
    <t>Can it support qualitative constraints that insure the minimum or average or weighted award meets a certain qualitative requirement (such as defect rate, average lifetime, etc.)?</t>
  </si>
  <si>
    <t>1 basic average limits; 2 weighted or formula-transformed average limits; 3 multi-objective balancing across related qualitative factors; 4 would include capability beyond which is previously addressed (but including 1-3)</t>
  </si>
  <si>
    <t>Can it support the creation of unlimited what-if scenarios?</t>
  </si>
  <si>
    <t>1 yes; 2 yes, instantiated as copies from current; 3 yes, instantiated as modified copies of current using one or more rules (unconstrained, 3 suppliers, etc); 4 would include capability beyond which is previously addressed (but including 1-3)</t>
  </si>
  <si>
    <t>Does it support automatic creation of a suite of basic minimum cost, maximum supplier, minimum geographic risk, and other out of the box scenarios that are automatically created and allocated?</t>
  </si>
  <si>
    <t>1 unconstrained only; 2 a default set of typically evaluated scenarios (3 suppliers, 20/30/50 splits on products, incumbents only, local sourcing); 3 a custom set of defaults defined by the user from organizational defaults that are based on provider templates; 4 would include capability beyond which is previously addressed (but including 1-3)</t>
  </si>
  <si>
    <t>Does it support the creation of what-if scenarios by (automatically) relaxing one or more potentially limiting constraints that prevents a scenario from being solved or that has been determined to be increasing the cost by more than a minimum percentage?</t>
  </si>
  <si>
    <t>1 yes, but only capacity and only randomly; 2 yes, capacity and allocation but only those detected to be prohibiting a solution; 3, yes all constraints that are preventing solution at the present time (even if the removal of a subset might be sufficient); 4, yes, all constraints that are preventing or severely limiting the solution based on those constraints evaluated to be having the maximum impact on the objective function</t>
  </si>
  <si>
    <t>How powerful is the scenario comparison capability?</t>
  </si>
  <si>
    <t>1 simple side-by-side award comparison by line item; 2 comparison cube that allows views by product, supplier, location, or other dimension(s) of interest; 3 difference calculations that indicate constraint relaxations that could yield lower costs with minimal impacts on established goals as well as automatic outlier awards (due to constraints); 4 would include capability beyond which is previously addressed (but including 1-3)</t>
  </si>
  <si>
    <t>Does the optimization engine support sensitivity analysis?</t>
  </si>
  <si>
    <t>1 yes, hard limit/capacity constraint identification only; 2 yes, all hard constraints preventing or limiting a solution can be identified; 3 yes, all hard and soft constraints preventing and limiting a solution can be easily identified; 4 yes, and suggestions as to the constraint relaxations that would have the maximum positive benefit to the objective can be identified; 4 would include capability beyond which is previously addressed (but including 1-3)</t>
  </si>
  <si>
    <t>Can it identify all of the "hard" constraints that are preventing the solver from finding a lower cost solution and the approximate degree or potential range to which they are limiting the solution?</t>
  </si>
  <si>
    <t>1 yes but hard limit constraints preventing only; 2 yes, and all limiting constraints preventing only; 3 yes, and required relaxations to allow solvability computed and presented; 4 strong integration with auto-what-if scenario generation that can auto create different solvable scenario variations for comparative analysis; 4 would include capability beyond which is previously addressed (but including 1-3)</t>
  </si>
  <si>
    <t>Can the tool support the creation of soft constraints that can be relaxed to allow an unsolvable model to otherwise solve and can the constraints be relaxed more if the relaxation would save more than the relaxation would cost?</t>
  </si>
  <si>
    <t>1 yes, but only capacity/allocation constraints can be defined soft; 2 yes, and all constraints can be defined soft; 3 yes, and the negative impact of all soft constraints restricting the solution is analyzed and presented; 4 would include capability beyond which is previously addressed (but including 1-3)</t>
  </si>
  <si>
    <t>Does the optimization capability support the creation of advanced model templates that can be used to instantiate a new optimization event?</t>
  </si>
  <si>
    <t>1 yes, but limited mainly to cost models - constraints have to be defined after the fact; 2 yes, and some high-level constraints can be defined (such as unique supplier limits, buyer warehouse capacities, lane capacity, award splits, etc.); 3 yes, and the user can specify soft constraints with relaxation limits and preferred visualizations upon solution; 4 would include capability beyond which is previously addressed (but including 1-3)</t>
  </si>
  <si>
    <t>Does the optimization engine integrate with RFX and/or Auctions to allow for initial population of the optimization model?</t>
  </si>
  <si>
    <t>1 yes, data can be pulled in and results pushed back; 2 yes, and the optimizer runs behind the scene; 3 yes, and the user can switch between RFX/Auction and back-end optimizer views for sensitivity analysis and constraint relaxation to make the model feasible; 4 would include capability beyond which is previously addressed (but including 1-3)</t>
  </si>
  <si>
    <t>How does the optimization solution scale up? How big can models get before the exponential solver slow down becomes noticeable?</t>
  </si>
  <si>
    <t>1 open source solver, severe performance degradation over a moderate size; 2 low-cost solver, noticeable moderate to high performance degradation as model size increases linearly; 3 best-in-class solver (like Cplex, Xpress, etc.) optimized for the typical model types, and comparable with most leading solutions on the market; 4 custom tailored solver solution built on one or more best-in-class solvers that selects the right solver and settings for each type of model the organization runs, tailoring the settings for maximum performance over time</t>
  </si>
  <si>
    <t>To what extent does the platform support e-Negotiation Management?</t>
  </si>
  <si>
    <t>1 limited - offers can be sent as attachments, responses sent as attachments; 2 integrated - offers can be sent and received in-the platform, with or without attachments; 3 complete basic - integrated versioning and e-Signatures; 4 would include capability beyond which is previously addressed (but including 1-3)</t>
  </si>
  <si>
    <t>Can both parties create secure, unalterable, auditable, persistent messages?</t>
  </si>
  <si>
    <t>1 yes, but limited to offers and counter-offers; 2 yes, all messaging is secure and persistent; 3 yes, and complete audit trails, with e-Signature verifications, can be tracked and reported on at any time; 4 would include capability beyond which is previously addressed (but including 1-3)</t>
  </si>
  <si>
    <t>To what extent does the platform support contract creation?</t>
  </si>
  <si>
    <t>1 award export; 2 award export and standard legal template directory (in Word files); 3 integrated editor that can suck in awards and templates; 4 would include capability beyond which is previously addressed (but including 1-3)</t>
  </si>
  <si>
    <t>Does the platform allow Legal to define templates that can be used for initial contract creation?</t>
  </si>
  <si>
    <t>1 yes, but only one standard template per category/industry; 2 yes, and multiple versions with distinguishable meta-data; 3 yes, and the templates are dynamic and select among clauses based upon geographies, category, dollar value, or other relevant criteria; 4 yes, and there is integration with external GRC/CSR platforms that indicate what regulations need to be adhered to and what clauses the organization should consider including / verifying</t>
  </si>
  <si>
    <t>Does the platform allow Legal to define standard clauses and variations (across geographies, industries, etc.) that can be automatically included in the template used to cut the contract?</t>
  </si>
  <si>
    <t>1 yes, but limited to a pre-defined set of conditions; 2 yes, but limited only to a pre-defined set of categories (geographies, categories, industries, etc); 3 yes, and can associated with any meta-data or workflow rule of interest; 4 would include capability beyond which is previously addressed (but including 1-3)</t>
  </si>
  <si>
    <t>Does the platform allow the buyer to attach as many attachments (NDAs, specs, etc.) as necessary in a secure fashion and allow for supplier verification / e-Signature confirmation of receipt?</t>
  </si>
  <si>
    <t>1 yes, but no version control or e-Signature; 2 yes, with version control and e-Signature; 3 yes, with internal comparison/red-lining functionality, finance/defense level security, and in-line with all regulatory e-Signature requirements; 4 would include capability beyond which is previously addressed (but including 1-3)</t>
  </si>
  <si>
    <t>Does the solution integrate with Microsoft Word to enable both parties to build and edit documents within Microsoft, but with full security and version tracking?</t>
  </si>
  <si>
    <t>1 contracts can be stored in MS Word; 2 basic word integration which allows change history to be pulled out of versions and redlining support; 3 word is "embedded" in the platform and the viewer/editor can switch from Word to the application (and see the status in the Word viewer) and back again and the user can even push data from Word to the platform (clauses, supplier data, updated price lists etc.) during contract creation; 4 would include capability beyond which is previously addressed (but including 1-3)</t>
  </si>
  <si>
    <t>Does the solution have extensive version control capabilities with complete tracking of who did each individual change (if collaborative editing was enabled)?</t>
  </si>
  <si>
    <t>1 basic document level version control; 2 clause level version control; 3 change and audit trails by user and version reporting and analysis; 4 would include capability beyond which is previously addressed (but including 1-3)</t>
  </si>
  <si>
    <t>Does the solution support, and preferably integrate with, an e-Signature solution that can be used to not only sign contracts, but other agreements and even confirm receipt and acceptance of NDAs and other critical documents?</t>
  </si>
  <si>
    <t>1 punch-out to e-Signature solution and import of document; 2 native integration; 3 multi e-Signature solution support and support for all data tracking requirements in each country that recognizes e-Signatures; 4 would include capability beyond which is previously addressed (but including 1-3)</t>
  </si>
  <si>
    <t>Does the tool support the import of key metrics for contract / award performance management from external tools?</t>
  </si>
  <si>
    <t>1 yes, from flat-files; 2 yes, with API integration; 3 yes, with out-of-the-box support for best-of-breed ERP and SRM platforms; 4 would include capability beyond which is previously addressed (but including 1-3)</t>
  </si>
  <si>
    <t>Does the tool integrate RFX/Survey capability with the performance tracking capability that allows for the team to provide feedback on more subjective metrics?</t>
  </si>
  <si>
    <t>1 yes, summary scores can be imported; 2 yes, and surveys can be created within performance tracking or RFX; 3, yes and qualitative responses can be tracked and analyzed with sentiment analysis; 4 would include capability beyond which is previously addressed (but including 1-3)</t>
  </si>
  <si>
    <t>To what extent does the tool support scorecards?</t>
  </si>
  <si>
    <t>1 scorecards can be created and automatically populated from surveys; 2 scorecards can be augmented with imported data; 3 scorecards can be automatically updated on a regular (e.g. quarterly) basis and trends tracked over time (with complete history available); 4 would include capability beyond which is previously addressed (but including 1-3)</t>
  </si>
  <si>
    <t>Are there a number of scorecards that are available out of the box? Preferably built on best-practice, actionable, KPIs?</t>
  </si>
  <si>
    <t>1 basic templates by industry/category are available out of the box; 2 configurable templates that can be automatically populated from survey and imported data are available out of the box; 3 they can be programmed to automatically update over time using formula or KPI modifications more meaningful to the company; 4 would include capability beyond which is previously addressed (but including 1-3)</t>
  </si>
  <si>
    <t>To what extent does the tool support KPIs and can they be defined formulaically?</t>
  </si>
  <si>
    <t>1 built-in KPIs are supported; 2 the buyer may define basic KPIs using basic arithmetic operators and standard statistical functions (sum, average, etc.); 3 advanced KPI definition using multi-level KPI models and a range of mathematical functions is available; 4 would include capability beyond which is previously addressed (but including 1-3)</t>
  </si>
  <si>
    <t>How many KPIs are available out of the box? How extensive do they cover operational needs?</t>
  </si>
  <si>
    <t>1 basic spend KPIs; 2 basic operational KPIs; 3 a complete set of Sourcing and Finance KPIs that cover 95% of most clients needs, all easily modifiable by the client organization; 4 would include capability beyond which is previously addressed (but including 1-3)</t>
  </si>
  <si>
    <t>Does the platform allow the definition of KPIs based on nested measurements, advanced formulas, and rollups?</t>
  </si>
  <si>
    <t>1 just basic arithmetic and statistical functions; 2 advanced formulas; 3 multi-level models aggregating data across storage; 4 would include capability beyond which is previously addressed (but including 1-3)</t>
  </si>
  <si>
    <t>Does the tool support the creation and tracking of budgets and spend against budgets?</t>
  </si>
  <si>
    <t>1 budget definition and projected spend based on sourcing events; 2 budget definition and actual spend from accounting / P2P systems; 3 augmented with projected spend since last update based upon trends; 4 would include capability beyond which is previously addressed (but including 1-3); 4 would include capability beyond which is previously addressed (but including 1-3)</t>
  </si>
  <si>
    <t>Does the tool integrate with one or more Finance platforms for extrication of budget and spend to date?</t>
  </si>
  <si>
    <t>1 flat-file integration; 2 standard AP/ERP integration through APIs; 3 real-time integration with daily update of budget and spend; 4 would include capability beyond which is previously addressed (but including 1-3)</t>
  </si>
  <si>
    <t>Does the platform contain any capability to support demand management?</t>
  </si>
  <si>
    <t>1 weekly/monthly demand projection import; 2 tracking of projection against demand; 3 prescriptive analytics via standard demand control strategies associated with the category; 4 would include capability beyond which is previously addressed (but including 1-3)</t>
  </si>
  <si>
    <t>Does the platform support integration with 3rd party data feeds to track financial, CSR, or supply chain risk?</t>
  </si>
  <si>
    <t>1 yes, but only those we currently support; 2 yes, through our API; 3 yes, and there is also native integration to the Risk Management applications provided by the data providers should the buying organization also have a license to those platforms; 4 would include capability beyond which is previously addressed (but including 1-3)</t>
  </si>
  <si>
    <t>Does the platform allow for the creation of scorecard based alerts and the automatic notification of risk managers if a(n imported) metric drops below a threshold?</t>
  </si>
  <si>
    <t>1 yes, simple thresholds only; 2 yes, thresholds or significant changes; 3 yes, and also on total changes distilled by statistical normalizations, net promoter scores, etc. and the alerts can be resent down a chain if the first alerted does not respond; 4 would include capability beyond which is previously addressed (but including 1-3)</t>
  </si>
  <si>
    <t>Can the platform track (upward or) downward trends that could indicate potential risks?</t>
  </si>
  <si>
    <t>1 yes, but the user has to define the trend magnitudes of interest; 2 yes, and the system can detect trends of interest based on statistical deviations from the norm; 3 yes, and the system can also detect potential issues using external benchmarks and anonymized performance across the providers client base; 4 would include capability beyond which is previously addressed (but including 1-3)</t>
  </si>
  <si>
    <t>Can the platform integrate with one or more semantic technologies that can monitor news sources for events that might be indicative of risks?</t>
  </si>
  <si>
    <t>1 yes, but keywords MUST be defined; 2 yes and the application can define keywords based on the current supply base and categories being sourced; 3 yes and the application can also detect potential risk based upon areas, known upstream requirements in sub-tiers, and so on; 4 would include capability beyond which is previously addressed (but including 1-3)</t>
  </si>
  <si>
    <t>Does the platform allow the buyers to identify and track issues that need to be collected?</t>
  </si>
  <si>
    <t>1 yes, the senior byers may define issues for tracking; 2 yes, and the platform supports issue-based two-way communication and secure archival of all messaging; 3 yes, and full corrective action plans can be defined; 4 would include capability beyond which is previously addressed (but including 1-3); 4 would include capability beyond which is previously addressed (but including 1-3)</t>
  </si>
  <si>
    <t>Does the platform support collaborative, team-based, creation, including supplier representation, of corrective action plans and track acceptance of all parties?</t>
  </si>
  <si>
    <t>1 yes, the team communication message channel can be used to work out a corrective action plan; 2, yes, all parties can contribute to the creation of the plan, milestones, and required performance for resolution; 3 yes, and e-Signature integration allows for acceptance and secure sign-offs; 4 would include capability beyond which is previously addressed (but including 1-3)</t>
  </si>
  <si>
    <t>Does it support the creation of milestones and the tracking, and verification, of progress by both parties?</t>
  </si>
  <si>
    <t>1 milestones can be defined and the buyer can record when they are met; 2 suppliers can submit regular progress updates and indicate when they believe a milestone has been reached, for confirmation by the buyer; 3 integration with project management and/or innovation management to allow for detailed plan creation, control, and progress tracking; 4 would include capability beyond which is previously addressed (but including 1-3)</t>
  </si>
  <si>
    <t>Please describe your core software architecture? Is it a modern MVC architecture? What are the primary languages (C++/Java/Ruby) and technologies used?</t>
  </si>
  <si>
    <t>Please describe your cloud architecture (e.g., single-instance multi-tenant application run on a 'virtualized' and elastic platform).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t>
  </si>
  <si>
    <t>1 ASP in a cloud wrapper; 2 standard one-size fits-all multitenant; 3 customizable multi-tenant where each client can have their own view, restrict data to certain locales, have surge processing power dynamically added or dropped; 4 the architecture supports load-balancing to specific single-use database instances or processing server instances so each client has a virtual single instance; 4 would include capability beyond which is previously addressed (but including 1-3)</t>
  </si>
  <si>
    <t>Explain if there is an option for any part of the application or integration software to run on premise behind the firewall? If you have such on premise / 'private cloud' capabilities, please describe how it works in conjunction with any 'public cloud' application deployment models you support</t>
  </si>
  <si>
    <t>1 "we install, and when you want an update, you call"; 2 standard patch upgrade support (like previous MS non-forced update strategy); 3 dynamic pull from master image on an update server that auto detects version and runs all of the update scripts sequentially with each patch application; 4 would include capability beyond which is previously addressed (but including 1-3)</t>
  </si>
  <si>
    <t>Explain the use of mobile technology within your solutions overall and your roadmap for future mobile adoption. What percentage of system interactions today are driven by mobile clients? 2015? 2016? Forecast 2017?</t>
  </si>
  <si>
    <t>1 limited, email-like approvals and simple request views only for the buyer; 2 decent - event status and data viewing, simple reports, and commenting for the buyer and invitation viewing, issue notification, and bidding for the supplier; 3 extensive - pretty much any data that can be viewed/entered on a mobile device can be viewed/entered; 4 where the vendor has found novel ways to do more with mobile than their peers</t>
  </si>
  <si>
    <t>Explain the use of block chain technology within your solutions or plans to deploy block chain in future releases. Are you working with a customer advisory council in this area, and if so, what is their willingness to support a distributed ledger model?</t>
  </si>
  <si>
    <t>1 we are using our own blockchain; 2 we are using a third party blockchain; 3 we are using a third party that is building a block chain on a distributed open standard; 4 would include capability beyond which is previously addressed (but including 1-3)</t>
  </si>
  <si>
    <t>Explain the use of OCR/Scanning technology within your solutions (if used) and roadmap plans</t>
  </si>
  <si>
    <t>1 basic integration with a third party platform - documents can be submitted in a multitude of image formats and hypertext is returned; 2 inline integration, and side-by-side image and text comparison for corrections; 3 integrated AI to automatically detect and correct OCR errors; 4 would include capability beyond which is previously addressed (but including 1-3)</t>
  </si>
  <si>
    <t>Explain the use of "intelligent apps" within your solutions. Examples include: Siri, Alexa, Google, etc. Do you work with partners in this area?</t>
  </si>
  <si>
    <t>1 we integrate a third party app; 2 we integrate a third party app that we have trained on sourcing and procurement terminology and workflows; 3 we have developed our own Intelligent App infrastructure and trained it on our platform and sourcing workflows; 4 would include capability beyond which is previously addressed (but including 1-3)</t>
  </si>
  <si>
    <t>Describe your ability to customize/tailor terminology to business-specific terminology using data dictionaries or other approaches</t>
  </si>
  <si>
    <t>1 simple phrase mapping file for menu options; 2 replacement rules for menus, workflows, help files, etc.; 3 multi-lingual personalization options for global deployments; 4 would include capability beyond which is previously addressed (but including 1-3)</t>
  </si>
  <si>
    <t>Describe your support for open standards, particularly surrounding document/data standards. How this has been developed / implemented? Are you working with / driving any standards-body initiatives? Do you provide a platform that enables others to develop or co-develop capabilities? Do you provide a platform for supplier to integrate their financial and accounting systems through a standards-driven environment?</t>
  </si>
  <si>
    <t>1 we support XML and EDI; 2 we support a number of standard natively including docx, pdf, and other formats our customer organizations use on a daily basis; 3 we support a whole host of file exchange standards between ERP, Accounting, and other enterprise systems; 4 would include capability beyond which is previously addressed (but including 1-3)</t>
  </si>
  <si>
    <t>Describe typical (and atypical) system integration options. Describe how the platform and service provider handles multiple instances. Describe any integrations not addressed below.</t>
  </si>
  <si>
    <t>1 custom coding; 2 API integration; 3 a plethora of out-of-the-box integrations based on our complete and 100% open API and open vendor APIs; 4 would include capability beyond which is previously addressed (but including 1-3)</t>
  </si>
  <si>
    <t>Describe the out-of-the-box ERP integrations supported, how configurable they are, whether they are real-time, and other relevant factors.</t>
  </si>
  <si>
    <t>1 just Oracle and SAP, through regular flat file uploads; 2 a host of standard ERP through API integration and daily updates; 3 extensive ERP integration with real-time updates, push/pull against data masters; 4 would include capability beyond which is previously addressed (but including 1-3)</t>
  </si>
  <si>
    <t>Describe out-of-the-box P2P and related technology integrations, how configurable they are, whether they are real-time, and other relevant factors.</t>
  </si>
  <si>
    <t>1 just Ariba and Coupa, through regular flat file dumps; 2 a host of standard P2P through API integration and daily updates; 3 extensive P2P integration with real-time updates, push/pull against data masters; 4 would include capability beyond which is previously addressed (but including 1-3)</t>
  </si>
  <si>
    <t>Describe other relevant, best-of-breed, systems that the platform integrates with and the extent of the integration.</t>
  </si>
  <si>
    <t>&gt;&gt; scoring will be relative against other responses &lt;&lt;</t>
  </si>
  <si>
    <t>How fine grained is the role/data/action based security options on the platform and how configurable are they?</t>
  </si>
  <si>
    <t>1 pre-defined roles; 2 pre-defined roles with edit options selectable by roles; 3 role sub-classes which are modifications of basic roles, possibly for a single user; 4 roles can be defined not just by selections, but on data views or particular workflows</t>
  </si>
  <si>
    <t>Describe your approach to customized Sourcing Process configuration as well as both basic and advanced configuration scenarios. Approaches could be based on users, departments, commodities, roles, content groups, approval steps, delegated approvals, units of measure, custom fields, accounts, chart of accounts, invoice tolerances, receiving tolerances, budget periods, payment terms, etc. Describe if there is a limit to the number of configurations included (e.g., # of fields, forms etc). If so, what is the limit? Describe how your solution supports both single and multiple categorizations and/or accounting structures. Describe the process for configuring custom fields/web forms (and what are the limitations/constraints in terms of what can be enabled).</t>
  </si>
  <si>
    <t>1 we have a standard workflow where you can (de)select elements; 2 we have a workflow builder where you can select the functions/modules you want in the order you want; 3 we support advanced configurations that can be based off of category/industry templates, include modifiable event-specific workflows, detailed approval processes, verification and issue escalation rules, and so on; 4 would include capability beyond which is previously addressed (but including 1-3)</t>
  </si>
  <si>
    <t>Describe the extent of workflow configuration across the modules and functionality and any integrated third party applications.</t>
  </si>
  <si>
    <t>1 select or deselect standard modules; 2 can be defined down to the function level with optional inclusion of steps using simple rules; 3 advanced rule support across functions, data, users, and event status/approvals; 4 would include capability beyond which is previously addressed (but including 1-3)</t>
  </si>
  <si>
    <t>Describe the extent of rule creation across the workflow and within the modules and functions.</t>
  </si>
  <si>
    <t>1 on/off based on a threshold; 2 formula/regex based rules on standard data elements; 3 process/time driven rules that underlie the entire workflow and alert/notification system; 4 would include capability beyond which is previously addressed (but including 1-3)</t>
  </si>
  <si>
    <t>Describe the extent of team management across the platform and the integration with fine-grained roles/action based security.</t>
  </si>
  <si>
    <t>1 team members can be defined and system roles assigned; 2 team members can be assigned to specific tasks/modules steps; 3 specific security can be defined on a team-member/task basis; 4 would include capability beyond which is previously addressed (but including 1-3)</t>
  </si>
  <si>
    <t>Describe the integration of each module/function with the overall project management capability of the platform or an integrated platform?</t>
  </si>
  <si>
    <t>1 modules can be associated with milestones; 2 project status auto-updates as key workflow steps complete or supplier submissions accepted; 3 complete integration and project plans can be updated mid-project by users with authority to do so; 4 would include capability beyond which is previously addressed (but including 1-3)</t>
  </si>
  <si>
    <t>Describe the globalization capabilities, paying particular attention to capabilities beyond multi-currency and multi-lingual.</t>
  </si>
  <si>
    <t>1 host in a regional data center at client request; 2 support for specific e-Signature / e-Notification rules of the countries in which customers deploy; 3 support variable workflows that tailor themselves to the locale of execution; 4 would include capability beyond which is previously addressed (but including 1-3)</t>
  </si>
  <si>
    <t>Describe your support for multiple currencies and supporting functionality for conversions, rounding, etc. Describe how external currency tables are used (e.g., automated conversions, manual, third-party only or if internal master tables are supported, etc.)</t>
  </si>
  <si>
    <t>1 a single currency conversion table; 2 integrated currency feed which updates daily; 3 rules-based conversion based on currency and payment type (i.e. 2.5% conversion fee on the P-card, etc.); 4 would include capability beyond which is previously addressed (but including 1-3)</t>
  </si>
  <si>
    <t>Describe your support for multiple languages and for instruction / communication translation. Describe how third parties are used to support translation efforts.</t>
  </si>
  <si>
    <t>1 flat file menu mappings for a small set of languages; 2 dynamic mappings of menu options and help text based on standard translations and regional linguistic variances; 3 override features that allow a buyer to override mappings on documents / menu options being shared with a supplier; 4 would include capability beyond which is previously addressed (but including 1-3)</t>
  </si>
  <si>
    <t>To what extent are (out-of-the-box) configuration options available for business users?</t>
  </si>
  <si>
    <t>N/A</t>
  </si>
  <si>
    <t>To what extent are (out-of-the-box) configuration options available for managers?</t>
  </si>
  <si>
    <t>To what extent are (out-of-the-box) configuration options available for stakeholders?</t>
  </si>
  <si>
    <t>To what extent are (out-of-the-box) configuration options available for vendors/consultant/partners?</t>
  </si>
  <si>
    <t>Describe your ability to natively (or through partners) aggregate, cleanse, classify, enrich, and harmonize existing data to make it timely and accurate to drive sourcing, category management and strategic sourcing efforts. Describe existing abilities to also validate data against external sources (tax authorities, prohibited/denied parties lists, certifying ISO authorities, etc.)</t>
  </si>
  <si>
    <t>Describe your ability to do category / industry specific consulting in various stages of strategic sourcing projects.</t>
  </si>
  <si>
    <t>Describe your ability to do detailed spend / opportunity analysis across categories / industries / geographies, within and outside of the platform you provide.</t>
  </si>
  <si>
    <t>Describe your ability to do managed sourcing events on behalf of your client.</t>
  </si>
  <si>
    <t>Describe your ability to do risk identification, analysis, tracking, and mitigation across the platform.</t>
  </si>
  <si>
    <t>Describe any BPO partner deployments outside of supporting customers that are hosted in your native cloud instance. Describe your ability to support business process related services or information/intelligence services in areas such as risk management, compliance (e.g., supplier audits), market intelligence, etc.</t>
  </si>
  <si>
    <t>Describe the depth of your professional services teams and partner professional services firms to assist in operational/IT strategy, implementation planning, and implementation execution (process re-design, system tailoring/customization, testing, training, post implementation support, etc.) How many internal FTEs are on your team in this area? How many partner FTEs are certified in total (if a certification program exists)? How many partner FTEs are trained (outside of a formal certification program)?</t>
  </si>
  <si>
    <t>How extensive is the schema support? Is it fixed, or can it be customer defined? Are there any limits on size? Can multiple schemas be supported? Simultaneously?</t>
  </si>
  <si>
    <t>What schemas are supported out of the box? How many are standard? How many are built on industry / category expertise? Are they customizable?</t>
  </si>
  <si>
    <t>What is the extent of custom schema creation and how easy is it for the customer to define their own schemas? Is there a suite of templates to start from? Are validation rules supported?</t>
  </si>
  <si>
    <t>To what extent can the solution support multiple schemas simultaneously, supporting multiple views and multiple cubes?</t>
  </si>
  <si>
    <t>How easy is it for the customer organization to define multiple cubes on any and all dimensions of interest, create derived and roll-up dimensions, and share those cubes?</t>
  </si>
  <si>
    <t>To what extent does the solution support familying of suppliers, products, and other entities that need to be familied and related in the solution? To what extent can multiple instances of the same entity be normalized to one?</t>
  </si>
  <si>
    <t>How extensive is the formula support for creating ranged and derived dimensions, creating (roll-up) reports, and creating classification/cleansing rules?</t>
  </si>
  <si>
    <t>How extensible is the rule and/or model editor? Can it be used to create cleansing, classification, and normalization rules as well as schemas, cubes, and reports? Does it support advanced formula for calculations and reg-ex for text-based formulas and cleansing rules?</t>
  </si>
  <si>
    <t>How extensive is the extract-transform-load functionality in the tool?</t>
  </si>
  <si>
    <t>How many S2P integrations are available out-of-the-box? How extensive are these integrations? How easy is it to add more S2Ps through the API?</t>
  </si>
  <si>
    <t>To what extent can rule sets be defined that do automatic cleansing, enrichment, and even classification during load? How powerful are the rules? Can they be ordered (uniquely or in groups) to prevent conflicts? Can conflicts be detected (and reordering suggestions offered to prevent conflicts)?</t>
  </si>
  <si>
    <t>Can these rules be organized into groups? Can the groups be selected as needed? Can alternate groups be created and selected for what-if analysis on temporary/throwaway cubes? Can the rules be ordered and prioritized within the group?</t>
  </si>
  <si>
    <t>How extensive are the enrichment options available out of the box? Does the solution come with a large database of known, clean, and enriched supplier and product records? What about services? What about support for bill of materials?</t>
  </si>
  <si>
    <t>Does the solution integrate with 3rd party data feeds out of the box? Can additional 3rd party data feeds be added easily through an API? How extensible are the rules to make sure the right data is selected for the right records?</t>
  </si>
  <si>
    <t>Does the solutions support multi-source cross-joins to make sure only the needed data is imported and the right data matched based on values from multiple sources, joined on common, cleansed fields? How extensible are these cross-joins?</t>
  </si>
  <si>
    <t>How extensive, and useable, are the classification and categorization capability? Can rules be defined and map data in real-time? Can they be modified quickly and easily? Can their impact be analyzed before they are committed?</t>
  </si>
  <si>
    <t>Describe the depth of support for manual data classification and categorization. How easy is it to accomplish the task manually? Do rules have to be defined in a formula or language? Can they be identified from a user-defined set of data? Can they be modified from templates?</t>
  </si>
  <si>
    <t>Does the mapping functionality support the classification and/or categorization of rules based on arbitrary dimensions? Can the mapping be done by formulas, value sets, regular expressions, or a combination of -- applied to arbitrary dimensions?</t>
  </si>
  <si>
    <t>Can the classification and collaboration be done in a collaborative fashion, or is it limited to one user creating one rule set for the (master) cube? If collaboration classification is supported, can multiple users share the same view, and work on the data on the same time, or are they limited to individual views, and must classify in succession?</t>
  </si>
  <si>
    <t>Can the classification be accomplished using queries that specify subsets of the data as opposed to static, complicated, regex rule sets? How advanced is the query capability that can be supported?</t>
  </si>
  <si>
    <t>Does the solution support AI / AR algorithms and techniques for automated classification and categorization? If so, what types? How advanced? What is the typical accuracy on a first pass before extensive training takes place on the client's data set? How large of a training set is required and how long does it take to get to 90%? 95%? 98%+ for auto classification. How easy is it to do manual overrides and fix mapping errors?</t>
  </si>
  <si>
    <t>Does the solution support hybrid classification where a user can augment auto-classification with manual classification and categorization? Can the user first define domain-specific knowledge models which are used to aid in the auto classification and categorization? Do these models evolve and learn over time as manual classification corrections are made to correct auto-classification? Can the corrections happen in real time?</t>
  </si>
  <si>
    <t>Does the solution support data integrity analytics that can analyze the quality and completeness and likely correctness of the data being loaded?</t>
  </si>
  <si>
    <t>Can the solution automatically detect outlier data and bring it to the attention of the user? Be it a value (dollar amount, unit count, etc.), a time (too far from an expected range), a location, etc. -- anything not consistent with the bulk of the data (and the typical clusters)?</t>
  </si>
  <si>
    <t>What is the degree of built-in statistical analysis that can be applied to the data to get a general sense of completeness, correctness, and categorization accuracy? Is one limited to check-sums or can entire array of statically techniques be applied?</t>
  </si>
  <si>
    <t>Does the solution support a sliding time-scale that allows the data integrity analysis to be restricted to a user-defined range (to zero in on potential issues and correct them)? If so, can the sliding be done in real time or do the windows have to be defined and the cube(s)/view(s) reloaded with every definition / change?</t>
  </si>
  <si>
    <t>What is the extent of the visualization, analysis, and reporting capability in the tool?</t>
  </si>
  <si>
    <t>Do the reports support (real-time) filter definition and application? If so, are the filters limited to a fixed set of dimensions or can they be defined on any dimensions? Do they support ranged / derived dimensions?</t>
  </si>
  <si>
    <t>How extensive is the formula support in the creation of dimensions, filters, and views?</t>
  </si>
  <si>
    <t>How extensive and powerful is the report building and definition capability? Is it limited to just modification of templates or can new templates be built? Are the reports limited to pre-defined dimensions, or can they be defined on any dimensions? Is the full range of formulaic support provided?</t>
  </si>
  <si>
    <t>How extensive is the extract / transform / dump capability for exporting data (and pushing it into other systems)?</t>
  </si>
  <si>
    <t>Does the system support flat-file exports in necessary formats and auto-push to FTP sites where other systems can upload the files from the FTP to import?</t>
  </si>
  <si>
    <t>To what extent does it support integration to third party systems that it needs to push raw / cleansed / summarized data too? Is there a full-featured API? How difficult is it to configure?</t>
  </si>
  <si>
    <t>SA: Out of the Box ERP Integrations: this element is one the mastersheet but NOT IN THE RFI???</t>
  </si>
  <si>
    <t>If you are unsure of the difference between descriptive, predictive, prescriptive, and permissive analytics, see the following posts:</t>
  </si>
  <si>
    <t>Does the platform support predictive analytics? To what extent? Please describe.</t>
  </si>
  <si>
    <t>Does the platform support prescriptive analytics? To what extent? Please describe.</t>
  </si>
  <si>
    <t>Does the platform support permissive analytics? To what extent? Please describe.</t>
  </si>
  <si>
    <t>Does the platform support scorecards? If so, to what extent? Is the creation mechanism as complete and extensible as it is for reports? Is the full range of formula definition supported? Can scorecards be filtered and drilled-down to the same extent as a report dashboard?</t>
  </si>
  <si>
    <t>Does the platform come with a template library of scorecards? If so, how extensive is it?</t>
  </si>
  <si>
    <t>Does the platform support the definition of KPIs that can be used and re-used as needed in the creation of scorecards?</t>
  </si>
  <si>
    <t>Does the platform come with a library of KPIs that can be used in the construction of scorecards?</t>
  </si>
  <si>
    <t>Does the platform support benchmarks? If so, describe the type (industry, category, performance, etc.) and the extent?</t>
  </si>
  <si>
    <t>Describe the extent of internal benchmarks supported by the platform. What is the extent of out of the box support for internal benchmarks? Are they dynamically updated over time?</t>
  </si>
  <si>
    <t>Describe the extent of external benchmarks supported by the platform. What 3rd party feeds are integrated and how often are the external benchmarks updated?</t>
  </si>
  <si>
    <t>Describe the ability of the toolset to create and maintain cost avoidance / opportunity programs and manage those over time.</t>
  </si>
  <si>
    <t>What is the extent of out-of-the-box sourcing support provided in terms of opportunity analysis and bid analysis? Reports? Scorecards? Benchmarks? Predictive/Prescriptive Analytics? Please describe in detail.</t>
  </si>
  <si>
    <t>What is the extent of out-of-the-box procurement support for purchase order, invoice, and similar analysis? Reports? Scorecards? Benchmarks? Outlier/Risk Analytics? Please describe in detail.</t>
  </si>
  <si>
    <t>What is the extent of out-of-the-box T&amp;E support for travel, expense, and p-card analysis? Reports? Scorecards? Benchmarks? Outlier/Risk Analytics? Please describe in detail.</t>
  </si>
  <si>
    <t>What is the extent of out-of-the-box finance support with respect to, but not limited to, payment, working capital, cash-flow, and discount analysis? Scorecards? Reports? Benchmarks? Predictive Analytics? Risk Analytics? Please describe in detail.</t>
  </si>
  <si>
    <t>What is the extent of out-of-the-box support for product lifecycle management, bill of materials management, raw material analysis, etc.? Scorecards? Reports? Benchmarks? Drilldown analytics? Predictive analytics? Risk Analytics? Please describe in detail.</t>
  </si>
  <si>
    <t>What is the extent of out-of-the-box support for services analysis? Scorecards? Reports? Benchmarks? Predictive Analytics? Prescriptive Analytics? Compliance Analytics? Please describe in detail.</t>
  </si>
  <si>
    <t>What is the extent of out-of-the-box support for CWM (Contingent Worker Management) analysis? Scorecards? Reports? Benchmarks? Predictive Analytics? Prescriptive Analytics? Compliance Analytics? Please describe in detail.</t>
  </si>
  <si>
    <t>What is the extent of out-of-the-box logistics analytics? Scorecards? Reports? Benchmarks? Predictive Analytics? Prescriptive Analytics? Please describe in detail.</t>
  </si>
  <si>
    <t>What is the extent of out-of-the-box inventory/MRO analytics? Scorecards? Reports? Benchmarks? Predictive Analytics? Prescriptive Analytics? Please describe in detail.</t>
  </si>
  <si>
    <t>What is the extent of out-of-the-box supplier analytics? Scorecards? Reports? Benchmarks? Predictive Analytics? Prescriptive Analytics? Trend Analysis? Please describe in detail.</t>
  </si>
  <si>
    <t>What is the extent of out-of-the-box risk analysis? Scorecards? Reports? Benchmarks? Predictive Analytics? Prescriptive Analytics? And across what functions can the risk management be applied? Please describe in detail.</t>
  </si>
  <si>
    <t>What is the extent of integration with 3rd Party BI tools? Is there an API? Is there out-of-the-box integration with market leading tools like Tableau or QlikView? Is the integration bi-directional allowing for easy push-and-pull of data?</t>
  </si>
  <si>
    <t>Explain if there is an option for any part of the application or integration software to run on-premise behind the firewall? If you have such on-premise / 'private cloud' capabilities, please describe how it works in conjunction with any 'public cloud' application deployment models you support</t>
  </si>
  <si>
    <t>Please describe the degree of AI / Machine Learning with a focus on capabilities outside of cleansing and categorization, predictive, and prescriptive analytics (as this should have been covered in detail in previous tabs). Focus on the ability to integrate with arbitrary data streams and/or other business / supply management applications to apply the AI capabilities to non out-of-the-box functions.</t>
  </si>
  <si>
    <t>To what extent does the platform support "big data"? How scalable is it? How much control over separation and data store mapping does the buyer have?</t>
  </si>
  <si>
    <t>What is the extent of support for semi-structured and unstructured data in the platform, especially from an analytics standpoint? Please describe in detail!</t>
  </si>
  <si>
    <t>Explain the use of OCR/Scanning technology within your solutions (if used) and roadmap plans. Focus on the ability to covert data to semi-structured and structured data that can be normalized, cleansed, categorized, enriched, and used for new types of analytics previously unavailable to the business.</t>
  </si>
  <si>
    <t>Explain the use of "intelligent apps" within your solutions. Examples include: Siri, Alexa, Google, etc. Do you work with partners in this area? By this, we don't mean AI/AR for cleansing / categorization / enrichment or predictive / prescriptive analytics, but AI that can guide a user down a meaningful analytics path, simplify the user experience while enhancing it, or other non-standard applications of AI/AR in spend analysis.</t>
  </si>
  <si>
    <t>Describe your ability to customize/tailor terminology to business-specific terminology using data dictionaries or other approaches.</t>
  </si>
  <si>
    <t>Describe typical (and atypical) system integration options. Describe how the platform and service provider handles multiple instances. Describe any integrations not already addressed.</t>
  </si>
  <si>
    <t>What capabilities are there for configuring the application, and cubes, at multiple levels of views and hierarchies? Can a default view be created at the company level that can then be customized or overridden by department or function and then customized and overridden again by sub-group or user focused on specific functions? Can the user toggle between multiple configurations and views? Can the configuration be done at the user level or is it group / admin level only?</t>
  </si>
  <si>
    <t>What is the capability to create private vs. public read-only vs. public shared workspaces. The key to a successful analysis is being able to go off the rails, follow instincts, build throw-away cubes, views, and reports, and explore the unexplored. This requires private workspaces. Or, if the team is trying to look cross-category to find raw materials it could buy cheaper on behalf of the supply base, collaborative semi-private public workspaces limited to a small group. If great results are found, then you want to flip those workspaces into public read-only to share results and findings as part of a presentation on why you want to change standard procedures, categorizations, or application views. Flexibility here is key.</t>
  </si>
  <si>
    <t>Is the visualization capability native, built on a third party tool (like QlikView or Tableau), or hybrid? If hybrid, what's the split? How does it compare to the standard offerings and typical customer expectations? Any new, innovative, capabilities like 3D terrain maps, solar system plots, etc.?</t>
  </si>
  <si>
    <t>Please describe the ability for users to create rule-driven analytics workflows (as opposed to rule-driven cleansing, classification, enrichment, and report)? I.e., standard processes to follow when importing, analyzing for integrity, checksum balancing, and initially reporting on, and analyzing, a new data set? Processes for creating custom cubes and views? Cost avoidance program creation and maintenance? Etc.</t>
  </si>
  <si>
    <t>To what extent do you offer basic platform implementation / integration / maintenance services?</t>
  </si>
  <si>
    <t>Describe your on-going data management services -- including refresh, regular cleansing and enrichment, ongoing familying and normalization, etc.</t>
  </si>
  <si>
    <t>Describe your analytics and data science services. Do you offer opportunity identification, deep category analytics, risk analytics, performance analytics, etc.? How specialized are you in each area? What are your typical successes. Please attach at least one case study per specialized area.</t>
  </si>
  <si>
    <t>Describe your offer ongoing category project / program management and related sourcing / supplier management services on the category for your clients? How deep? Average cost avoidance / value generation? What categories do you excel at? Typical cost avoidance / value generation related to market average?</t>
  </si>
  <si>
    <t>Describe you general change management / consulting programs centered around analytics and better data management. Include any training you offer and programs designed to advance your clients who want to get going on the do-it-yourself journey.</t>
  </si>
  <si>
    <t>Please describe the depth of supplier information management schema support in the application, including out-of-the-box schemas, schema creation capability, a multitude of data formats, verification rules, etc.</t>
  </si>
  <si>
    <t>Please describe the depth of out-of-the-box support for supplier information management by industry against standard, global, industry codes</t>
  </si>
  <si>
    <t>Please describe the depth of out-of-the-box support for standard product codes including, but not limited to, UNSPSC, H(T)S, etc.</t>
  </si>
  <si>
    <t>Please describe the depth of multi-data-source integration including, but not limited to, ERPs, other MDM systems, other Supply Management systems, etc.</t>
  </si>
  <si>
    <t>Please describe the depth of distributed MDM capabilities. Can the MDM system control other MDM systems for distributed master data management across the systems for each type of data (corporate information, product information, operational information, etc.)</t>
  </si>
  <si>
    <t>Please describe the level of fine-grained access control implemented by the MDM system. Is it table level, record level, or field level - and how many roles can be defined? Can permissions be defined by queries?</t>
  </si>
  <si>
    <t>What level of form, and form construction, support is included in the solution? Can users create any form, and conditional workflow, that they need to capture all of the necessary data?</t>
  </si>
  <si>
    <t>Can the solution maintain the complete edit history of every data element in the system, including who made the change, when, and what their role was at the time?</t>
  </si>
  <si>
    <t>Can the solution also serve as an advanced document management solution and maintain a detailed document and version history with complete and customizable metadata (history)?</t>
  </si>
  <si>
    <t>Does the solution include, or integrate with, an OCR solution to automatically convert scanned and image documents into text for complete in-document searching and indexing?</t>
  </si>
  <si>
    <t>To what degree does the platform support supplier (pre) registration? This is including, but not limited to invitation management, self-registration, and SIC support. For example, can profiles be imported from supplier networks, expressions of interest be submitted to general category calls, and the system pre-loaded with supplier records from other enterprise systems?</t>
  </si>
  <si>
    <t>To what degree is invitation management in particular supported? Can campaigns be set-up for easy supplier response? Can invitations be sent out over multiple channels? Can they be automatically resent as reminders? Can buyers be notified when a supplier has seen or responded?</t>
  </si>
  <si>
    <t>How extensible is the self-registration process? Does it support conditional workflows that lead the supplier down the appropriate paths to capture the relevant information?</t>
  </si>
  <si>
    <t>How exstensible is the support for standard industry codes and the identification and collection of data relevant to those industry codes?</t>
  </si>
  <si>
    <t>To what degree does the platform support full supplier onboarding (once a supplier, already registered, has been selected for participation in an RFX or been given an award)? How far does it go beyond (integrated) reach-out, supplier network integration, and auto data verification?</t>
  </si>
  <si>
    <t>What templates are provided with the application? For example, supplier diversity, anti-corruption, anti-slavery, conflict minerals, etc.</t>
  </si>
  <si>
    <t>Does the platform support reach-out beyond traditional e-mail? Is there social network integration, (e-)fax integration, and/or phone integration?</t>
  </si>
  <si>
    <t>Does the platform integrate with one or more supplier networks, and, if so, to what degree? Simple profile integration? Full profile integration?</t>
  </si>
  <si>
    <t>Does the platform integrate with one or more government/third party data sources that can be used to verify the data being provided by suppliers, including, but not limited to, registry numbers, non-appearance on denied party lists, third party evaluations, etc.?</t>
  </si>
  <si>
    <t>To what degree can the product be used to qualify suppliers for the organization? And what capabilities does it have beyond data collection, delegation of control, and auto document verification?</t>
  </si>
  <si>
    <t>How powerful is the data collection capability? Does the workflow branch based on each data element to allow for the appropriate collection of supplier, product, and/or service information?</t>
  </si>
  <si>
    <t>To what degree does the product support delegation of control? Can the supplier add their own delegates and specify the roles and authorities that each person they authorize on their behalf has, or is user creation and privilege control limited to the lead buyer?</t>
  </si>
  <si>
    <t>To what degree can documents be automatically identified and validated by the platform? For example, can insurance documents be automatically detected, verified for validity, inspected for inclusion of mandatory clauses, etc?</t>
  </si>
  <si>
    <t>To what degree of detail is supplier data supported in the SIM portion of the SXM solution, either out-of-the-box, through schema-extensibility, or through custom definition on the client's part?</t>
  </si>
  <si>
    <t>How extensive is the out-of-the-box support for entity core data -- locations, financial, structure, personnel, industry profiles, category profiles, etc. etc. etc.?</t>
  </si>
  <si>
    <t>How extensive is the support for financial data tracking and is the system capable of integrating with ACH systems to manage payments and transfers?</t>
  </si>
  <si>
    <t>How extensive is the built in support for third party data feed integration for external risk scores, audits, data enrichment, etc?</t>
  </si>
  <si>
    <t>How deep is the document management compared to a best-in-class document management platforms? Is there word integration for collaborative creation, editing, mark-up, and indexing? Is there support for comments and markup? Is there complete version tracking?</t>
  </si>
  <si>
    <t>Is there extra built-in capability for certification and insurance document management, which organizations need to confirm and be on top off to meet risk and regulatory requirements?</t>
  </si>
  <si>
    <t>Is there extensive catalog management? To what degree can the supplier update, and to what degree does the buyer have to update? Can complete price history be maintained? Can similar SKUs be associated? Can product history be maintained?</t>
  </si>
  <si>
    <t>How extensive is the rating and approval system? Can the ratings be defined as group-based weightings? Can approvals be defined as bifurcating workflows with overrides? And what about preferred status -- does it have to be supplier level, or can it be product/service level and can it be limited to certain locales and even production locations?</t>
  </si>
  <si>
    <t>How extensive is the built-in supplier collaboration capability?</t>
  </si>
  <si>
    <t>Does the platform contain real-time (group) messaging capability, with complete archival, audit trails, indexing for association with different data elements?</t>
  </si>
  <si>
    <t>Does the platform contain collaborative white-boards that allow both parties to co-develop plans, work on innovations, and other collaborative projects?</t>
  </si>
  <si>
    <t>How deep is the corrective action management / corrective action resolution capability in the product? How deep is the collaborative dispute resolution functionality?</t>
  </si>
  <si>
    <t>What is the capability provided to identify issues, from whichever view the user is in and associated with whatever data the issues relate to, in the product, track them over time, and use the history and data as the basis for an issue and a corrective action plan?</t>
  </si>
  <si>
    <t>How easy is it to create detailed project plans built around milestones, tasks, and team members? And how powerful is the capability?</t>
  </si>
  <si>
    <t>How easy is it to do status updates, share them, take actions on those updates, and evaluate progress and modify the plan collaboratively based on those updates?</t>
  </si>
  <si>
    <t>What does the platform support in the way of resolution mechanisms? How are these tied to issue tracking, milestones, and statuses, and how effective are they in closing corrective actions?</t>
  </si>
  <si>
    <t>What degree of measurement, and metric, support is included in the platform?</t>
  </si>
  <si>
    <t>Does the platform integrate with, or provide, leading survey functionality that can gather all of the subjective rankings required for complete supplier performance analysis?</t>
  </si>
  <si>
    <t>How advanced is the formulaic support, necessary for KPI calculations for effective 360-degree scorecards? Is it limited to simple algebraic operators, or statistical functions, or advanced mathematical formula defined over multiple levels of data?</t>
  </si>
  <si>
    <t>What is the capability to integrate 3rd party data feeds, preferably as needed, in real time, for updates as often as daily (if available), and how many feeds are integrated out-of-the-box?</t>
  </si>
  <si>
    <t>How deep is the scorecard functionality, how extensive is the KPI functionality, and what is the ability to update the scorecards in real time, compute trends, detect changes, and alert key personnel?</t>
  </si>
  <si>
    <t>How much support for development and innovation management is built into the platform?</t>
  </si>
  <si>
    <t>What kind of support is included for the definition, and management, of innovation challenges? Is it just push a request, pull some responses? A collaborative forum? The ability to break it up and possibly award different steps of a challenge to multiple parties?</t>
  </si>
  <si>
    <t>Can suppliers contribute ideas unsolicited? How are they managed to make sure no good idea slips through the cracks? Can they be turned into challenges if they are the start, but not the end, of a need, possibly as a three-way collaboration project (that could result in a joint award)?</t>
  </si>
  <si>
    <t>What level of review and decision support is included? Are multi-level approvals supported? Can the buying team work collaboratively? Can the suppliers provide feedback at appropriate points?</t>
  </si>
  <si>
    <t>What level of data monitoring is included in the SXM application and how is it integrated with the scorecards and benchmarking?</t>
  </si>
  <si>
    <t>Can the scorecards be automatically updated with relevant data? How often? What level of application and feed integration is supported?</t>
  </si>
  <si>
    <t>Can alerts be defined that notify an individual when scorecards drop below a threshold, trends change, changes happen faster or slower than expected, or other relevant factors that need to be monitored?</t>
  </si>
  <si>
    <t>Does it integrate with the CAR/CAM functionality and allow the buying organization to be notified when statuses change, input is provided, or milestone deadlines are not met?</t>
  </si>
  <si>
    <t>To what extent does the platform support risk identification, management, and monitoring?</t>
  </si>
  <si>
    <t>What is the extent of risk identification? Is it limited to manual identification, definition and data entry or does it come with the capability to identify risks based on key supplier data, scorecards, trends, and/ or an appropriate cross-section of such data?</t>
  </si>
  <si>
    <t>Does the system support the creation of mitigation plans? And are they completely manual, or can they be automatically generated from templates based on key risk identifiers?</t>
  </si>
  <si>
    <t>What is the extent of trend definition and monitoring in the system? Can the trends be mapped to, and monitored against, different distributions? Can advanced forecasting algorithms be applied? Are the included and integrated?</t>
  </si>
  <si>
    <t>What is the extent of event monitoring in the platform? Is it limited to external data feed integration, or does it support semantic monitoring of news sources? What about sentiment analysis and third party evaluations and projections?</t>
  </si>
  <si>
    <t>To what extent does the platform support new product development and/or new product introduction?</t>
  </si>
  <si>
    <t>How extensible is the product management capability? Is it limited to bill of material definition or can it be used to define should cost models, alternative designs, and real-time market data tracking?</t>
  </si>
  <si>
    <t>How extensible is the bill of material capability? Is it a basic component definition or can it support extensive multi-level bill of material definition that includes modelling support at each and every level of a multi-level bill of materials from an engine all the way down to a screw?</t>
  </si>
  <si>
    <t>To what extent is NPD/NPI integrated into innovation management? Is it a basic push/pull or is there extensive integration that allows for innovation to be launched from and spark each stage of NPD/NPI?</t>
  </si>
  <si>
    <t>To what extent is process management supported in the platform? Is it basic task definition or integrated NPD/NPI project management?</t>
  </si>
  <si>
    <t>To what extent is analytics integrated in the platform?</t>
  </si>
  <si>
    <t>Is there an integrated report builder? How extensible is it? Can it work on all data elements?</t>
  </si>
  <si>
    <t>What is the extent of support for out-of-the-box scorecards?</t>
  </si>
  <si>
    <t>What is the extent of support for out-of-the-box operational metric reports?</t>
  </si>
  <si>
    <t>What is the extent of support for out-of-the-box trend reports?</t>
  </si>
  <si>
    <t>What is the extent of support for out-of-the-box risk reports?</t>
  </si>
  <si>
    <t>Does the portal support single view and sign on? Can a supplier manage their data, surveys, RFXs, innovation requests, etc. for all customers through one sign-on? How integrated is the portal? Is data organized by customer, request type, or can the supplier representative filter in to what they want to see when they want to see it?</t>
  </si>
  <si>
    <t>How much on-boarding support is available from the supplier's point of view? Can they define additional users with limited access to complete different data requests?</t>
  </si>
  <si>
    <t>How powerful and customizable are the collaboration features from the supplier's viewpoint?</t>
  </si>
  <si>
    <t>To what extent can the supplier review, and request corrections of, not only data they provide but also data created, and collected, on the supplier by the buyer?</t>
  </si>
  <si>
    <t>To what extent are 360-degree scorecards supported? Is the supplier limited to providing survey responses to populate them? Can they define formulas to summarize data to populate them? Can they pull that data in through imports? Can they collaboratively modify the scorecards?</t>
  </si>
  <si>
    <t>Does the portal contain extensive document management and update capability that will not only allow a supplier to attach documents, but remind them of when updates are required, process documents against minimal acceptance and completion criteria during upload, and auto-extract key meta data on the supplier's behalf?</t>
  </si>
  <si>
    <t>Does the platform include vendor managed inventory functionality that will allow the supplier to manage MRO / other inventory on behalf of the buyer?</t>
  </si>
  <si>
    <t>Does the platform support the distribution and archival of purchase orders on behalf of the buyers and/or invoices on behalf of the suppliers, correlation, or payment support through ACH integration?</t>
  </si>
  <si>
    <t>Please describe your cloud architecture (e.g., single-instance multi-tenant application run on a 'virtualized' and elastic platform).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t>
  </si>
  <si>
    <t>To what extent can the platform support the auto-detection of missing or needed data? Erroneous data? Outlier data that needs to be reviewed? How advanced are the algorithms? Is this capability extensible?</t>
  </si>
  <si>
    <t>Explain the use of OCR/Scanning technology within your solutions (if used) and any future roadmap plans</t>
  </si>
  <si>
    <t>Describe typical (and atypical) system integration options. Describe how the platform and service provider handles multiple instances. Describe any integrations not addressed already</t>
  </si>
  <si>
    <t>Describe your approach to customized SIM/SPM/SRM process configuration as well as both basic and advanced workflow configuration (based upon an evaluation of the strategic nature of the relationship, the dollars involved, the industry, and/or regulatory controls that need to be adhered to)? Approaches could be based on users, departments, commodities, roles, content groups, approval steps, delegated approvals, units of measure, custom fields, accounts, chart of accounts, invoice tolerances, receiving tolerances, budget periods, payment terms, etc. Describe if there is a limit to the number of configurations included (e.g., # of fields, forms etc). If so, what is the limit? Describe how your solution supports both single and multiple categorizations and/or accounting structures. Describe the process for configuring custom fields/web forms (What are the limitations/constraints in terms of what can be enabled?)</t>
  </si>
  <si>
    <t>What (if any) is the network component of the offering? Is their many-to-many profile and data model support? Can a supplier be a buyer in the system under the same profile information?</t>
  </si>
  <si>
    <t>Describe the extent to which the supplier portal is configurable and customizable by the buyer (for initial setup) and the supplier (for efficient and effective use and collaboration)</t>
  </si>
  <si>
    <t>Describe the extent of workflow configuration across the modules and functionality and any integrated third party applications</t>
  </si>
  <si>
    <t>Describe the globalization capabilities, paying particular attention to capabilities beyond multi-currency and multi-lingual</t>
  </si>
  <si>
    <t>Describe your support for multiple languages and for instruction / communication translation. Describe how third parties are used to support translation efforts</t>
  </si>
  <si>
    <t>Describe your ability to support multi-channel supplier onboarding events across categories, industries, and geographies … with or without supplier network support</t>
  </si>
  <si>
    <t>Describe your ability to natively (or through partners) aggregate, cleanse, classify, enrich, and harmonize existing data (and document [metadata]) to make it timely and accurate to drive surveys, innovation management and supplier development efforts. Describe existing abilities to also validate data against external sources (tax authorities, prohibited/denied parties lists, certifying ISO authorities, etc.)</t>
  </si>
  <si>
    <t>Describe your ability to do enable supplier data / profile management and supplier relationship management services on behalf of the buying organization, either natively or through partners</t>
  </si>
  <si>
    <t>Describe your ability to lead and manage supplier development and innovation management projects on behalf of the buying organization, either natively or through partners</t>
  </si>
  <si>
    <t>Please describe the ability to support all enterprise contracts, including not just supplier contracts, but those from customers, employees, partners, and other key stakeholders</t>
  </si>
  <si>
    <t>Ability to model contract information at granular level of detail</t>
  </si>
  <si>
    <t>0 = a contract field in the system, but no contract master. 1 = basic fixed contract level metadata to describe a contract (e.g., ID, supplier name, contract owner; start &amp; expiration/renewal dates) and ability to store a file attachment. 2 = contracts, contract types, addendums (e.g., SOW against MSA), and basic clause structure to handle pricing, payment terms, deliverables, roles, reference-field metadata, etc. 3 = sub-contracting (multi-tier), clause library, clause types, deliverables, obligations/rights, and clause-level metadata (e.g., risk type, rules). 4 = robust/extensible contract level and clause level data models tied into specific domain areas listed below - and ability to link to external knowledge bases and support needs of legal counsel/firms and industry-specific requirements</t>
  </si>
  <si>
    <t>Use generic scoring (per "Row 7" and the "Menu" tab generically). Please describe supporting details in 'comments' field</t>
  </si>
  <si>
    <t>Cross-referencing contracts to spend/supplier categories and also using user-driven contract/clause attributes/metadata to allow for rule-driven workflows/analytics using these attributes</t>
  </si>
  <si>
    <t>1 = partial. 2 = clause level. 3 = "cost of risk" modeling. 4 = sophisticated risk modeling/treatment analytics and knowledge/IP</t>
  </si>
  <si>
    <t>Modeling and management of currency risk, capacity risk, commodity price pegging/capture/audit, hedging, etc.</t>
  </si>
  <si>
    <t>Modeling of counter-party relationships to you; legal entity structure (parent-child); supplier-customer linkages (i.e., value chain structure and outsourced relationship structure)</t>
  </si>
  <si>
    <t>0 = supplier field in contract header (no lookup table). 1 = supplier lookup to basic supplier master (within CLM module or other) data. 2 = partner master model and parent-child. 3 = sub-contracting / tier modeling. 4 = advanced modeling (e.g., supply chain network modeling)</t>
  </si>
  <si>
    <t>Ability to model statutory regulations or NGO requirements (by you and/or counterparty) and the contractual commitments that tie to them.</t>
  </si>
  <si>
    <t>1 = store TCV and payment terms for single named entity in base currency. 2 = ACV modeling and ability to tie to multiple fiscal entities and in multiple currencies (and support INCOTERMS). 3 = termination clauses/probabilities, renewal % estimates, budget linkages; penalty/bonus accruals. 4 = advanced financial modeling not described (please describe)</t>
  </si>
  <si>
    <t>0 = referencing a project as text in a contract. 1 = associating a contract to specific projects. 2 = modeling project work breakdown structures and deliverables within a contract. 3 = incorporating/integrating project budgeting, costing, and risk monitoring within contracts. 4 = advanced functionality beyond this (please describe)</t>
  </si>
  <si>
    <t>Does the platform allow templates that can be used for initial contract creation?</t>
  </si>
  <si>
    <t>Performance specifications are the expected form/fit/function of the contracted deliverables - whether products and/or services. For services, they include tasks to be performed, service levels, and acceptance criteria. To what extent does the CLM system support the ability to model tasks/services, service levels, deliverables, milestones, product/service quality, and other determinants of commercial obligations?</t>
  </si>
  <si>
    <t>1 = basic modeling (e.g., rates vs. deliverables/milestones). 2 = performance/service level modeling (similar or integrated to supplier performance dimensions). 3 = linking performance/specs to particular tasks/roles and how those performance levels will be measured and approved. 4 = functionality beyond 1-3</t>
  </si>
  <si>
    <t>1= obligations (basic TCV or ACV). 2 = ability to model obligation types and monitor the values. 3 = obligation analysis to determine appropriateness/effectiveness of obligations (e.g., risk scoring; bonus/penalty/termination scoring and monitoring). 4 = functionality beyond 1-3</t>
  </si>
  <si>
    <t>1 = yes, but no version control or e-Signature. 2 = yes, with basic version control and e-Signature. 3 = yes, with internal comparison/red-lining functionality, finance/defense level security, and in-line with all regulatory e-Signature requirements. 4 = would include capability beyond which is previously addressed (but including 1-3)</t>
  </si>
  <si>
    <t>Beyond file attachments, to what extend can the contract be linked to related documents that sits in other systems (e.g., superseded contracts in legacy document management system; MSAs in a contingent labor application; ERP and P2P systems; niche systems in Legal Department, etc.) For example, can system detect changes in those related files/systems?</t>
  </si>
  <si>
    <t>Use generic scoring (per the "Menu" tab). Please describe supporting details in 'comments' field</t>
  </si>
  <si>
    <t>CLM Contract Information Management: the three last elements of the RFI don't appear on the master sheet ('Access Control', 'Auditable, Unalterable, Messaging', 'Version Control'</t>
  </si>
  <si>
    <t>1 = visibility by expiry/renewal type and prioritized by contract value. 2 = escalating alerts to kick off an action plan to drive active renewal or re-sourcing/re-contracting. 3 = obligation / risk / performance reporting to drive compliance in remaining contract and plan for renewal/re-negotiation. 4 = advanced functionality beyond 1-3</t>
  </si>
  <si>
    <t>How easy and robust is the capability to manage expiring contracts that must be dispositioned (e.g., flagged for either renewal/amending or for offboarding) and then used to drive appropriate offboarding activities?</t>
  </si>
  <si>
    <t>0 = nothing happens. 1 = system de-activates and archives the contract. 2 = system drives multiple contract offboarding activities including counterparty system access; final approvals; user communications; etc. 3 = linkage to appropriate other integrated systems (e.g., drive supplier offboarding if supplier only had the one contract). 4 = advanced functionality beyond 1-3</t>
  </si>
  <si>
    <t>Ability to find and re-use previous contracts and clauses for 1) new contract/clause creation or 2) contract portfolio assessment and remediation/de-risking/optimization</t>
  </si>
  <si>
    <t>1 = text and keyword search across contracts. 2 = ability to query contract and clause data and metadata (including user defined). 3 = ability to perform 'where used' analysis on contracts using certain clauses; ability to use fuzzy matching to find similar contracts/clauses. 4 = using AI and ontology/concept based capabilities or other advanced features</t>
  </si>
  <si>
    <t>Ability to bulk upload contracts and extract contract-level metadata (please discuss if/how you use partner providers)</t>
  </si>
  <si>
    <t>0 = none (assume paper files are scanned). 1 = batch file uploading and import/mapping. 2 = OCR and rule-based training to metadata. 3 = addition of auto-classification with fuzzy matching or basic machine learning. 4 = advanced machine learning and knowledge bases/models</t>
  </si>
  <si>
    <t>Use of rule based and machine learning based contract analytics to help classify unstructured text into structured clauses and metadata (please indicate if you use a specialized partner provider)</t>
  </si>
  <si>
    <t>1 = award export. 2 = award export and standard legal template directory (in Word files). 3 = integrated editor that can suck in awards and templates. 4 = would include capability beyond which is previously addressed (but including 1-3)</t>
  </si>
  <si>
    <t>What unique capabilities allow you to incorporate counterparty paper into your contracting workflow?</t>
  </si>
  <si>
    <t>To what extent can the system automatically create amendments, term riders, sub-contracts, etc. easily to simplify changes and not revise entire contract</t>
  </si>
  <si>
    <t>Use generic scoring. Please describe supporting details in 'comments' field</t>
  </si>
  <si>
    <t>1 = contracts can be stored in MS Word. 2 = basic word integration which allows change history to be pulled out of versions and redlining support. 3 = word is "embedded" in the platform and the viewer/editor can switch from Word to the application (and see the status in the Word viewer) and back again and the user can even push data from Word to the platform (clauses, supplier data, updated price lists etc.) during contract creation. 4 = would include capability beyond which is previously addressed (but including 1-3)</t>
  </si>
  <si>
    <t>Including process modeling; rule-based branching; use of APIs; delegation; use of user groups and roles; standard approval hierarchies and complex/custom approval logic; incorporation of counter-party in flow. Please describe in detail</t>
  </si>
  <si>
    <t>Please describe (in detail) the system ability to enable broad-based contract negotiation between two or more parties</t>
  </si>
  <si>
    <t>Includes going beyond redlining to support more unstructured collaboration and communications internally and with counter parties. Also includes mobile and social methods for e-mail integration, messaging/alerts, collaboration tools (e.g., Slack), threaded discussions, document collaboration, audio/video calls, etc.</t>
  </si>
  <si>
    <t>Ability to support multi-tier contracts to tier 1 suppliers (e.g., BPO, prime contractor, contract mfr, etc.) who then sub-contract to tier 2 suppliers. This can include "back-to-back" contracts / "flow downs" of certain clauses or potentially even engaging tier 2 sub-contractors on the system itself</t>
  </si>
  <si>
    <t>This allows the system to be designed to guide a user through a set of business questions that in turn invoke the appropriate contract templates (or specific clauses) to use</t>
  </si>
  <si>
    <t>Ability to help automate the implementation of the contract into execution (e.g., into the P2P and supplier management process) and integrate to downstream execution systems</t>
  </si>
  <si>
    <t>To what extent can the system track counter-party compliance to the contract - as well as internal compliance</t>
  </si>
  <si>
    <t>Use generic scoring (per the "Menu" tab). Please describe supporting details in 'comments' field Note any particular innovations that you feel differentiate you here</t>
  </si>
  <si>
    <t>Please provide the reporting areas within your standard reporting and analytics framework (self-score not needed)</t>
  </si>
  <si>
    <t>How do you capture and systemize the collective knowledge from your installed base of customers using your solution?</t>
  </si>
  <si>
    <t>Do you have a unique approach to assessing, delivering, and improving value delivery that we haven't touched upon that you'd like to highlight?</t>
  </si>
  <si>
    <t>How fine grained is the role/data/action based security options on the platform and how configurable are they? How fine grained is the role/data/action based security options on the platform and how configurable are they?</t>
  </si>
  <si>
    <t>1 = pre-defined roles. 2 = pre-defined roles with edit options selectable by roles. 3 = role sub-classes which are modifications of basic roles, possibly for a single user. 4 = roles can be defined not just by selections, but on data views or particular workflows</t>
  </si>
  <si>
    <t>Please describe your user experience (overall) including design approach. Please describe your approach to navigation, menu elements (and ability to hide elements), columns, overall form structure/organization, visual design, product workflow. What other UIs have inspired your design (in the consumer or business world)? When was your overall UI framework last implemented or updated? How many full-time UI designers are on your team?</t>
  </si>
  <si>
    <t>Please describe your cloud architecture (e.g., single-instance multi-tenant application run on a 'virtualized' and elastic platform). Is your SaaS approach only true multi-tenant, or can separate app instances be maintained (e.g., residing with data on servers that can be run in different countries)?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t>
  </si>
  <si>
    <t>1 = ASP in a cloud wrapper. 2 = standard one-size fits-all multitenant. 3 = customizable multi-tenant where each client can have their own view, restrict data to certain locales, have surge processing power dynamically added or dropped. 4 = the architecture supports load-balancing to specific single-use database instances or processing server instances so each client has a virtual single instance (would include other capability beyond which is previously addressed -- but including 1-3)</t>
  </si>
  <si>
    <t>Do you offer an on premise options? If no, what private cloud capabilities do you offer (e.g., to have data reside locally -- and fully encrypted at rest). If offered, is it legacy software that is separate from the SaaS version -- or is cloud version pushed to end user to run locally? Explain if there is an option for any part of the application or integration software to run on-premise behind the firewall? If you have such on-premise / 'private cloud' capabilities, please describe how it works in conjunction with any 'public cloud' application deployment models you support</t>
  </si>
  <si>
    <t>1 "we install, and when you want an update, you call". 2 = standard patch upgrade support (like previous MS non-forced update strategy). 3 = dynamic pull from master image on an update server that auto detects version and runs all of the update scripts sequentially with each patch application. 4 = would include capability beyond which is previously addressed (but including 1-3)</t>
  </si>
  <si>
    <t>Explain the use of block chain technology within your solutions or plans to deploy block chain in future releases. What type of block chain capabilities are you actively researching and/or developing (e.g., "smart contracts")? Are you working with a customer advisory council in this area, and if so, what is their willingness to support a distributed ledger model?</t>
  </si>
  <si>
    <t>Explain the use of mobile technology within your solutions overall and your roadmap for future mobile adoption. Please highlight how you support mobile users (e.g., responsive design to work across all devices or mobile app for basic functionality like approvals). What percentage of system interactions today are driven by mobile clients? 2015? 2016? Forecast 2017?</t>
  </si>
  <si>
    <t>If not already covered elsewhere, please explain how many base currencies do you support? Also please describe multi-currency support such as foreign exchange translations or other capabilities</t>
  </si>
  <si>
    <t>1 = We integrate a third party app. 2 = we integrate a third party app that we have trained on sourcing and procurement terminology and workflows. 3 = we have developed our own intelligent app infrastructure and trained it on our platform and sourcing workflows. 4 = would include capability beyond which is previously addressed (but including 1-3)</t>
  </si>
  <si>
    <t>Do you offer any form of machine learning with your existing production system? If so, please describe what ML approach/algorithms are used to do what functionality</t>
  </si>
  <si>
    <t>Please describe how you support software agents that help improve the capabilities of your system. If you don't have any, please describe what you're evaluating or building</t>
  </si>
  <si>
    <t>1 = simple phrase mapping file for menu options. 2 = replacement rules for menus, workflows, help files, etc. 3 = multi-lingual personalization options for global deployments. 4 = would include capability beyond which is previously addressed (but including 1-3)</t>
  </si>
  <si>
    <t>1 = we support XML and EDI. 2 = we support a number of standard natively including docx, pdf, and other formats our customer organizations use on a daily basis. 3 = we support a whole host of file exchange standards between ERP, Accounting, and other enterprise systems. 4 = would include capability beyond which is previously addressed (but including 1-3)</t>
  </si>
  <si>
    <t>Please describe typical integration points that you typically implement at customers (e.g., master data integration for users/contracts/suppliers; process integration with POs/Invoices; eSignature partner; etc.) Describe typical (and atypical) system integration options. Describe how the platform and service provider handles multiple instances. Describe any integrations not addressed already</t>
  </si>
  <si>
    <t>How many out of the box APIs do you make available (and feel free to describe more about them and/or your approach here)?</t>
  </si>
  <si>
    <t>Describe the out-of-the-box ERP integrations supported, how configurable they are, whether they are real-time, and other relevant factors</t>
  </si>
  <si>
    <t>1 = just Oracle and SAP, through regular flat file uploads. 2 = a host of standard ERP through API integration and daily updates. 3 = extensive ERP integration with real-time updates, push/pull against data masters. 4 = would include capability beyond which is previously addressed (but including 1-3)</t>
  </si>
  <si>
    <t>Describe out-of-the-box P2P and related technology integrations, how configurable they are, whether they are real-time, and other relevant factors</t>
  </si>
  <si>
    <t>1 = just Ariba and Coupa, through regular flat file dumps. 2 = a host of standard P2P through API integration and daily updates. 3 = extensive P2P integration with real-time updates, push/pull against data masters. 4 = would include capability beyond which is previously addressed (but including 1-3)</t>
  </si>
  <si>
    <t>Describe other relevant, best-of-breed, systems that the platform integrates with and the extent of the integration</t>
  </si>
  <si>
    <t>If not already covered, please describe your approach to customized CLM process configuration as well as both basic and advanced workflow configuration (based upon an evaluation of the strategic nature of the contract the dollars involved, the industry, and/or regulatory controls that need to be adhered to)? Approaches could be based on users, departments, commodities, roles, content groups, approval steps, delegated approvals, custom fields/requirements, accounts, etc.</t>
  </si>
  <si>
    <t>If not already covered, please describe the extent of workflow configuration across the modules and functionality and any integrated third party applications</t>
  </si>
  <si>
    <t>If not already covered, please describe the globalization capabilities, paying particular attention to capabilities beyond multi-currency and multi-lingual</t>
  </si>
  <si>
    <t>walnut trick</t>
  </si>
  <si>
    <t>walnat trick</t>
  </si>
  <si>
    <t>OriginalOrder</t>
  </si>
  <si>
    <t>Describe the process and alternatives to create/onboard a catalog in your system. For example, "flipping" a contract into an e-catalog, a traditional catalog loading process that leverages either excel, CSV file formats, EDI, email or a template that suppliers filled and load it by themselves. Explain your capablities to onboard catalogs with different data structures or different granular level of detail (e.g., pictures, "how to" instructions, attachments, detail descriptions, UNSPC codes, manufacturing numbers,etc.). Explain how during daily activities new items (and services) can be added/modified in an existing catalog. Describe direct integration capabilities with suppliers to create/maintain catalogs in real-time. Describe suite-based integrated features such as catalog creation directly from sourcing eventI. If applicable, describe any supplier costs to maintain catalog content (e.g., subscription fees). Describe your Punch-out capabilities, Can a punchout be self-service (i.e., configured by the customer)?</t>
  </si>
  <si>
    <t>Describe the native or partner support process and mechanisms used for catalog clasification, cleansing and enrichment. Describe the mapping and ongoing data synchronization process to the source record. Explain how data quality approaches insure the accurate conversion of unit of measures, currencies and languages for multi-country usage purposes (for example, accounting records, issuance of POs and invoices, side-by-side items comparison, etc.). Explain if there is an AI/machine learning (or other) approach for capability, control and enrichment of catalog and non-catalog content. Explain the capability to maintain real-time price information (internal and external catalogs) .Describe your capability to control data quality by creating and executing rules to automatically validate, enrich &amp; clean catalog content. Describe the levels of exception managemnet/control for error correction to enrich the content</t>
  </si>
  <si>
    <t>Explain the process and mechanisms use to add/change/delete of catalog records across suppliers, buyers, and intermediaries. Explain your integration approaches to source systems like ERP, CAD/PLM, tech pubs, ECM, MDM, etc. Explain your support of (and translation between) multiple standards such as PIDX, RNIF, OCI, cXML, CIF, EDI 832, BMEcat, etc.</t>
  </si>
  <si>
    <t>Describe the approval features and process, are there workflows, business rules involved, is there a collaborative mechanism between buyers and suppliers (feedback, disputes, notes, etc.), a graphical view, email alerts, drag &amp; drop change status capability (evaluating, approved, live, etc.) access base on user profiling -- or related capabilities you would like to highlight</t>
  </si>
  <si>
    <t>Describe all type of objects and mechanism to include planned, non-planned and repetitive purchasing scenarios. Example might include Items, lists, kits, e-forms, smart forms, bundles, an internet spot buy. Explain features such as catalog item taxonomies &amp; attributes, part number cross-referencing, custom price logic, tiered pricing ability, secure links to supporting documents (e.g., drawings, "how to" instructions, buying policies, etc.). Are buying policies configurable to appear in context of the item requested? Can access to catalog content (e.g., based on user /roles) be restricted? Describe all inherent business logic or "AI" inherent to a product or services (workflows, business rules, systems or object calls, etc.). Please describe all type of flags available (for example: contracted, inventory, similar, preferred, etc.) Describe the capability to integrate forms (e.g., eforms/smart forms/webforms) and associated UI components. What percentage of catalog configuration can be done in-house (self-service via a business resource) vs. requiring IT, vendor of consultant resources?</t>
  </si>
  <si>
    <t>Describe mobility features (i.e., what can be enabled via a mobile environment) for catalog management functions. Please describe your security capabilities to enable touch-forms (smartphone and tablets) without sacrificing functionality or creating additional risk factors through the different forms of mobile access -- app and non-app</t>
  </si>
  <si>
    <t>Describe the type of analytics available for catalog management. Please describe standard reports (or attach screen shots). This could include, duplicates, non-used, non-contracted items, etc. Please describe use of guided analytics (e.g., AI/machine learning) underlying components if applicable. Describe the ability to configure a dashboard to to providing catalog "health" or snapshot reporting (e.g., catalog changes, price changes, errors, missing items, fields, images, etc.) What level of search analytics are available to help administrators understand/ explore queries such as: what people are searching for (but not finding) specific items, top searches, lowest search conversion rates, item conversion rate over time, item conversion volumes over time, etc.</t>
  </si>
  <si>
    <t>Describe what new features &amp; functionalities are in your catalog management roadmap in the next 12 months. In addition please mention any feature/functionality that we might have overlooked</t>
  </si>
  <si>
    <t>Do you provide leveraged contracts/pre-negotiated pricing today in pre-loaded catalogs? If so, please describe the program and attach supporting documentation, including uptake/volume, savings, etc.</t>
  </si>
  <si>
    <t>Do you enable the ability to enable users to shop across Internet sites, and pull the item back into the solution for pre-approval (with integration to understand where additional catalog SKUs/content would be used if available)</t>
  </si>
  <si>
    <t>What enables your catalog management capability to stand out from others -- if it does (it's OK if it does not!) but we'd like to understand what you think makes you different and better than others</t>
  </si>
  <si>
    <t>Describe the different requisition set-up options available to users/administrators beyond basic default options. For example: allow quick Item entry, allow several "ship to" addresses, hide change request type, allow multiple account allocations, etc.</t>
  </si>
  <si>
    <t>Describe your capabilities to restrict access based on different criteria (e.g., individual users, groups of users, BU, company, project) to an e-store (we define e-store as the virtualized shopping "store" for users). Describe the ability to personalize the user interface based on the user (e.g., logos, menus, displayed information, etc.) Describe your e-Store default fields/tabs (e.g., recent searches, also viewed, bundle options, statistics, pending tasks, lists of products, eForms, templates, etc.)</t>
  </si>
  <si>
    <t>Describe the type of information that the Marketplace´s front page dashboard can display (top level fields). Describe its configurability, flexibility and why/how it is easy to use (e.g., drag &amp; drop features) in your perspective. Describe drill down capabilities throughout all processes flows (including the display of related document, RFx, contact and other data). Describe the ability to select the results and compare them</t>
  </si>
  <si>
    <t>Describe how the system can enable different profiles to support "mass customization" of the shopping experience (e.g., per user, company, category, contract, project, etc.) Describe the detail of a profile configuration and how profiles are configured</t>
  </si>
  <si>
    <t>Explain the process, features and strengths of the search engine (for example, the ability to search on key words, enable federated search across different source content types simultaneously, parametric/filters such as company attributes, product attributes, categories, suppliers, price, flags). Describe your capability to provide keyword and "type-ahead" suggestions. Describe your ability to provide multiple catalog search filters to refine results. Describe the ability to search based on contracted SKUs, inventory items, like/similar items, preferred items/suppliers, etc.) Describe the underlying capabilities to enable search (e.g., rules-based modeling, description search, punch out (support for level 1, 2 models), transparent punchout (same UI), Internet search, accessibility / integrated into internal workflow, etc. How do you handle a search that produces no results; is the user guided to a next step?</t>
  </si>
  <si>
    <t>Describe content integration to third-party sources (e.g., in the case of non-contracted spend or spot buy SKUs). Capabilities could in clude the ability and interface to select a non-contracted spend item from a third-party site (e.g., eBay, Amazon, etc.) and add that item to the shopping cart. Describe ability to search, refine, compare and add items to shopping cart individually and in comparison to other searched items</t>
  </si>
  <si>
    <t>Describe your process to create requisitions. For example: add one or multiple providers items to a cart (on-behalf or not) from supplier catalogs, buy directly from punchout sites, use a free-form request or form template, purchase with one click from any website, select items with a label scanner, integrate with project management tools, inventory/MRP and travel requests. Describe approval routing (by requisition process type, if restricted), ability to check against budgets by user, BU, account project, etc. (and also against business rules for procurement approval by source, type, category, cost center, value, department, project or any complex or multi-criteria scenario, such as all of the previous factors). Describe the ability to integrate with a sourcing application or to eProcurement application for creating different PO types (one-time, blanket/limit, and/or PO release / "call off"). Describe your ability to create multiple requisitions (from one chart) based on approval and business rules. Explain how you insert special instructions for vendors. Describe your ability to handle tooling requisitions. Describe your ability to handle assets (track asset value/depreciation, track warranties, service schedules, configure asset attributes, etc.) Describe your ability to "block" a requisition or PO process if suppliers are not qualified or if preferred/designated suppliers already exist for a specific item or category. Describe your ability to aggregate multiple requisitions (based on for categories or commodity codes) and create a single requisition (e.g., to take advantage of tiered pricing, rebates, order/shipping consolidation or take advantage of other savings opportunities). Describe contract compliance procesess for tiered pricing. Describe your ability to support pre-configured item lists that can be executed by picking items that are needed, setting par inventory par levels, recording on hand inventory and guiding users to what they will need to buy (automatically) based on these criteria? . Describe how much time it takes (typically) for an end user to create a requisition properly coded to the correct GL code. Please also describe outlier scenarios.Describe how much time it takes to train an end user on how to use the requisitioning system.</t>
  </si>
  <si>
    <t>Describe your integration options with third-party systems such as IMS, WMS, MRP, and travel &amp; expenses to generate requisitions</t>
  </si>
  <si>
    <t>Describe mechanisms to support non-cataloged item requisitions. Examples might include: e-forms / smart forms / e-templates / etc. Explain support for services requests (e.g., "how to" request forms, pre-populated templates, etc.), how services may be requisitioned through your native solution (i.e., contracted as part of an eProcurement product). If you have separate offerings or partner offerings for service procurement outside of capability that is included as a core component, please note and explain (or provide links) to these offerings. Describe how you support temporary labor requests (e.g.,, capture full service requirement profiles, define levels, work locations, expected duration, milestones and deliverables, and rate cards). If applicable, describe VMS integrations and partnerships . Describe how suppliers can create timesheets as part of the core eProcurement offering or via a partner offering. Please be clear on whether this is native to the eProcurement product, a separate module or a partner solution (and additional associated costs with enabling this capability, if applicable)</t>
  </si>
  <si>
    <t>Describe solution capabilities for users (shoppers, approvers, etc.) to search suppliers based on preferred / qualified status before finalizing a requisition and PO</t>
  </si>
  <si>
    <t>Describe the mechanisms to support repetitive requisitions and features supporting features (e.g., lists, kits, bundles, intelligent re-ordering workflow (with the ability to include tolerances / business rules), etc.). Do you handle e-forms? please describe how many are included, and if they are self service configurable by a customer business administrator or need vendor or IT support.</t>
  </si>
  <si>
    <t>Describe the help &amp; support mechanisms accessible during the requisitioning process. These could include: videos, policy documents, contact information, on-line chat, "how-to" instructions documents, FAQ, etc. Do you have an user community to exchange expertise (if so, how many companies are active members and what is the level of activity?)</t>
  </si>
  <si>
    <t>Explain the shopping cart and checkout process options available. For example: draft carts, create on-behalf of, select billing account (modify or split accounting), select shipping address per cart or line item (multiple), ability to add, cancel items, change quantities, add to favorites, upload attachments to a specific line item within the basket, multi-currency conversion to local currency, access to user support (on-line / Q&amp;A), budget checking, alerts/warnings, data segregation by business units, etc. Describe your ability to transfer chart to super buyers (same or different system) to finalize the requisitioning process. Describe your ability to allow shipping based on individual line-items</t>
  </si>
  <si>
    <t>Describe the approval engine features including configurability, approvals (email, application, line level), workflows (business rules: simple / complex- trigger from any object, etc.), graphical view, dynamic updates (requisition modification, delegations, new approvers /observers, auto-escalate), budget checking, rejection flow logic (such as resubmission, alerts, etc.) Explain the ability for line level approval/rejection, to trigger a threaded discussion, clarification or collaboration, etc. Describe ability to reassign approvable roles and extend review periods</t>
  </si>
  <si>
    <t xml:space="preserve">Describe your "guided buying" approach and what type of information is displayed/available during the requisitioning process to support user guidance. How does the application handle the following scenarios or inputs to guided buying individually and collectively? Examples: “how to” buy instructions, requirements/policies, budgets levels, inventory levels, supplier delivery times, supplier TCO, product feature comparisons, historic comparison prices, contracted vs. not contracted, preferred or similar products, minority/diversity vendors, risk/SER, supplier performance, supplier capability profiles, bundle recommendations, on-line promotions, product rating-reviews (internal-user comment) and any other context information that can support better purchasing decisions for the user and the business. Are there any business rules / logic that can display specific content based on the user, project, BU, company profile, supplier risks/ratings, budget constraints, payment terms, savings percentage, etc. Describe your guided buying ability to buy purchase both goods and other categories including non-catalog items, T&amp;E, contingent labor, etc. in a single environment
</t>
  </si>
  <si>
    <t>Describe how the solution enables basic e-sourcing ( e.g., "3 bids in a box") and advanced integration with e- sourcing modules, if applicable, based on organizational sourcing and category compliance and other requirements; Describe the ability for procurement to initiate a sourcing event diretly from a requisition (based on volume, cost, category or other "flaggign") for better pricing</t>
  </si>
  <si>
    <t>Describe your budget creation/integration (with budget systems) and associated processes and integration. Explain your ability to track budget impact throughout the requisitioning and purchasing process. Explain your capabilities to trigger alerts or hard stops when the budget is exceeded at a user, BU, account or project level. Describe any "visual" components that can guide users to make more informed decisions based on budgets. Describe budget checking integration with ERP and other systems</t>
  </si>
  <si>
    <t>Describe your inventory creation/integration (IMS/WMS) process. Explain the ability to track inventory impact throughout the requisitioning and purchasing process. Explain your capabilities to do inventory transfers, inventory adjustments, auto replenishment requisitioning, etc. Do you provide a native inventory solution or direct connectivity into third-party inventory management solutions via partnership? If so, please describe the capabilities of your solution / partner solution.</t>
  </si>
  <si>
    <t>Describe your analytics philosophy. Explain the types of analytics available for requisitioning. Example: leveraging user behavior patterns to improve the user experience, information that is presented contextually, type of dashboards, etc. Describe if there is any embedded analytics/predictive capability. Explain how the application supports “what if” scenario logic</t>
  </si>
  <si>
    <t>Please describe your approach for accurate conversion of units of measures, currencies and languages for multi-country usage purposes</t>
  </si>
  <si>
    <t>Describe your ability to handle multi-currencies and multi-languages for multi-country usage purposes as well as cross-border system integration and reconciliation. List and describe all (please be thorough if applicable).</t>
  </si>
  <si>
    <t>Describe what new features &amp; functionalities are in your e-requisitioning roadmap in the near future. In addition please describe specific capabilities of the key "sub" feature/functionality that are in the roadmap</t>
  </si>
  <si>
    <t>Describe how you configure / set up the ordering process for users and the degree of flexibility in the configuration. For example: order tolerance thresholds, allowing administrative changes for POs, allowing creation of POs from contracts, allowing a "one-time" ship-to address, enforcing single account allocation, enabling punchout commodity specialization, default taxable amounts (e.g., by commodity), requiring that orders containing non-standard Items must be sequenced for approval, disabling the auto-creation of revision for change request, etc.</t>
  </si>
  <si>
    <t xml:space="preserve">Describe your process and ability to create POs (including customizing PO design) from approved requisitions or when no requisition exists. Explain your ability to support multiple POs per requisition, combine multiple requisition lines to into a single PO, support multiple currencies and languages, route for approval based on business scenarios (e.g., automated inventory, contract, budget checking, etc.) Mention all types of POs supported (e.g. one-time, blanket/limit, and/or PO release as well as "call offs"). Explain other capabilities such as automatic PO creation based on business rules, a [reverse] 'flip' of an invoice to a purchase order (based on automated approvals), etc. Describe your ability to validate contract pricing against a PO, reassign a PO to a different vendor, etc. Describe your ability to process a PO created from an external system such as ERP, WMS, Work Management (e.g., field tickets), etc. For inventory orders, please describe how a pick list is created and an order is fulfilled. Describe how your solution provides intra-company purchase order capability. Describe if cXML ordering can be configured by the customer or if it requires a third-party (Is there any additional cost associated with enabling cXML?)
</t>
  </si>
  <si>
    <t>Please describe the mechanisms to insure contract compliance in both standard PO, specialized PO (e.g. blanket) and non-PO requisitioning models.</t>
  </si>
  <si>
    <t>Describe ability to extend PO collaboration through integrated third-party solutions (e.g., tax solution providers, customs/compliance/import solutions) to enable total landed cost and other scenarios</t>
  </si>
  <si>
    <t>Describe your ability to attach supporting documentation (e.g., statement of work, drawings, specifications, etc.) What level of document security is possible in your system for these attachment scenarios? Describe the system's approach to receive order response/acknowledgements, process changes/deletions, manage order status requests/responses via different transactional standards (e.g., EDI / XML) and a portal interface, manage disputes, generate audit trails, etc. Describe your ability to send a PO (including attachments) to an ERP environment</t>
  </si>
  <si>
    <t>Describe your communication process between buyers and suppliers. Explain your transmission methods (e.g., email, fax, cXML, EDI, web form, portal, network) and your ability to manage workflows and integrations to electronically communicate POs to suppliers, receive order response/acknowledgement, process changes/deletions, and manage order status requests/responses. If you take a network approach to PO and other document communication, please explain the approach and include supporting architecture documentation showing one-to-many, many-to-many, multi-tier and other specific connectivity models (or reference in more detail in the "network" tab). Please also describe any value-added services of this offering</t>
  </si>
  <si>
    <t>Describe your ability to capture and handle buyer/supplier interactions, manage workflows and integrations to enable buyer/supplier collaboration (receive orders, send responses/acknowledgements/requests, process changes/deletions, manage order status), manage disputes, audit trails, etc.</t>
  </si>
  <si>
    <t>Describe the supplier's ability to override PO information (e.g., quantities, delivery method, prices, etc.), add/delete items (swapping), communicate responses/acknowledgements/requests, manage disputes, show order status and the ability to approve orders on the line-level</t>
  </si>
  <si>
    <t>Describe your ability to integrate to relevant contingent labor systems (including VMS, VMS/MSP, SOW, freelancer management and specialized category solutions) and services providers for finding, selecting, and managing contingent labor, contractors and services categories (e.g., temporary labor, staffing resources, 1099 contractors, "gig" workers, etc.) Describe your ability to create a services PO compliant that is compliant with policies. Describe your ability to integrate service entry sheets with the ERP environment</t>
  </si>
  <si>
    <t>Explain if you support integrations to third party logistics firms and related third-party tools/providers for shipment documentation (e.g., customs declarations and manifests). Please specify capabilities here as well as partners used. Please also describe tax, tariff, harmonized code and other support considerations and partners (e.g., escrow, inventory finance, etc.)</t>
  </si>
  <si>
    <t>Describe the mobility features of your ordering process including integrated security capabilities for a mobile environment. If mobile is a differentiator for your solution, please explain why and how it stands out from others</t>
  </si>
  <si>
    <t>Describe the type of analytics available for ordering. Examples include: performance benchmarks, KPIs, full audit trail visibility, etc.</t>
  </si>
  <si>
    <t>Describe what new features &amp; functionalities are in your ordering roadmap in the near future. In addition please tell us what you think makes your solution "shine" in the ordering area, standing out from others -- today and tomorrow.</t>
  </si>
  <si>
    <t>Describe the key "set-up" steps for the receiving process and ability to support customized scenarios (e.g., enabling receipt of negative quantities, double-step receiving, validate receipt quantity, requiring a receipt vs. no receipt required, requiring end user receipts, allowing changes to suppliers, enable notification when no receipt exits, etc.)</t>
  </si>
  <si>
    <t>Describe your ability to process/communicate advanced ship notices (ASNs) and bills of lading (BOL) from suppliers (and BOL responses from buyer if needed) as well as other related documentation, if applicable</t>
  </si>
  <si>
    <t>Describe your receiving process. This may include support for configurable receiving functionality including desktop, centralized, hybrid receiving (multi-shipped / partial / bulk / decimals / allowances for open/blanket POs), receiving with inspection capability (returns management), flexible matching rules (and managing required documentation to complete a receipt), supplier barcode / RFID support, and integration, warehouse receipts, and asset receipting. Describe if your solution has the ability to enable both end user receiving and central receiving. Describe your ability to handle assets (e.g., track asset value/depreciation, track warranties, service schedules, configure asset attributes, etc.) Describe your ability to receive receipts by line items on orders. Describe how your solution receives an item into inventory. Does your solution allow for a user to receive via browser, email and mobile specific clients? If so, which ones?</t>
  </si>
  <si>
    <t>Describe your ability to integrate receiving activity to other needed processes such as ERS (where PO-receipt match can auto-generate the invoice), eInvoicing, eProcurement, and hosted inventory management (e.g., SMI/VMI, inventory collaboration, etc.). Please include customer use cases or documentation to show support for advanced scenarios (if applicable)</t>
  </si>
  <si>
    <t>Describe the mobility features of your receiving process including mobile-specific security components</t>
  </si>
  <si>
    <t>Describe the type of analytics available for your receiving process. Example: returns, performance benchmarks, KPIs, full audit trails, etc.</t>
  </si>
  <si>
    <t>Describe what new features &amp; functionalities are in your receiving roadmap in the near future. In addition please mention any feature/functionalities that we may have overlooked</t>
  </si>
  <si>
    <t>Describe your onboarding process for suppliers including the enablement process (e.g., training and approvals) and the maintenance process (updates/new required data). Please describe your methods and capabilities to manage the on-boarding process (e.g., third-party service support/help desk, managed service, web forms, portal templates, requirements and certifications, background checks, regulatory and reporting requirements, localized requirements, requirements for new suppliers in high risk countries, etc.) and to capture suppliers (buyer/supplier invitation, mass-market supplier on-boarding approach, etc.) Please describe your supplier integration capabilities with supplier systems. Please also note your workflow capabilities for supplier on-boarding as well as how you manage parent/child linkages as part of the process. If there is anything we have left out in this question (or this sheet) which makes your supplier onboarding approach different from others, please share these additional considerations and elements of your product or embedded solution/services. Please include typical examples of volumes of suppliers enabled in small, medium and large deployments (Describe typical timelines). Describe how much time it takes a supplier to register on a supplier network (include time required for their legal to review contracts / terms and conditions and, if applicable, associated fees?) . Describe how much time it takes to train a supplier on how to use the network. If you offer additional supplier enablement options, does this preclude the supplier from using the standard supplier network functions?.</t>
  </si>
  <si>
    <t>Describe how you maintain supplier information being current, compliant (and of course accurate!) Explain how you establish data privacy when it comes to storing sensitive individual information (such as tax IDs for sole proprietors), and issues as transparency &amp; auditability. Explain how you manage supplier financial and risk assessments, background checks, regulatory and reporting requirements, localized requirements, requirements for new suppliers in high risk countries, etc. Explain your workflow capabilities for supplier information management and how these are tied into your overall P2P capabilities. Also explain any many-to-many or one-to-many information capture approaches and how data that is managed via the network can be augmented for individual buy-side customers with specific information requirements</t>
  </si>
  <si>
    <t>Describe how you ensure supplier contract compliance and linkages with suite-based and third-party contract management systems. Describe your mechanisms to monitor, evaluate, report and improve supplier performance. How do you monitor supply risks on a continuous basis via the network. Do you integrate with 3rd party solutions to evaluate supplier risk?</t>
  </si>
  <si>
    <t>Describe which catalog management capabilities can be executed from the portal (and which cannot)</t>
  </si>
  <si>
    <t>Describe which order management capabilities can be executed from the portal (and which cannot)</t>
  </si>
  <si>
    <t>Describe which invoicing components can be executed from the portal (and which cannot). If suppliers have multiple customers on the network, can they see all related invoicing (and associated trade documents) through a single log-on?</t>
  </si>
  <si>
    <t>Describe any network-based value-added services. These could include "network-based" transactional intelligence (e.g., the network 'learns' how to convert OCR'd supplier PDFs for small suppliers). Additional capabilities could include member-driven benchmarking, template-development, industry-specific frameworks / standards, supplier search/matching based on RFI/RFP requirements, etc. Do you provide a simplified process for collaboration/document exchange with low-volume or one-off suppliers that captures and manages all relevant information?</t>
  </si>
  <si>
    <t>Describe how your customers have connected to different intermediaries via your network (e.g., third-party EDI hubs, supplier networks, etc.). Which ones? How do you manage standards, data persistence (which standard) and any fee considerations associated with third-party connectivity integrations?. For global deployments, describe how you enable customers to use a single or multiple supplier networks for connectivity. If multiple supplier networks will be used, how will integration between the supplier networks be handled?</t>
  </si>
  <si>
    <t>Do you have to be on the portal to transact and collaborate? . Can suppliers receive an order, add comments, ○ Acknowledge and create a legally compliant invoice via email … with NO Portal Registration. For transmission methods such as EDI, cXML does the vendor have to be on the portal/network, or can they connect directly to the customer P2P instance with no portal connection?.</t>
  </si>
  <si>
    <t xml:space="preserve">Describe your approach to customized P2P configuration as well as both basic and advanced configuration scenarios. Approaches could be based on users, departments, commodities, roles, content groups, approval steps, delegated approvals, units of measure, custom fields, accounts, chart of accounts, invoice tolerances, receiving tolerances, budget periods, payment terms, etc. Describe if there is a limit to the number of configurations included (e.g., # of fields, forms etc). If so, what is the limit?. Describe how your solution supports both single and multiple chart of accounts/accounting structure (e.g., SAP, Oracle, Lawson, etc.). Describe the process for configuring custom fields/web forms (What are the limitations/constraints in terms of what can be enabled?)
</t>
  </si>
  <si>
    <t>Describe the elements available to configure business rules. Describe your competitive differentiators based on business rules configurability, visual workflow components, etc. Are the rules/workflow capability native to your platform or licensed (if the latter, which technologies are embedded?)</t>
  </si>
  <si>
    <t>Please describe in detail (self score not needed)</t>
  </si>
  <si>
    <t>Describe your ability to enable self-service configurable by a customer business-level administrator (e.g., no development/coding/pseudo-coding skills required). Describe the extent to which a business-user can configure the system (vs. a system analyst or other technical resource -- or vendor/consulting expert resource)</t>
  </si>
  <si>
    <t>Describe your ability to enable self-service configurable by an in-house technical resource (e.g., limited development/coding/pseudo-coding skills required). Describe the extent to which a technical-user can configure the system without external (vendor or consultant) expertise</t>
  </si>
  <si>
    <t>Is a vendor or trained consultant required for certain or all configurations? if so what are typical turnaround times and costs (hourly FTE) associated with this work?</t>
  </si>
  <si>
    <t>What percentage of your deployments include code-level customization? If applicable, please describe the types of customizations that you have enabled?</t>
  </si>
  <si>
    <t xml:space="preserve">Please describe your cloud architecture (e.g., single-instance multi-tenant application run on a 'virtualized' and elastic platform).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
</t>
  </si>
  <si>
    <t>Explain the use of robotics technology, embedded AI/machine learning capability, etc. What is in your roadmap in these areas? Do you employ data scientists on staff? If so, please describe your team and its credentials</t>
  </si>
  <si>
    <t>Explain the use of big data technology (e.g., business intelligence, customer data integration approaches, real-time "hubs", artificial Intelligence, etc. Please describe the experience and credentials of your analytics team</t>
  </si>
  <si>
    <t>1 = limited, email-like approvals and simple request views only for the buyer. 2 = decent - event status and data viewing, simple reports, and commenting for the buyer and invitation viewing, issue notification, and bidding for the supplier. 3 = extensive (i.e., pretty much any data that can be viewed/entered on a mobile device can be viewed/entered). 4 = where you have found novel ways to do more with mobile than their peers (e.g., full mobile-enabled chat infrastructure that can capture requests and input via chat)</t>
  </si>
  <si>
    <t>Explain the use of IoT technology within your solutions (if used) and your IoT roadmap (if applicable)</t>
  </si>
  <si>
    <t>Explain the use of conversational technology within your solutions in such areas as user-initiated help requests, guided buying, etc. Please describe your roadmap in this area</t>
  </si>
  <si>
    <t>Describe your support for open standards, particularly surrounding document/data standards (e.g. PIDX). How this has been developed / implemented? Are you working with / driving any standards-body initiatives? Do you provide a platform that enables others to develop or co-develop capabilities? Do you provide a platform for supplier to integate their financial and accounting systems through a standards-driven environment?</t>
  </si>
  <si>
    <t>Describe typical (and atypical) system integration options.Describe how the provider handles multiple instances. For example, if an organization has multiple ERPs but wants a shared eProcurement deployment, do you typically deploy a single instance of your software for them, or typically multiple instances? Describe how this works in practice</t>
  </si>
  <si>
    <t>Describe your ability to natively (or through partners) aggregate, cleanse, classify, enrich, and harmonize existing data to make it timely and accurate to drive sourcing, category managment and transactional procurement efforts. Describe existing abilities to also validate data against external sources (tax authorities, prohibited/denied parties lists, certifying ISO authorities, etc.)</t>
  </si>
  <si>
    <t>Describe the key "set-up" components and capability of the invoice receiving process "out-of-the-box" on a configuration basis. These could include: auto-matching method/approach, auto PO closeout capabilities, voucher tolerance, ability to update received quantity upon approval, send notification to requisitioner when invoice is created, enable price tolerance exceptions, enable receipt quantity exceptions, allow line item description edit, enable do not edit payment information, account allocations, enable invoice extract, enable standards as cXML/UBL/PEPPOL -- via administrative interface, supplier portal (configuration), etc.</t>
  </si>
  <si>
    <t>Describe your ability to capture and create invoices (e.g., PO Flip model / Non PO invoice) or generate an automated recurring invoice. Share your capabilities and approach to support the following or related scenarios: using a public or private supplier network (or portal) inclusive of invoice capture capabilities (e.g., PO flip, e-form capturing, file uploading), using a web XML template to capture invoice data, using an EDI model for B2B integration purposes including but not limited to invoice-related documents, OCR approaches to convert paper (or email PDF) into e-invoices with the inclusion of a data validation process as well as manual processes to handle paper invoices (Provide Service Level Agreements and quality commitments). Describe any intelligent data capture approaches for paper invoices and your ability to support an internal or third-party managed mailroom approach (e.g., to manage incoming invoices in cases where paper will still be involved for small suppliers), etc. Describe any unique capabilities of your approach and solution if we have missed any components that you think are important to your differentiation/approach for invoice creation/capture</t>
  </si>
  <si>
    <t>Is your solution capable of handling an invoice created directly from a contract? Describe your capability for matching an invoice against a contract and handling rule(s)-based exceptions. Does your solution provide a collaborative environment to manage services invoicing? Describe your ability to match POs and service-entry-sheets against a service invoice for exceptions and resolution</t>
  </si>
  <si>
    <t>Describe your ability to support collaboration between suppliers and internal stakeholders. These capabilities might include: response to suppliers, add/change/delete communications, invoice status inquiry/response, voucher communications, credit/debit memo communications, exception handling, remittance advice, dispute resolution and related collaboration requests. If there are any specific “tools” involved in collaboration, such as on-line chat capabilities or specific workflow solutions, please explain these components. Describe your ability to add people to a discussion on a specific document</t>
  </si>
  <si>
    <t>Describe your solution's capability to match an invoice (e.g., to a purchase order or a payment plan against specified criteria). These matching elements might include goods receipts and other specified criteria (flexibility to control 2- and 3-way match by supplier or spend type, match invoice lines against purchase order lines, etc.) Describe your ability to perform rules-based invoice validation based on business rules (e.g., tolerances, partial payments, etc.) and other commercial rules (e.g. currency conversions, rounding rules, and multi-authority tax calculations). Explain how you enable STP / touchless processing. Specify any value-added partners (e.g., tax calculation solutions).Describe your ability to capture, share, and store buyer/supplier interactions pertaining to commercial/invoicing disputes (e.g., audited threaded discussions). Describe your approval workflow capabilities (e.g., incorporating existing internal approval limits and organizational hierarchies, providing an escalation process when an invoice approver fails to approve the invoice in a designated time period (etc.) Provide examples of the most complex rules scenarios that you are supporting today</t>
  </si>
  <si>
    <t>Describe your e-invoicing solution integration with your end-to-end P2P and related system processes. Examples might include: eProcurement (center on incorporating the PO with the invoice and enabling a two-way (or three-way) match, as well as simplifying a supplier’s receivables processes); account payables and accounting (e.g., facilitating the invoice payment process and insuring an accurate invoice-payment reconciliation process), a shared service organization (AP proccessing), inventory and warehouse management (e.g., facilitating a three-way (or n-tier) matching processes before payment by incorporating goods receipt and potentially other document types and signals into the mix); master data (e.g., supporting accurate data and avoiding data silos), and business intelligence (to provide real-time insights), etc. Describe your overall integration model approach and options (e.g., published APIs, integration partnerships, PaaS/stack-based, etc.)</t>
  </si>
  <si>
    <t>Describe your ability to ensure compliance with the regulations of the tax authorities of specific countries (e.g., validated invoices, VAT compliance, digital signatures, electronic documentation and fiscal/accounting reporting, correct calculation and recording of taxes, archiving, etc.). Mention your country roadmap in terms of compliance (including which countries you can enable legal archiving). Mention where are your processing centers (Data Privacy/Data Protection) your commitments and SLA (including where you´ve subcontractors) Please focus on describing your support scenarios and capability beyond what Trustweaver offers to all providers in the sector. Describe how you incorporate trade regulations (e.g., import tariffs, harmonized code calculations, etc.) into the solution. Mention your actual certifications (ISAE 3402, ISO27001, NIST, other) if applicable in meeting internal compliance requirements explain your general approach to matching (e.g., 3-way), contract and price compliance, incorporation of related commercial data, updating information in third-party solutions, etc. Also describe your integration approach to drive business reporting in third-party systems in areas of tax, accounting, etc. as well as insuring internal and external auditing requirements (e.g., evidence/traceability, system and processing logs, e-invoice archives, etc.)</t>
  </si>
  <si>
    <t>Describe the mobility features of your invoicing process including support for mobile-specific security. For example: do you offer a mobile-specific solution to view an invoice, provide dynamic reporting based on location and other factors; how do you support mobile collaboration scenarios? Please describe any mobile specific differentiators of your solution that you believe that we may have left out</t>
  </si>
  <si>
    <t>Describe your ability to analyze invoice data (in depth and in real time) to acknowledge data quality issues, support sourcing/event/opportunity identification analytics, identify buying behaviors, enable forecasting, supporting audit trails, driving benchmarks analyses, offering finance options for supplier, etc. How does your analytics approach identify savings opportunities (cost avoidance and tax reporting, including tax recovery), show transaction-based metrics (e.g., cost per invoice processed, invoice growth rate, invoices paid without POs, invoices in dispute or invoices rejected, etc.) Describe your ability to configure an analytic dashboard and ability to take quick action at an invoice level. Please describe if your analytics approach is differentiated in ways we have not discussed. Also please describe if you offer broader spend classification, enrichment and validation capability as well as options for visualization (e.g., native BI, third-party BI) and drill-down (e.g., via a cube-based environment)</t>
  </si>
  <si>
    <t>Describe what new features &amp; functionalities are in your e-invoicing roadmap in the near future. In addition please mention any feature/functionality that we might have overlooked which you believe is material to your solution differentiation today and tomorrow</t>
  </si>
  <si>
    <t>Describe your payment methods/approaches. For example, this could include integration with an accounts payable ERP module (which would take control of the payment process post-approval), integration with p-card/v-card providers and integration with banks or third-party payment solutions</t>
  </si>
  <si>
    <t>Describe how you enable visibility into payment status. This description should include (if applicable) the ability to support cross-border scenarios involving payment in different currencies and the ability to perform payment plans within business rules (e.g., for recurring invoices corresponding to master contracts without a PO involved / a self-billing payment plan without supplier first sending an invoice). Explain your abilitiy to drive touchless processing. Describe your ability to handle advance payments. Describe your ability to manage invoices from suppliers under these circumstances for invoice validation and payment processing</t>
  </si>
  <si>
    <t>Describe how you support payment cards / virtual cards - single use- (and any partnerships, if applicable), including reconciliation, reporting and visibility (pre-integrated into the solution). If there is card integration into a native T&amp;E module which you support, please describe</t>
  </si>
  <si>
    <t>Describe any additional on-boarding support (e.g., KYC or SCF legal frameworks) for trade financing outside of standard network/invoicing on-boarding</t>
  </si>
  <si>
    <t>Describe the different options you offer for supporting balance and non-balance sheet funded trade financing options and whether these are periodic or recurring (supplier "opt-in"). Please attach detailed documentation in support of these capabilities and provide customer examples for different financing options. Supported capability (please provide details on all relevant capabilities and models) may include: invoice discounting/dynamic discounting, dynamic payment terms, reverse factoring (approved trade payables financing / SCF), factoring, inventory finance programs, card-based financing programs, hybrid programs. Please note if your technology supports financing automation (e.g., supplier opt-in per certain requirements/constraints/matches). Please list all third-party technology, finance, trade credit, trade insurance and related partnerships and also support in specific countries (if applicable) outside North America; are financing options tied to a single bank or non-bank financing institution or multiple providers. Please describe your current financing volume levels and committed facilities (by third parties). Please also list committed facility examples in balance sheet funded programs and the number of balance sheet-funded programs in operation with at least $1MM (average) in funding over the past 6 months. Please describe typical APRs offered to suppliers by supplier tier and "uptake" on financing offers to date. Please describe your payment offerings/partnership and number of customers supported via these payment integrations (if applicable) not already described above. Please describe (in the case of third-party funding) any type of rebate mechanism and/or the ability to contribute to funding via a special purpose or other vehicle. What do typical economics of these structures look like?</t>
  </si>
  <si>
    <t>Describe your ability to support collaboration between buyers, suppliers and third-parties (if applicable) for negotiation / remediation purposes in the case of standard discounting or recourse arrangements</t>
  </si>
  <si>
    <t>Describe any financing-specific analytics (for buyers and suppliers). These could include dashboards and analytical environments to support working capital analysis, working capital requirements, available cash (by geography or P&amp;L), rebate structures/visibility, etc.</t>
  </si>
  <si>
    <t>1 PHP code with limited formalized processes, development standards; 2 standard Java / C# stack with generally acceptable MVC separation; 3 fully normalized Java / C# stack with multi-database and multi-view layer support for scalability and back up and for extensive desktop and mobile interface support; 4 would include capability beyond which is previously addressed (but including 1-3)</t>
  </si>
  <si>
    <t>How extensive is the charting and graphing capability? Is it basic pie charts, bar charts, and other standard Excel fare, or does it support treemaps, scheniderman diagrams, extensive, modern, 3D graph capabilities, and so on?</t>
  </si>
  <si>
    <t>Describe the extent of your ETL, cleansing, classification, and categorization data services. Describe the expertise that you have here, the industries you are experienced in, and the categories you specialize in. Describe your average mapping accuracy after a first pass before the first client input and how long (and how many man-hours) it takes to get to 90%, 95%, and 99% accuracy. How do you work in "new industries" or new categories? How should accuracy expectations change with new clients in new markets?</t>
  </si>
  <si>
    <t>If not already covered elsewhere in your submission, please describe your support for multi-tier data gathering and data management. Does the data model natively support multi-tier data gathering and management requirements? If so, is this limited to specific areas (e.g., supplier diversity) or is it broadly extensible?</t>
  </si>
  <si>
    <t>0 = no intent beyond suppliers. 1 = theoretical ability to handle, but no associated customer facing or employee facing functionality or data model. 2 = specific focus on different enterprise contract types and associated functionality (e.g., tying sales contracts into CRM). 3 = ability to model complex scenarios relating different contract types and counterparty roles in the value chain (e.g., tying purchase contracts to related sales contracts). 4 = focus on all contract types, stakeholders (e.g., legal, outsourced staff, partners), and domain specific enterprise CLM functionality</t>
  </si>
  <si>
    <t>Complex pricing. Ability to natively model volume discounts, rebates, penalties, formula-based amounts (e.g., performance based fees), non-price costs, etc.</t>
  </si>
  <si>
    <t>Ability to model risk types/metadata at contract level</t>
  </si>
  <si>
    <t>Modeling of financial status/impact of contracts. (spend analysis tied to contracts is not included here)</t>
  </si>
  <si>
    <t>Large projects can have many contracts. And large contracts can have many projects. Projects and contracts can have sub-projects and sub-contracts respectively. So, CLM software must help align contracts to projects. So, how robust is the project modeling and management from a CLM standpoint?</t>
  </si>
  <si>
    <t>Ability to model and track the assets (and utilization/performance of those assets) that contractually drive pricing. Could be software licenses, fuel surcharges, physical asset uptimes, etc.</t>
  </si>
  <si>
    <t>Obligations are contractual commitments made within provisions set forth in contract clauses. They reflect not just financial obligations, but also who is responsible for what operational commitments. So, how well does the CLM system model, capture, and monitor these obligations (especially financial)?</t>
  </si>
  <si>
    <t>What is the capability provided to be alerted to upcoming renewals, but also be alerted (with escalations) to contract risk/non-compliance events?</t>
  </si>
  <si>
    <t>0 = none. 1 = rule based training. 2 = rule based classification combined with provider specific knowledge base. Also, ability to have rule-based to map different clause taxonomies/language (e.g., in case of M&amp;A / holding companies). 3 = addition of fuzzy logic and basic machine learning to improve accuracy. 4 = provider proprietary knowledge bases/models and more advanced machine learning (e.g., also usable within other contract analytics in the solution)</t>
  </si>
  <si>
    <t>To what extent does the platform support contract creation starting from upstream E-Sourcing (eRFx)?</t>
  </si>
  <si>
    <t>1 = create your own contract and develop addendum to supplier paper (attachment). 2 = use you legacy contract conversion capabilities on a supplier PDF to bring into your system and convert to your paper in CLM app. 3 = convert, but auto-classify and analyze using clause level contract analytics (to lessen effort) and then use e-redlining. 4 = Additional innovations (e.g., provider knowledge based trained on frequently used mega provider contracts such as Microsoft licensing)</t>
  </si>
  <si>
    <t>Use generic scoring. Please describe supporting details in 'comments' field. Note any particular innovations that you feel differentiate you here.</t>
  </si>
  <si>
    <t>0 = none (users need to find closest match template on their own). 1 = form builder and workflow is used to construct workflow that pulls up designated contract template for a certain contract/spend/supplier type. 2 = vanilla functionality is available here to build workflow that builds up contract from clauses (not just template). 3 = use of configurator and even basic machine learning to help design simplest decision tree. 4 = use of AI or other advanced technology to develop a contracting "bot" to guided optimal contracting</t>
  </si>
  <si>
    <t>0 = nothing. 1 = integration capabilities to export into downstream systems. 2 = bi-directional integration and also workflow to ensure that contract has been implemented properly. 3 = functionality and methodology to set in place all downstream contract monitoring processes, roles, alerts, etc. 4 = Advanced functionality beyond 1-3.</t>
  </si>
  <si>
    <t>0 = none. 1 = ability to set dates and alerts for deliverables and against SLAs/targets; query capabilities to match payments to contracts; simple scorecard. 2 = robust integration framework for automated performance collection; stakeholder survey collection &amp; scoring; graphical scorecards. 3 = rules-based and predictive analytics to identify/predict non-compliance; integration into corrective action workflows and projects; integration with supplier/partner scorecards. 4 = advanced functionality beyond 1-3</t>
  </si>
  <si>
    <t>Ability to measure and monitor financial aspects of the contract. To what extent can financial impacts of the contract be modeled beyond just a single contract value field?</t>
  </si>
  <si>
    <t>0 = none. 1 = reporting of TCV, ACV, and expended budget. 2 = tracking discounts, penalties, rebates, claims, budget burn rate, performance to market (e.g., commodity pricing), total cost (e.g., insurance costs associated with contract), etc. 3 = ability to estimate/plan contract financials and actions: CV renewals; CV at risk; "cost of risk" analysis, trend analysis of pending non-compliance (weighted by financial impact), etc. 4 = Advanced functionality beyond 1-3</t>
  </si>
  <si>
    <t>How deep is the corrective action management / corrective action resolution capability in the product? How deep is the collaborative dispute resolution functionality? Please describe the ability to manage the process of mitigating non-compliance, poor performance, and other performance issues if not already covered</t>
  </si>
  <si>
    <t>*Not numerically self-scored. Please list the out-of-the box reporting that you provide for the supported roles in your system with regards to the contracting process. This isn't a list of report names, but rather the types of reporting that you have -- e.g., status (e.g., pending, active, overdue), throughput, cycle time, on-time delivery, pending renewals, rework, etc.</t>
  </si>
  <si>
    <t>*Not numerically self-scored. Please indicate the analytics that you provide to support the performance health and risk of your commercial relationships through the lens of your contract information. This includes risk analytics, compliance analytics, SLA analytics; complexity analysis (e.g., variability of terms); best practices adoption analytics, etc. Feel free to discuss machine learning, but this is also covered in the "Technology" tab as well</t>
  </si>
  <si>
    <t>What content/info/knowledge exists that powers yours solution beyond traditional feature/function? e.g., clause/risk ontology; AI trained knowledge base for contract analytics; automated best practice; etc.</t>
  </si>
  <si>
    <t>1 = PHP code with limited formalized processes, development standards. 2 = standard Java / C# stack with generally acceptable MVC separation. 3 = fully normalized Java / C# stack with multi-database and multi-view layer support for scalability and back up and for extensive desktop and mobile interface support. 4 = would include capability beyond which is previously addressed (but including 1-3)</t>
  </si>
  <si>
    <t>Generally, describe your information security approach. Specifically, are you ISO certified (27001) and do you support encryption (including encryption at rest)?</t>
  </si>
  <si>
    <t>Who hosts your servers and runs your data centers? If third party (assuming so!), who is it? If multiple, can IaaS providers be switched?</t>
  </si>
  <si>
    <t>Please describe any general or targeted support service (included but not limited to implementation, integration, customization, configuraiton, etc.) you provide in support of your CLM technology</t>
  </si>
  <si>
    <t>CateogryID</t>
  </si>
  <si>
    <t>CategoryAcronym</t>
  </si>
  <si>
    <t>CategoryName</t>
  </si>
  <si>
    <t>ePRO</t>
  </si>
  <si>
    <t>eProcurement</t>
  </si>
  <si>
    <t>I2P</t>
  </si>
  <si>
    <t>Invoice to Pay</t>
  </si>
  <si>
    <t>Procure to Pay</t>
  </si>
  <si>
    <t>Sourcing</t>
  </si>
  <si>
    <t>SA</t>
  </si>
  <si>
    <t>SpendAnalytics</t>
  </si>
  <si>
    <t>Supplier Relationship Management</t>
  </si>
  <si>
    <t>CLM</t>
  </si>
  <si>
    <t>Conctract Lyfecicle Management</t>
  </si>
  <si>
    <t>SubcatID</t>
  </si>
  <si>
    <t>We have changed Out-Of-the-box (first one in, Sourcing, Execution) for "Out-of-the-Box Scorecards", 4-18-368 because there were two elements with the same name in the same subcategory and it produced the same scse</t>
  </si>
  <si>
    <t>scse</t>
  </si>
  <si>
    <t>NewSpecification</t>
  </si>
  <si>
    <t>New ExampleScoring</t>
  </si>
  <si>
    <t>VendorID</t>
  </si>
  <si>
    <t>VendorName</t>
  </si>
  <si>
    <t>ParentVendorID</t>
  </si>
  <si>
    <t>VendorWeight</t>
  </si>
  <si>
    <t>1. BravoSolution</t>
  </si>
  <si>
    <t>2. Determine</t>
  </si>
  <si>
    <t>3. GEP</t>
  </si>
  <si>
    <t>4. iValua</t>
  </si>
  <si>
    <t>5. Jaggaer</t>
  </si>
  <si>
    <t>6. SAP Ariba</t>
  </si>
  <si>
    <t>7. Sievo</t>
  </si>
  <si>
    <t>8. Spendency</t>
  </si>
  <si>
    <t>9. SpendHQ</t>
  </si>
  <si>
    <t>10. Zycus</t>
  </si>
  <si>
    <t>11. AnyData</t>
  </si>
  <si>
    <t>BravoSolution</t>
  </si>
  <si>
    <t>Determine</t>
  </si>
  <si>
    <t>GEP</t>
  </si>
  <si>
    <t>iValua</t>
  </si>
  <si>
    <t>Jaggaer</t>
  </si>
  <si>
    <t>SAP Ariba</t>
  </si>
  <si>
    <t>Sievo</t>
  </si>
  <si>
    <t>Spendency</t>
  </si>
  <si>
    <t>SpendHQ</t>
  </si>
  <si>
    <t>Zycus</t>
  </si>
  <si>
    <t>AnyData</t>
  </si>
  <si>
    <t>Jaggaer Group</t>
  </si>
  <si>
    <t>ParentName</t>
  </si>
  <si>
    <t>PersonaID</t>
  </si>
  <si>
    <t>PersonaName</t>
  </si>
  <si>
    <t>PersonaDescription</t>
  </si>
  <si>
    <t>NIMBLE</t>
  </si>
  <si>
    <t>DEEP</t>
  </si>
  <si>
    <t>TURN-KEY</t>
  </si>
  <si>
    <t>CONFIGURATOR</t>
  </si>
  <si>
    <t>CIO-FRIENDLY</t>
  </si>
  <si>
    <t>RFI_ID</t>
  </si>
  <si>
    <t>SuiteCatID</t>
  </si>
  <si>
    <t>Quarter</t>
  </si>
  <si>
    <t>Year</t>
  </si>
  <si>
    <t>InviteDate</t>
  </si>
  <si>
    <t>WhisedScore1</t>
  </si>
  <si>
    <t>Argument1</t>
  </si>
  <si>
    <t>ProvScore</t>
  </si>
  <si>
    <t>Feedback1</t>
  </si>
  <si>
    <t>Analyst1_ID</t>
  </si>
  <si>
    <t>WishedScore2</t>
  </si>
  <si>
    <t>Argument2</t>
  </si>
  <si>
    <t>Feedback2</t>
  </si>
  <si>
    <t>Analyst2_ID</t>
  </si>
  <si>
    <t>Status</t>
  </si>
  <si>
    <t>RFIelement_ID</t>
  </si>
  <si>
    <t>SMscoreID</t>
  </si>
  <si>
    <t>SMscore</t>
  </si>
  <si>
    <t>RFIelementID</t>
  </si>
  <si>
    <t>Persona</t>
  </si>
  <si>
    <t>Weight</t>
  </si>
  <si>
    <t>AnalystID</t>
  </si>
  <si>
    <t>ReasonForChange</t>
  </si>
  <si>
    <t>Opera BIQ</t>
  </si>
  <si>
    <t>Simfoni</t>
  </si>
  <si>
    <t>Synertrade</t>
  </si>
  <si>
    <t>Completed</t>
  </si>
  <si>
    <t>Smscores table</t>
  </si>
  <si>
    <t>LastVersion should be Not Null</t>
  </si>
  <si>
    <t>Version should disappear and use UpdateDate (in many more tables as well)</t>
  </si>
  <si>
    <t>12. Opera BIQ</t>
  </si>
  <si>
    <t>13. Simfoni</t>
  </si>
  <si>
    <t>14. Synertrade</t>
  </si>
  <si>
    <t>AVG</t>
  </si>
  <si>
    <t>AVERAGE</t>
  </si>
  <si>
    <t>RFI Sourcing Evaluation - Summary</t>
  </si>
  <si>
    <t>Average Score</t>
  </si>
  <si>
    <t>Evaluation Details</t>
  </si>
  <si>
    <t>Average</t>
  </si>
  <si>
    <t>Customer´s Survey</t>
  </si>
  <si>
    <t>5's</t>
  </si>
  <si>
    <t>TOTAL</t>
  </si>
  <si>
    <t>4's</t>
  </si>
  <si>
    <t>3's</t>
  </si>
  <si>
    <t>2's</t>
  </si>
  <si>
    <t>1's</t>
  </si>
  <si>
    <t>0's</t>
  </si>
  <si>
    <t>Recommend this provider</t>
  </si>
  <si>
    <t>Level of value perceived</t>
  </si>
  <si>
    <t>As a technology/solution provider</t>
  </si>
  <si>
    <t>Meet the expectations</t>
  </si>
  <si>
    <t>Pricing / affordability</t>
  </si>
  <si>
    <t>Quick deployment</t>
  </si>
  <si>
    <t>Maximize Savings</t>
  </si>
  <si>
    <t>-</t>
  </si>
  <si>
    <t>Maximize spend under management</t>
  </si>
  <si>
    <t>ROI</t>
  </si>
  <si>
    <t>TCO</t>
  </si>
  <si>
    <t>Business value</t>
  </si>
  <si>
    <t>Supplier network</t>
  </si>
  <si>
    <t>End user experience / ease of use</t>
  </si>
  <si>
    <t>Unique Capabilities</t>
  </si>
  <si>
    <t>Process expertise</t>
  </si>
  <si>
    <t>Compliance expertise</t>
  </si>
  <si>
    <t>Best fit for corss-functional needs (legal, supply chain…)</t>
  </si>
  <si>
    <t>Category depth/support</t>
  </si>
  <si>
    <t>Industry expertise</t>
  </si>
  <si>
    <t>Modular capability/feature/functionality (SPT)</t>
  </si>
  <si>
    <t>Broader suite capability</t>
  </si>
  <si>
    <t>Innovation</t>
  </si>
  <si>
    <t>Ability to handle our unique needs</t>
  </si>
  <si>
    <t>Systems integration</t>
  </si>
  <si>
    <t>Vendor</t>
  </si>
  <si>
    <t>Last version used: 10-5-17 3.00pm</t>
  </si>
  <si>
    <t>0-1 Scale</t>
  </si>
  <si>
    <t>WEIGHTS</t>
  </si>
  <si>
    <t>Weights Summary</t>
  </si>
  <si>
    <t>Customer's Score</t>
  </si>
  <si>
    <t>Weight Details</t>
  </si>
  <si>
    <t>Best fit for cross-functional needs (legal, supply chain…)</t>
  </si>
  <si>
    <t>scseID 444 (Advance Analytics, SA), consult with Michael if this is an element or a class</t>
  </si>
  <si>
    <t>SuiteName</t>
  </si>
  <si>
    <t>SuiteAcronym</t>
  </si>
  <si>
    <t>Strategic Procurement Technologies</t>
  </si>
  <si>
    <t>SPT</t>
  </si>
  <si>
    <t>N</t>
  </si>
  <si>
    <t>One-Sheets of SuiteCatSubElem_Version, I put N but it has to be done. Also we have to add One-Sheet to the SuiteCatSub table, since a subcategory (average of it) can also appear in the One-Sheets</t>
  </si>
  <si>
    <t>ClassID needs to be done in SuiteCatSubElem_Version</t>
  </si>
  <si>
    <t>Does the platform facilitate the onboarding of new suppliers? Are multi-channel onboarding events supported across categories, industries, and geographies? Is there any supplier network support?</t>
  </si>
  <si>
    <t>48, 185</t>
  </si>
  <si>
    <t>272. 591</t>
  </si>
  <si>
    <t>Describe the elements, and extent of, workflow configuration across the modules and functionality and any integrated third party applications. Be sure to describe your competitive differentiators including, but not limited to, depth of configurability, breadth of configurability, and visual component manipulation. Is the rules/workflow capability native to your platform or is it a licensed third party capability?</t>
  </si>
  <si>
    <t>Changes made in variantID</t>
  </si>
  <si>
    <t>471, 574, 645</t>
  </si>
  <si>
    <t>Explain the use of mobile technology within your solutions overall and your roadmap for future mobile adoption. Please highlight how you support mobile users (e.g., responsive design to work across all devices or mobile app for basic functionality like approvals). What percentage of system interactions today are driven by mobile clients? What do you forecast for the next 12 months? 24 months?</t>
  </si>
  <si>
    <t>Describe typical (and atypical) system integration options. Describe how the platform and service provider handles multiple instances. For example, if an organization has multiple ERPs but wants a shared Procurement/Sourcing/Analytics/etc. deployment, do you typically deploy a single instance of your software for them, or typically multiple instances? Describe any integrations not addressed below.</t>
  </si>
  <si>
    <t>353, 606</t>
  </si>
  <si>
    <t>Does the tool support prescriptive analytics that can analyze current market conditions, organizational demands, and projected trends and guide the user into the identification of an appropriate category for sourcing and/or the selection of the appropriate sourcing event type and template among multiple built-in options built by industry experts? Can it assist with demand management? Lean Process Improvements? To what extent? Please describe.</t>
  </si>
  <si>
    <t>Does the platform support the calculation and/or integration of benchmarks? Can these benchmarks be used to support the calculation of overhead / internal production costs not easily obtainable from market data? Can they be performance based as well as cost based? If so, describe the type (industry, category, performance, etc.) and the extent?</t>
  </si>
  <si>
    <t>Does the tool support bill of materials capabilities for direct sourcing? And can the bill of materials be imported from ERP/MRP solutions? Is the capability built on "lots" or is it separate from lots?</t>
  </si>
  <si>
    <t>1 a "lot" can be treated as a bill of materials; 2 basic bill of material support, where bills of material can be grouped into lots; 3 basic should cost model integration where the bill is a product or assembly and energy, labor, and overhead costs can be broken out; 4 automatic cost population from market data, etc.</t>
  </si>
  <si>
    <t>To what degree is invitation management, possibly as part of supplier onboarding campaigns, in particular supported? Can campaigns be set-up for easy supplier response? Can invitations be sent out over multiple channels? Can they be automatically resent as reminders? Can buyers be notified when a supplier has seen or responded? Can the buyer controll the onboarding of the suppliers at every distinct, logical, step?</t>
  </si>
  <si>
    <t>Does the platform support, and how extensible is, the supplier self-registration process? Does it support conditional workflows that lead the supplier down the appropriate paths to capture the relevant information, documentation, certifications, and customer/industry references?</t>
  </si>
  <si>
    <t>Does the tool support ERP integration out-of-the-box (with ERP systems such as Oracle, SAP, JDE, etc.) for populating lots and bill of materials?</t>
  </si>
  <si>
    <t>oldvariantID</t>
  </si>
  <si>
    <t>newvariantID</t>
  </si>
  <si>
    <t>Does the tool come with a built-in report builder that allows end-users to create the reports they want on the data they want, regardless of the source of such data? Can it work on all data elements? How extensible is it? Please describe, and focus on any competitive differentiators.</t>
  </si>
  <si>
    <t>Does the tool support integrated real-time (group) messaging between all parties with compete archival, audit trails, and indexing for association with different data elements and platform functionality?</t>
  </si>
  <si>
    <t>What is the extent of event monitoring in the platform? Is it limited to external data feed integration, or does it support semantic monitoring of news sources? What about sentiment analysis and third party evaluations and projections? Are the technologies embedded or integrated 3rd party platforms (through APIs). To what extent, if any, is risk monitoring supported?</t>
  </si>
  <si>
    <t>Explain the use of OCR/Scanning technology within your solutions (if used) and roadmap plans. Focus on the ability to covert data to semi-structured and structured data that can be normalized, cleansed, categorized, enriched, and used for workflow management and/or new types of analytics previously unavailable to the business.</t>
  </si>
  <si>
    <t>Exception that had the same VariantID but different element name</t>
  </si>
  <si>
    <t>The element 'Managed Services' (Sourcing, scseID 407)was deleted, now we will use 'Managed Services / Co-Sourcing / Outsourcing' instead</t>
  </si>
  <si>
    <t>Does the platform support the definition of KPIs that can be used and re-used as needed in the creation of scorecards? Can they be defined formulaically on data elements or are they simply preselected / single value (populated from an external source)?</t>
  </si>
  <si>
    <t>(248 is empty now, and the scseID 364 took it)</t>
  </si>
  <si>
    <t>srfertr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</si>
</sst>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2">
    <font>
      <sz val="12"/>
      <color theme="1"/>
      <name val="Calibri"/>
      <family val="2"/>
      <scheme val="minor"/>
    </font>
    <font>
      <b/>
      <sz val="12"/>
      <color theme="1"/>
      <name val="Calibri"/>
      <family val="2"/>
      <scheme val="minor"/>
    </font>
    <font>
      <b/>
      <sz val="11"/>
      <color theme="1"/>
      <name val="Calibri"/>
      <family val="2"/>
      <scheme val="minor"/>
    </font>
    <font>
      <b/>
      <sz val="12"/>
      <color rgb="FF000000"/>
      <name val="Calibri"/>
      <family val="2"/>
    </font>
    <font>
      <sz val="11"/>
      <color theme="1"/>
      <name val="Calibri"/>
      <family val="2"/>
    </font>
    <font>
      <strike/>
      <sz val="11"/>
      <color rgb="FF000000"/>
      <name val="Calibri"/>
      <family val="2"/>
    </font>
    <font>
      <sz val="12"/>
      <color rgb="FF000000"/>
      <name val="Calibri"/>
      <family val="2"/>
      <scheme val="minor"/>
    </font>
    <font>
      <sz val="12"/>
      <color rgb="FFFF0000"/>
      <name val="Calibri"/>
      <family val="2"/>
      <scheme val="minor"/>
    </font>
    <font>
      <sz val="9"/>
      <color rgb="FF000000"/>
      <name val="Calibri"/>
      <family val="2"/>
    </font>
    <font>
      <b/>
      <sz val="9"/>
      <color rgb="FF000000"/>
      <name val="Calibri"/>
      <family val="2"/>
    </font>
    <font>
      <sz val="9"/>
      <color theme="1"/>
      <name val="Calibri"/>
      <family val="2"/>
      <scheme val="minor"/>
    </font>
    <font>
      <b/>
      <sz val="9"/>
      <color theme="1"/>
      <name val="Calibri"/>
      <family val="2"/>
      <scheme val="minor"/>
    </font>
    <font>
      <sz val="12"/>
      <color theme="1"/>
      <name val="Calibri"/>
      <family val="2"/>
      <scheme val="minor"/>
    </font>
    <font>
      <b/>
      <sz val="12"/>
      <color rgb="FF000000"/>
      <name val="Calibri"/>
      <family val="2"/>
      <scheme val="minor"/>
    </font>
    <font>
      <b/>
      <i/>
      <sz val="11"/>
      <color theme="1"/>
      <name val="Calibri"/>
      <family val="2"/>
      <scheme val="minor"/>
    </font>
    <font>
      <sz val="12"/>
      <name val="Calibri"/>
      <family val="2"/>
    </font>
    <font>
      <b/>
      <sz val="11"/>
      <color rgb="FF000000"/>
      <name val="Calibri"/>
      <family val="2"/>
    </font>
    <font>
      <sz val="11"/>
      <color rgb="FF000000"/>
      <name val="Calibri"/>
      <family val="2"/>
      <scheme val="minor"/>
    </font>
    <font>
      <sz val="9"/>
      <color rgb="FF000000"/>
      <name val="Calibri"/>
      <family val="2"/>
      <scheme val="minor"/>
    </font>
    <font>
      <sz val="9"/>
      <color rgb="FFFF0000"/>
      <name val="Calibri"/>
      <family val="2"/>
      <scheme val="minor"/>
    </font>
    <font>
      <sz val="9"/>
      <color rgb="FFFF0000"/>
      <name val="Calibri (Body)_x0000_"/>
    </font>
    <font>
      <i/>
      <sz val="9"/>
      <color rgb="FF000000"/>
      <name val="Calibri"/>
      <family val="2"/>
    </font>
  </fonts>
  <fills count="2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FFFF99"/>
        <bgColor indexed="64"/>
      </patternFill>
    </fill>
    <fill>
      <patternFill patternType="solid">
        <fgColor rgb="FFFFD966"/>
        <bgColor rgb="FFFFD966"/>
      </patternFill>
    </fill>
    <fill>
      <patternFill patternType="solid">
        <fgColor rgb="FFA4C2F4"/>
        <bgColor rgb="FFA4C2F4"/>
      </patternFill>
    </fill>
    <fill>
      <patternFill patternType="solid">
        <fgColor rgb="FFB6D7A8"/>
        <bgColor rgb="FFB6D7A8"/>
      </patternFill>
    </fill>
    <fill>
      <patternFill patternType="solid">
        <fgColor rgb="FFD5A6BD"/>
        <bgColor rgb="FFD5A6BD"/>
      </patternFill>
    </fill>
    <fill>
      <patternFill patternType="solid">
        <fgColor rgb="FFFFFF00"/>
        <bgColor rgb="FF000000"/>
      </patternFill>
    </fill>
    <fill>
      <patternFill patternType="solid">
        <fgColor rgb="FFFF0000"/>
        <bgColor rgb="FF000000"/>
      </patternFill>
    </fill>
    <fill>
      <patternFill patternType="solid">
        <fgColor rgb="FFF8CBAD"/>
        <bgColor rgb="FF000000"/>
      </patternFill>
    </fill>
    <fill>
      <patternFill patternType="solid">
        <fgColor rgb="FFC65911"/>
        <bgColor rgb="FF000000"/>
      </patternFill>
    </fill>
    <fill>
      <patternFill patternType="solid">
        <fgColor rgb="FFFF0000"/>
        <bgColor indexed="64"/>
      </patternFill>
    </fill>
    <fill>
      <patternFill patternType="solid">
        <fgColor rgb="FFFFC000"/>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rgb="FF00B050"/>
        <bgColor indexed="64"/>
      </patternFill>
    </fill>
    <fill>
      <patternFill patternType="solid">
        <fgColor rgb="FFFBE4D5"/>
        <bgColor rgb="FFFBE4D5"/>
      </patternFill>
    </fill>
    <fill>
      <patternFill patternType="solid">
        <fgColor rgb="FF00B0F0"/>
        <bgColor indexed="64"/>
      </patternFill>
    </fill>
    <fill>
      <patternFill patternType="solid">
        <fgColor rgb="FF92D050"/>
        <bgColor rgb="FF000000"/>
      </patternFill>
    </fill>
    <fill>
      <patternFill patternType="solid">
        <fgColor rgb="FF92D050"/>
        <bgColor rgb="FF92D050"/>
      </patternFill>
    </fill>
    <fill>
      <patternFill patternType="solid">
        <fgColor rgb="FFFFC000"/>
        <bgColor rgb="FFFFC000"/>
      </patternFill>
    </fill>
    <fill>
      <patternFill patternType="solid">
        <fgColor rgb="FF00B0F0"/>
        <bgColor rgb="FF00B0F0"/>
      </patternFill>
    </fill>
    <fill>
      <patternFill patternType="solid">
        <fgColor rgb="FFFFFF00"/>
        <bgColor rgb="FFFFFF00"/>
      </patternFill>
    </fill>
  </fills>
  <borders count="19">
    <border>
      <left/>
      <right/>
      <top/>
      <bottom/>
      <diagonal/>
    </border>
    <border>
      <left/>
      <right/>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style="thin">
        <color auto="1"/>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medium">
        <color rgb="FF000000"/>
      </left>
      <right style="medium">
        <color rgb="FF000000"/>
      </right>
      <top style="medium">
        <color rgb="FF000000"/>
      </top>
      <bottom/>
      <diagonal/>
    </border>
    <border>
      <left style="thin">
        <color auto="1"/>
      </left>
      <right style="thin">
        <color auto="1"/>
      </right>
      <top/>
      <bottom/>
      <diagonal/>
    </border>
    <border>
      <left style="thin">
        <color auto="1"/>
      </left>
      <right/>
      <top/>
      <bottom/>
      <diagonal/>
    </border>
    <border>
      <left style="thin">
        <color auto="1"/>
      </left>
      <right style="thin">
        <color auto="1"/>
      </right>
      <top style="thin">
        <color auto="1"/>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s>
  <cellStyleXfs count="2">
    <xf numFmtId="0" fontId="0" fillId="0" borderId="0"/>
    <xf numFmtId="9" fontId="12" fillId="0" borderId="0" applyFont="0" applyFill="0" applyBorder="0" applyAlignment="0" applyProtection="0"/>
  </cellStyleXfs>
  <cellXfs count="146">
    <xf numFmtId="0" fontId="0" fillId="0" borderId="0" xfId="0"/>
    <xf numFmtId="0" fontId="0" fillId="2" borderId="0" xfId="0" applyFill="1"/>
    <xf numFmtId="0" fontId="0" fillId="3" borderId="0" xfId="0" applyFill="1"/>
    <xf numFmtId="0" fontId="0" fillId="3" borderId="1" xfId="0" applyFill="1" applyBorder="1"/>
    <xf numFmtId="0" fontId="0" fillId="0" borderId="1" xfId="0" applyBorder="1"/>
    <xf numFmtId="0" fontId="0" fillId="4" borderId="0" xfId="0" applyFill="1"/>
    <xf numFmtId="0" fontId="0" fillId="4" borderId="1" xfId="0" applyFill="1" applyBorder="1"/>
    <xf numFmtId="0" fontId="0" fillId="0" borderId="0" xfId="0" applyFill="1"/>
    <xf numFmtId="0" fontId="1" fillId="5" borderId="0" xfId="0" applyFont="1" applyFill="1" applyAlignment="1">
      <alignment horizontal="center"/>
    </xf>
    <xf numFmtId="0" fontId="1" fillId="5" borderId="0" xfId="0" applyFont="1" applyFill="1" applyAlignment="1">
      <alignment horizontal="center" vertical="center" wrapText="1"/>
    </xf>
    <xf numFmtId="0" fontId="0" fillId="0" borderId="0" xfId="0" applyFont="1" applyAlignment="1">
      <alignment vertical="center" wrapText="1"/>
    </xf>
    <xf numFmtId="0" fontId="0" fillId="6" borderId="0" xfId="0" applyFont="1" applyFill="1" applyAlignment="1">
      <alignment vertical="center" wrapText="1"/>
    </xf>
    <xf numFmtId="0" fontId="1" fillId="5" borderId="0" xfId="0" applyFont="1" applyFill="1" applyBorder="1" applyAlignment="1">
      <alignment horizontal="center" vertical="center"/>
    </xf>
    <xf numFmtId="0" fontId="0" fillId="0" borderId="0" xfId="0" applyBorder="1" applyAlignment="1">
      <alignment vertical="center"/>
    </xf>
    <xf numFmtId="0" fontId="0" fillId="6" borderId="0" xfId="0" applyFill="1" applyBorder="1" applyAlignment="1">
      <alignment vertical="center"/>
    </xf>
    <xf numFmtId="0" fontId="2" fillId="7" borderId="0" xfId="0" applyFont="1" applyFill="1" applyBorder="1" applyAlignment="1">
      <alignment vertical="center" wrapText="1"/>
    </xf>
    <xf numFmtId="0" fontId="2" fillId="8" borderId="0" xfId="0" applyFont="1" applyFill="1" applyBorder="1" applyAlignment="1">
      <alignment vertical="center" wrapText="1"/>
    </xf>
    <xf numFmtId="0" fontId="2" fillId="9" borderId="0" xfId="0" applyFont="1" applyFill="1" applyBorder="1" applyAlignment="1">
      <alignment vertical="center" wrapText="1"/>
    </xf>
    <xf numFmtId="0" fontId="2" fillId="10" borderId="0" xfId="0" applyFont="1" applyFill="1" applyBorder="1" applyAlignment="1">
      <alignment vertical="center" wrapText="1"/>
    </xf>
    <xf numFmtId="0" fontId="0" fillId="0" borderId="0" xfId="0" applyFont="1" applyBorder="1" applyAlignment="1">
      <alignment vertical="center" wrapText="1"/>
    </xf>
    <xf numFmtId="0" fontId="0" fillId="7" borderId="0" xfId="0" applyFont="1" applyFill="1" applyBorder="1" applyAlignment="1">
      <alignment vertical="center" wrapText="1"/>
    </xf>
    <xf numFmtId="0" fontId="0" fillId="8" borderId="0" xfId="0" applyFont="1" applyFill="1" applyBorder="1" applyAlignment="1">
      <alignment vertical="center" wrapText="1"/>
    </xf>
    <xf numFmtId="0" fontId="0" fillId="9" borderId="0" xfId="0" applyFont="1" applyFill="1" applyBorder="1" applyAlignment="1">
      <alignment vertical="center" wrapText="1"/>
    </xf>
    <xf numFmtId="0" fontId="0" fillId="10" borderId="0" xfId="0" applyFont="1" applyFill="1" applyBorder="1" applyAlignment="1">
      <alignment vertical="center" wrapText="1"/>
    </xf>
    <xf numFmtId="0" fontId="3" fillId="11" borderId="0" xfId="0" applyFont="1" applyFill="1" applyBorder="1" applyAlignment="1">
      <alignment horizontal="center"/>
    </xf>
    <xf numFmtId="0" fontId="4" fillId="12" borderId="0" xfId="0" applyFont="1" applyFill="1" applyBorder="1"/>
    <xf numFmtId="0" fontId="4" fillId="13" borderId="0" xfId="0" applyFont="1" applyFill="1" applyBorder="1"/>
    <xf numFmtId="0" fontId="4" fillId="0" borderId="0" xfId="0" applyFont="1" applyFill="1" applyBorder="1"/>
    <xf numFmtId="0" fontId="4" fillId="14" borderId="0" xfId="0" applyFont="1" applyFill="1" applyBorder="1"/>
    <xf numFmtId="0" fontId="5" fillId="13" borderId="0" xfId="0" applyFont="1" applyFill="1" applyBorder="1"/>
    <xf numFmtId="0" fontId="0" fillId="0" borderId="0" xfId="0" applyNumberFormat="1"/>
    <xf numFmtId="0" fontId="0" fillId="5" borderId="0" xfId="0" applyFill="1"/>
    <xf numFmtId="0" fontId="6" fillId="0" borderId="0" xfId="0" applyFont="1"/>
    <xf numFmtId="0" fontId="4" fillId="0" borderId="2" xfId="0" applyFont="1" applyFill="1" applyBorder="1"/>
    <xf numFmtId="0" fontId="4" fillId="0" borderId="3" xfId="0" applyFont="1" applyFill="1" applyBorder="1"/>
    <xf numFmtId="0" fontId="4" fillId="0" borderId="4" xfId="0" applyFont="1" applyFill="1" applyBorder="1"/>
    <xf numFmtId="0" fontId="4" fillId="0" borderId="0" xfId="0" applyFont="1" applyFill="1" applyBorder="1" applyAlignment="1">
      <alignment vertical="center"/>
    </xf>
    <xf numFmtId="0" fontId="4" fillId="7" borderId="0" xfId="0" applyFont="1" applyFill="1" applyBorder="1" applyAlignment="1">
      <alignment vertical="center" wrapText="1"/>
    </xf>
    <xf numFmtId="0" fontId="4" fillId="8" borderId="0" xfId="0" applyFont="1" applyFill="1" applyBorder="1" applyAlignment="1">
      <alignment vertical="center" wrapText="1"/>
    </xf>
    <xf numFmtId="0" fontId="4" fillId="9" borderId="0" xfId="0" applyFont="1" applyFill="1" applyBorder="1" applyAlignment="1">
      <alignment vertical="center" wrapText="1"/>
    </xf>
    <xf numFmtId="0" fontId="4" fillId="10" borderId="0" xfId="0" applyFont="1" applyFill="1" applyBorder="1" applyAlignment="1">
      <alignment vertical="center" wrapText="1"/>
    </xf>
    <xf numFmtId="0" fontId="4" fillId="0" borderId="3" xfId="0" applyFont="1" applyFill="1" applyBorder="1" applyAlignment="1">
      <alignment horizontal="left"/>
    </xf>
    <xf numFmtId="0" fontId="7" fillId="0" borderId="0" xfId="0" applyFont="1"/>
    <xf numFmtId="0" fontId="8" fillId="0" borderId="6" xfId="0" applyFont="1" applyBorder="1" applyAlignment="1">
      <alignment vertical="center" wrapText="1"/>
    </xf>
    <xf numFmtId="0" fontId="8" fillId="0" borderId="9" xfId="0" applyFont="1" applyBorder="1" applyAlignment="1">
      <alignment vertical="center" wrapText="1"/>
    </xf>
    <xf numFmtId="0" fontId="8" fillId="0" borderId="10" xfId="0" applyFont="1" applyBorder="1" applyAlignment="1">
      <alignment vertical="center" wrapText="1"/>
    </xf>
    <xf numFmtId="0" fontId="4" fillId="15" borderId="3" xfId="0" applyFont="1" applyFill="1" applyBorder="1"/>
    <xf numFmtId="0" fontId="0" fillId="15" borderId="0" xfId="0" applyFill="1"/>
    <xf numFmtId="0" fontId="4" fillId="16" borderId="3" xfId="0" applyFont="1" applyFill="1" applyBorder="1"/>
    <xf numFmtId="0" fontId="0" fillId="16" borderId="0" xfId="0" applyFill="1"/>
    <xf numFmtId="0" fontId="8" fillId="0" borderId="0" xfId="0" applyFont="1" applyBorder="1" applyAlignment="1">
      <alignment vertical="center" wrapText="1"/>
    </xf>
    <xf numFmtId="0" fontId="9" fillId="0" borderId="0" xfId="0" applyFont="1" applyBorder="1" applyAlignment="1">
      <alignment vertical="center" wrapText="1"/>
    </xf>
    <xf numFmtId="0" fontId="4" fillId="4" borderId="0" xfId="0" applyFont="1" applyFill="1" applyBorder="1"/>
    <xf numFmtId="0" fontId="0" fillId="0" borderId="0" xfId="0" applyBorder="1"/>
    <xf numFmtId="0" fontId="9" fillId="0" borderId="9" xfId="0" applyFont="1" applyBorder="1" applyAlignment="1">
      <alignment vertical="center" wrapText="1"/>
    </xf>
    <xf numFmtId="0" fontId="8" fillId="0" borderId="9" xfId="0" applyFont="1" applyBorder="1" applyAlignment="1">
      <alignment wrapText="1"/>
    </xf>
    <xf numFmtId="0" fontId="0" fillId="0" borderId="0" xfId="0" applyAlignment="1">
      <alignment vertical="center" wrapText="1"/>
    </xf>
    <xf numFmtId="0" fontId="0" fillId="0" borderId="0" xfId="0" applyAlignment="1">
      <alignment horizontal="center" vertical="center" wrapText="1"/>
    </xf>
    <xf numFmtId="0" fontId="0" fillId="18" borderId="0" xfId="0" applyFill="1" applyAlignment="1">
      <alignment vertical="center" wrapText="1"/>
    </xf>
    <xf numFmtId="0" fontId="0" fillId="19" borderId="11" xfId="0" applyFill="1" applyBorder="1" applyAlignment="1">
      <alignment horizontal="center" vertical="center" wrapText="1"/>
    </xf>
    <xf numFmtId="14" fontId="0" fillId="0" borderId="0" xfId="0" applyNumberFormat="1"/>
    <xf numFmtId="164" fontId="0" fillId="20" borderId="12" xfId="0" applyNumberFormat="1" applyFont="1" applyFill="1" applyBorder="1" applyAlignment="1">
      <alignment horizontal="center"/>
    </xf>
    <xf numFmtId="164" fontId="0" fillId="0" borderId="0" xfId="0" applyNumberFormat="1"/>
    <xf numFmtId="0" fontId="0" fillId="0" borderId="0" xfId="0" applyAlignment="1">
      <alignment horizontal="center"/>
    </xf>
    <xf numFmtId="0" fontId="0" fillId="19" borderId="13" xfId="0" applyFill="1" applyBorder="1" applyAlignment="1">
      <alignment horizontal="center" vertical="center" wrapText="1"/>
    </xf>
    <xf numFmtId="0" fontId="0" fillId="21" borderId="13" xfId="0" applyFill="1" applyBorder="1" applyAlignment="1">
      <alignment horizontal="center" vertical="center" wrapText="1"/>
    </xf>
    <xf numFmtId="0" fontId="0" fillId="21" borderId="14" xfId="0" applyFill="1" applyBorder="1" applyAlignment="1">
      <alignment horizontal="center" vertical="center" wrapText="1"/>
    </xf>
    <xf numFmtId="0" fontId="13" fillId="22" borderId="0" xfId="0" applyFont="1" applyFill="1" applyBorder="1" applyAlignment="1">
      <alignment horizontal="left" vertical="center" wrapText="1"/>
    </xf>
    <xf numFmtId="164" fontId="0" fillId="0" borderId="0" xfId="0" applyNumberFormat="1" applyAlignment="1">
      <alignment horizontal="center"/>
    </xf>
    <xf numFmtId="0" fontId="12" fillId="16" borderId="11" xfId="0" applyFont="1" applyFill="1" applyBorder="1" applyAlignment="1">
      <alignment horizontal="left"/>
    </xf>
    <xf numFmtId="164" fontId="2" fillId="0" borderId="0" xfId="0" applyNumberFormat="1" applyFont="1"/>
    <xf numFmtId="9" fontId="0" fillId="0" borderId="0" xfId="1" applyFont="1" applyAlignment="1">
      <alignment horizontal="center"/>
    </xf>
    <xf numFmtId="0" fontId="2" fillId="21" borderId="0" xfId="0" applyFont="1" applyFill="1" applyAlignment="1">
      <alignment horizontal="right"/>
    </xf>
    <xf numFmtId="164" fontId="0" fillId="21" borderId="0" xfId="0" applyNumberFormat="1" applyFill="1" applyAlignment="1">
      <alignment horizontal="center" vertical="center"/>
    </xf>
    <xf numFmtId="0" fontId="14" fillId="21" borderId="0" xfId="0" applyFont="1" applyFill="1" applyAlignment="1">
      <alignment horizontal="right"/>
    </xf>
    <xf numFmtId="164" fontId="14" fillId="21" borderId="0" xfId="0" applyNumberFormat="1" applyFont="1" applyFill="1" applyAlignment="1">
      <alignment horizontal="center"/>
    </xf>
    <xf numFmtId="0" fontId="0" fillId="6" borderId="0" xfId="0" applyFill="1"/>
    <xf numFmtId="164" fontId="0" fillId="6" borderId="0" xfId="0" applyNumberFormat="1" applyFill="1" applyAlignment="1">
      <alignment horizontal="center"/>
    </xf>
    <xf numFmtId="0" fontId="0" fillId="19" borderId="15" xfId="0" applyFill="1" applyBorder="1" applyAlignment="1">
      <alignment horizontal="center" vertical="center" wrapText="1"/>
    </xf>
    <xf numFmtId="164" fontId="0" fillId="0" borderId="0" xfId="0" applyNumberFormat="1" applyBorder="1" applyAlignment="1">
      <alignment horizontal="left" vertical="center"/>
    </xf>
    <xf numFmtId="164" fontId="0" fillId="0" borderId="0" xfId="0" applyNumberFormat="1" applyBorder="1" applyAlignment="1">
      <alignment horizontal="center" vertical="center"/>
    </xf>
    <xf numFmtId="0" fontId="2" fillId="0" borderId="0" xfId="0" applyFont="1"/>
    <xf numFmtId="0" fontId="2" fillId="0" borderId="0" xfId="0" applyFont="1" applyAlignment="1">
      <alignment horizontal="right"/>
    </xf>
    <xf numFmtId="0" fontId="2" fillId="0" borderId="0" xfId="0" applyFont="1" applyAlignment="1">
      <alignment horizontal="center"/>
    </xf>
    <xf numFmtId="0" fontId="0" fillId="0" borderId="0" xfId="0" applyFont="1"/>
    <xf numFmtId="164" fontId="0" fillId="0" borderId="0" xfId="0" applyNumberFormat="1" applyFont="1" applyAlignment="1">
      <alignment horizontal="center"/>
    </xf>
    <xf numFmtId="0" fontId="3" fillId="23" borderId="0" xfId="0" applyFont="1" applyFill="1" applyBorder="1" applyAlignment="1">
      <alignment horizontal="left" vertical="center" wrapText="1"/>
    </xf>
    <xf numFmtId="0" fontId="0" fillId="24" borderId="9" xfId="0" applyFont="1" applyFill="1" applyBorder="1" applyAlignment="1">
      <alignment horizontal="left"/>
    </xf>
    <xf numFmtId="164" fontId="0" fillId="0" borderId="9" xfId="0" applyNumberFormat="1" applyFont="1" applyBorder="1" applyAlignment="1">
      <alignment horizontal="center"/>
    </xf>
    <xf numFmtId="164" fontId="0" fillId="24" borderId="0" xfId="0" applyNumberFormat="1" applyFont="1" applyFill="1" applyBorder="1" applyAlignment="1">
      <alignment horizontal="left"/>
    </xf>
    <xf numFmtId="164" fontId="16" fillId="25" borderId="0" xfId="0" applyNumberFormat="1" applyFont="1" applyFill="1" applyBorder="1" applyAlignment="1">
      <alignment horizontal="right"/>
    </xf>
    <xf numFmtId="164" fontId="0" fillId="25" borderId="9" xfId="0" applyNumberFormat="1" applyFont="1" applyFill="1" applyBorder="1" applyAlignment="1">
      <alignment horizontal="center"/>
    </xf>
    <xf numFmtId="0" fontId="3" fillId="26" borderId="0" xfId="0" applyFont="1" applyFill="1" applyBorder="1" applyAlignment="1">
      <alignment horizontal="center"/>
    </xf>
    <xf numFmtId="164" fontId="0" fillId="0" borderId="0" xfId="0" applyNumberFormat="1" applyFont="1"/>
    <xf numFmtId="0" fontId="17" fillId="0" borderId="0" xfId="0" applyFont="1"/>
    <xf numFmtId="164" fontId="0" fillId="5" borderId="9" xfId="0" applyNumberFormat="1" applyFont="1" applyFill="1" applyBorder="1" applyAlignment="1">
      <alignment horizontal="center"/>
    </xf>
    <xf numFmtId="0" fontId="0" fillId="0" borderId="0" xfId="0" applyFont="1" applyAlignment="1"/>
    <xf numFmtId="164" fontId="0" fillId="0" borderId="16" xfId="0" applyNumberFormat="1" applyFont="1" applyBorder="1" applyAlignment="1"/>
    <xf numFmtId="0" fontId="15" fillId="0" borderId="17" xfId="0" applyFont="1" applyBorder="1" applyAlignment="1"/>
    <xf numFmtId="0" fontId="15" fillId="0" borderId="18" xfId="0" applyFont="1" applyBorder="1" applyAlignment="1"/>
    <xf numFmtId="0" fontId="8" fillId="0" borderId="10" xfId="0" applyFont="1" applyBorder="1" applyAlignment="1">
      <alignment wrapText="1"/>
    </xf>
    <xf numFmtId="0" fontId="10" fillId="0" borderId="11" xfId="0" applyFont="1" applyBorder="1" applyAlignment="1">
      <alignment vertical="center" wrapText="1"/>
    </xf>
    <xf numFmtId="0" fontId="8" fillId="0" borderId="0" xfId="0" applyFont="1" applyBorder="1" applyAlignment="1">
      <alignment wrapText="1"/>
    </xf>
    <xf numFmtId="0" fontId="8" fillId="0" borderId="7" xfId="0" applyFont="1" applyBorder="1" applyAlignment="1">
      <alignment vertical="center" wrapText="1"/>
    </xf>
    <xf numFmtId="0" fontId="10" fillId="0" borderId="0" xfId="0" applyFont="1" applyBorder="1" applyAlignment="1">
      <alignment vertical="center" wrapText="1"/>
    </xf>
    <xf numFmtId="0" fontId="8" fillId="0" borderId="11" xfId="0" applyFont="1" applyBorder="1" applyAlignment="1">
      <alignment vertical="center" wrapText="1"/>
    </xf>
    <xf numFmtId="0" fontId="8" fillId="0" borderId="8" xfId="0" applyFont="1" applyBorder="1" applyAlignment="1">
      <alignment vertical="center" wrapText="1"/>
    </xf>
    <xf numFmtId="0" fontId="11" fillId="0" borderId="0" xfId="0" applyFont="1" applyBorder="1" applyAlignment="1">
      <alignment vertical="center" wrapText="1"/>
    </xf>
    <xf numFmtId="0" fontId="0" fillId="0" borderId="0" xfId="0" applyAlignment="1">
      <alignment wrapText="1"/>
    </xf>
    <xf numFmtId="0" fontId="10" fillId="0" borderId="0" xfId="0" applyFont="1" applyAlignment="1">
      <alignment wrapText="1"/>
    </xf>
    <xf numFmtId="0" fontId="0" fillId="0" borderId="0" xfId="0" applyBorder="1" applyAlignment="1">
      <alignment wrapText="1"/>
    </xf>
    <xf numFmtId="0" fontId="20" fillId="0" borderId="0" xfId="0" applyFont="1" applyAlignment="1">
      <alignment wrapText="1"/>
    </xf>
    <xf numFmtId="0" fontId="10" fillId="0" borderId="0" xfId="0" applyFont="1" applyBorder="1" applyAlignment="1">
      <alignment wrapText="1"/>
    </xf>
    <xf numFmtId="0" fontId="8" fillId="0" borderId="0" xfId="0" applyFont="1" applyAlignment="1">
      <alignment wrapText="1"/>
    </xf>
    <xf numFmtId="0" fontId="10" fillId="0" borderId="1" xfId="0" applyFont="1" applyBorder="1" applyAlignment="1">
      <alignment wrapText="1"/>
    </xf>
    <xf numFmtId="0" fontId="8" fillId="0" borderId="11" xfId="0" applyFont="1" applyBorder="1" applyAlignment="1">
      <alignment wrapText="1"/>
    </xf>
    <xf numFmtId="0" fontId="21" fillId="0" borderId="0" xfId="0" applyFont="1" applyAlignment="1">
      <alignment wrapText="1"/>
    </xf>
    <xf numFmtId="0" fontId="8" fillId="0" borderId="0" xfId="0" applyFont="1" applyAlignment="1">
      <alignment horizontal="left" wrapText="1"/>
    </xf>
    <xf numFmtId="0" fontId="21" fillId="0" borderId="0" xfId="0" applyFont="1" applyAlignment="1">
      <alignment horizontal="left" wrapText="1"/>
    </xf>
    <xf numFmtId="0" fontId="8" fillId="0" borderId="0" xfId="0" applyFont="1" applyBorder="1" applyAlignment="1">
      <alignment horizontal="left" wrapText="1"/>
    </xf>
    <xf numFmtId="0" fontId="21" fillId="0" borderId="0" xfId="0" applyFont="1" applyBorder="1" applyAlignment="1">
      <alignment horizontal="left" wrapText="1"/>
    </xf>
    <xf numFmtId="0" fontId="19" fillId="0" borderId="0" xfId="0" applyFont="1" applyAlignment="1">
      <alignment wrapText="1"/>
    </xf>
    <xf numFmtId="0" fontId="8" fillId="0" borderId="1" xfId="0" applyFont="1" applyBorder="1" applyAlignment="1">
      <alignment wrapText="1"/>
    </xf>
    <xf numFmtId="0" fontId="7" fillId="0" borderId="0" xfId="0" applyFont="1" applyAlignment="1">
      <alignment wrapText="1"/>
    </xf>
    <xf numFmtId="0" fontId="4" fillId="0" borderId="2" xfId="0" applyFont="1" applyFill="1" applyBorder="1" applyAlignment="1">
      <alignment wrapText="1"/>
    </xf>
    <xf numFmtId="0" fontId="4" fillId="0" borderId="3" xfId="0" applyFont="1" applyFill="1" applyBorder="1" applyAlignment="1">
      <alignment vertical="center" wrapText="1"/>
    </xf>
    <xf numFmtId="0" fontId="4" fillId="0" borderId="3" xfId="0" applyFont="1" applyFill="1" applyBorder="1" applyAlignment="1">
      <alignment wrapText="1"/>
    </xf>
    <xf numFmtId="0" fontId="4" fillId="0" borderId="0" xfId="0" applyFont="1" applyFill="1" applyBorder="1" applyAlignment="1">
      <alignment vertical="center" wrapText="1"/>
    </xf>
    <xf numFmtId="0" fontId="0" fillId="0" borderId="3" xfId="0" applyBorder="1" applyAlignment="1">
      <alignment wrapText="1"/>
    </xf>
    <xf numFmtId="0" fontId="4" fillId="0" borderId="4" xfId="0" applyFont="1" applyFill="1" applyBorder="1" applyAlignment="1">
      <alignment wrapText="1"/>
    </xf>
    <xf numFmtId="0" fontId="4" fillId="0" borderId="5" xfId="0" applyFont="1" applyFill="1" applyBorder="1" applyAlignment="1">
      <alignment wrapText="1"/>
    </xf>
    <xf numFmtId="0" fontId="4" fillId="0" borderId="0" xfId="0" applyFont="1" applyFill="1" applyBorder="1" applyAlignment="1">
      <alignment wrapText="1"/>
    </xf>
    <xf numFmtId="0" fontId="4" fillId="14" borderId="0" xfId="0" applyFont="1" applyFill="1" applyBorder="1" applyAlignment="1">
      <alignment wrapText="1"/>
    </xf>
    <xf numFmtId="0" fontId="4" fillId="13" borderId="0" xfId="0" applyFont="1" applyFill="1" applyBorder="1" applyAlignment="1">
      <alignment wrapText="1"/>
    </xf>
    <xf numFmtId="0" fontId="0" fillId="0" borderId="0" xfId="0" applyFill="1" applyAlignment="1">
      <alignment wrapText="1"/>
    </xf>
    <xf numFmtId="0" fontId="4" fillId="0" borderId="1" xfId="0" applyFont="1" applyFill="1" applyBorder="1" applyAlignment="1">
      <alignment wrapText="1"/>
    </xf>
    <xf numFmtId="0" fontId="4" fillId="17" borderId="0" xfId="0" applyFont="1" applyFill="1" applyBorder="1" applyAlignment="1">
      <alignment wrapText="1"/>
    </xf>
    <xf numFmtId="0" fontId="4" fillId="0" borderId="1" xfId="0" applyFont="1" applyFill="1" applyBorder="1" applyAlignment="1">
      <alignment vertical="center" wrapText="1"/>
    </xf>
    <xf numFmtId="0" fontId="17" fillId="0" borderId="0" xfId="0" applyFont="1" applyAlignment="1">
      <alignment wrapText="1"/>
    </xf>
    <xf numFmtId="0" fontId="4" fillId="13" borderId="1" xfId="0" applyFont="1" applyFill="1" applyBorder="1" applyAlignment="1">
      <alignment wrapText="1"/>
    </xf>
    <xf numFmtId="0" fontId="4" fillId="0" borderId="3" xfId="0" applyFont="1" applyFill="1" applyBorder="1" applyAlignment="1">
      <alignment horizontal="left" wrapText="1"/>
    </xf>
    <xf numFmtId="0" fontId="4" fillId="12" borderId="0" xfId="0" applyFont="1" applyFill="1" applyBorder="1" applyAlignment="1">
      <alignment wrapText="1"/>
    </xf>
    <xf numFmtId="0" fontId="4" fillId="16" borderId="3" xfId="0" applyFont="1" applyFill="1" applyBorder="1" applyAlignment="1">
      <alignment wrapText="1"/>
    </xf>
    <xf numFmtId="0" fontId="18" fillId="0" borderId="10" xfId="0" applyFont="1" applyBorder="1" applyAlignment="1">
      <alignment vertical="center" wrapText="1"/>
    </xf>
    <xf numFmtId="0" fontId="18" fillId="0" borderId="9" xfId="0" applyFont="1" applyBorder="1" applyAlignment="1">
      <alignment vertical="center" wrapText="1"/>
    </xf>
    <xf numFmtId="0" fontId="8" fillId="0" borderId="1" xfId="0" applyFont="1" applyBorder="1" applyAlignment="1">
      <alignment horizontal="left" wrapText="1"/>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755A8-6C4D-5A44-9886-28F423BE2E19}">
  <sheetPr codeName="Sheet10"/>
  <dimension ref="A1:C3"/>
  <sheetViews>
    <sheetView workbookViewId="0"/>
  </sheetViews>
  <sheetFormatPr baseColWidth="10" defaultRowHeight="16"/>
  <sheetData>
    <row r="1" spans="1:3">
      <c r="A1" t="s">
        <v>1</v>
      </c>
      <c r="B1" t="s">
        <v>1354</v>
      </c>
      <c r="C1" t="s">
        <v>1355</v>
      </c>
    </row>
    <row r="2" spans="1:3">
      <c r="A2">
        <v>1</v>
      </c>
      <c r="B2" t="s">
        <v>1225</v>
      </c>
      <c r="C2" t="s">
        <v>277</v>
      </c>
    </row>
    <row r="3" spans="1:3">
      <c r="A3">
        <v>2</v>
      </c>
      <c r="B3" t="s">
        <v>1356</v>
      </c>
      <c r="C3" t="s">
        <v>1357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5427B-7A24-1746-8E7F-AC1AEB98F178}">
  <sheetPr codeName="Sheet11"/>
  <dimension ref="A1:C8"/>
  <sheetViews>
    <sheetView workbookViewId="0"/>
  </sheetViews>
  <sheetFormatPr baseColWidth="10" defaultRowHeight="16"/>
  <sheetData>
    <row r="1" spans="1:3">
      <c r="A1" t="s">
        <v>2</v>
      </c>
      <c r="B1" t="s">
        <v>1219</v>
      </c>
      <c r="C1" t="s">
        <v>1220</v>
      </c>
    </row>
    <row r="2" spans="1:3">
      <c r="A2">
        <v>1</v>
      </c>
      <c r="B2" t="s">
        <v>1221</v>
      </c>
      <c r="C2" t="s">
        <v>1222</v>
      </c>
    </row>
    <row r="3" spans="1:3">
      <c r="A3">
        <v>2</v>
      </c>
      <c r="B3" t="s">
        <v>1223</v>
      </c>
      <c r="C3" t="s">
        <v>1224</v>
      </c>
    </row>
    <row r="4" spans="1:3">
      <c r="A4">
        <v>3</v>
      </c>
      <c r="B4" t="s">
        <v>277</v>
      </c>
      <c r="C4" t="s">
        <v>1225</v>
      </c>
    </row>
    <row r="5" spans="1:3">
      <c r="A5">
        <v>4</v>
      </c>
      <c r="B5" t="s">
        <v>1226</v>
      </c>
      <c r="C5" t="s">
        <v>1226</v>
      </c>
    </row>
    <row r="6" spans="1:3">
      <c r="A6">
        <v>5</v>
      </c>
      <c r="B6" t="s">
        <v>1227</v>
      </c>
      <c r="C6" t="s">
        <v>1228</v>
      </c>
    </row>
    <row r="7" spans="1:3">
      <c r="A7">
        <v>6</v>
      </c>
      <c r="B7" t="s">
        <v>28</v>
      </c>
      <c r="C7" t="s">
        <v>1229</v>
      </c>
    </row>
    <row r="8" spans="1:3">
      <c r="A8">
        <v>7</v>
      </c>
      <c r="B8" t="s">
        <v>1230</v>
      </c>
      <c r="C8" t="s">
        <v>1231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365C-54BF-F144-9099-23821E221647}">
  <sheetPr codeName="Sheet12"/>
  <dimension ref="A1:C8"/>
  <sheetViews>
    <sheetView workbookViewId="0"/>
  </sheetViews>
  <sheetFormatPr baseColWidth="10" defaultRowHeight="16"/>
  <sheetData>
    <row r="1" spans="1:3">
      <c r="A1" t="s">
        <v>1</v>
      </c>
      <c r="B1" t="s">
        <v>2</v>
      </c>
      <c r="C1" t="s">
        <v>1274</v>
      </c>
    </row>
    <row r="2" spans="1:3">
      <c r="A2">
        <v>1</v>
      </c>
      <c r="B2">
        <v>1</v>
      </c>
      <c r="C2">
        <v>1</v>
      </c>
    </row>
    <row r="3" spans="1:3">
      <c r="A3">
        <v>1</v>
      </c>
      <c r="B3">
        <v>2</v>
      </c>
      <c r="C3">
        <v>2</v>
      </c>
    </row>
    <row r="4" spans="1:3">
      <c r="A4">
        <v>1</v>
      </c>
      <c r="B4">
        <v>3</v>
      </c>
      <c r="C4">
        <v>3</v>
      </c>
    </row>
    <row r="5" spans="1:3">
      <c r="A5">
        <v>2</v>
      </c>
      <c r="B5">
        <v>4</v>
      </c>
      <c r="C5">
        <v>4</v>
      </c>
    </row>
    <row r="6" spans="1:3">
      <c r="A6">
        <v>2</v>
      </c>
      <c r="B6">
        <v>5</v>
      </c>
      <c r="C6">
        <v>5</v>
      </c>
    </row>
    <row r="7" spans="1:3">
      <c r="A7">
        <v>2</v>
      </c>
      <c r="B7">
        <v>6</v>
      </c>
      <c r="C7">
        <v>6</v>
      </c>
    </row>
    <row r="8" spans="1:3">
      <c r="A8">
        <v>2</v>
      </c>
      <c r="B8">
        <v>7</v>
      </c>
      <c r="C8">
        <v>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62B7F-E7CC-0B40-85EB-EFBCD955A6F3}">
  <sheetPr codeName="Sheet13"/>
  <dimension ref="A1:B29"/>
  <sheetViews>
    <sheetView workbookViewId="0"/>
  </sheetViews>
  <sheetFormatPr baseColWidth="10" defaultRowHeight="16"/>
  <sheetData>
    <row r="1" spans="1:2">
      <c r="A1" t="s">
        <v>3</v>
      </c>
      <c r="B1" t="s">
        <v>0</v>
      </c>
    </row>
    <row r="2" spans="1:2">
      <c r="A2">
        <v>1</v>
      </c>
      <c r="B2" t="s">
        <v>5</v>
      </c>
    </row>
    <row r="3" spans="1:2">
      <c r="A3">
        <v>2</v>
      </c>
      <c r="B3" t="s">
        <v>6</v>
      </c>
    </row>
    <row r="4" spans="1:2">
      <c r="A4">
        <v>3</v>
      </c>
      <c r="B4" t="s">
        <v>7</v>
      </c>
    </row>
    <row r="5" spans="1:2">
      <c r="A5">
        <v>4</v>
      </c>
      <c r="B5" t="s">
        <v>8</v>
      </c>
    </row>
    <row r="6" spans="1:2">
      <c r="A6">
        <v>5</v>
      </c>
      <c r="B6" t="s">
        <v>9</v>
      </c>
    </row>
    <row r="7" spans="1:2">
      <c r="A7">
        <v>6</v>
      </c>
      <c r="B7" t="s">
        <v>10</v>
      </c>
    </row>
    <row r="8" spans="1:2">
      <c r="A8">
        <v>7</v>
      </c>
      <c r="B8" t="s">
        <v>11</v>
      </c>
    </row>
    <row r="9" spans="1:2">
      <c r="A9">
        <v>8</v>
      </c>
      <c r="B9" t="s">
        <v>12</v>
      </c>
    </row>
    <row r="10" spans="1:2">
      <c r="A10">
        <v>9</v>
      </c>
      <c r="B10" t="s">
        <v>13</v>
      </c>
    </row>
    <row r="11" spans="1:2">
      <c r="A11">
        <v>10</v>
      </c>
      <c r="B11" t="s">
        <v>14</v>
      </c>
    </row>
    <row r="12" spans="1:2">
      <c r="A12">
        <v>11</v>
      </c>
      <c r="B12" t="s">
        <v>15</v>
      </c>
    </row>
    <row r="13" spans="1:2">
      <c r="A13">
        <v>12</v>
      </c>
      <c r="B13" t="s">
        <v>16</v>
      </c>
    </row>
    <row r="14" spans="1:2">
      <c r="A14">
        <v>13</v>
      </c>
      <c r="B14" t="s">
        <v>17</v>
      </c>
    </row>
    <row r="15" spans="1:2">
      <c r="A15">
        <v>14</v>
      </c>
      <c r="B15" t="s">
        <v>18</v>
      </c>
    </row>
    <row r="16" spans="1:2">
      <c r="A16">
        <v>15</v>
      </c>
      <c r="B16" t="s">
        <v>19</v>
      </c>
    </row>
    <row r="17" spans="1:2">
      <c r="A17">
        <v>16</v>
      </c>
      <c r="B17" t="s">
        <v>20</v>
      </c>
    </row>
    <row r="18" spans="1:2">
      <c r="A18">
        <v>17</v>
      </c>
      <c r="B18" t="s">
        <v>21</v>
      </c>
    </row>
    <row r="19" spans="1:2">
      <c r="A19">
        <v>18</v>
      </c>
      <c r="B19" t="s">
        <v>22</v>
      </c>
    </row>
    <row r="20" spans="1:2">
      <c r="A20">
        <v>19</v>
      </c>
      <c r="B20" t="s">
        <v>23</v>
      </c>
    </row>
    <row r="21" spans="1:2">
      <c r="A21">
        <v>20</v>
      </c>
      <c r="B21" t="s">
        <v>24</v>
      </c>
    </row>
    <row r="22" spans="1:2">
      <c r="A22">
        <v>21</v>
      </c>
      <c r="B22" t="s">
        <v>25</v>
      </c>
    </row>
    <row r="23" spans="1:2">
      <c r="A23">
        <v>22</v>
      </c>
      <c r="B23" t="s">
        <v>26</v>
      </c>
    </row>
    <row r="24" spans="1:2">
      <c r="A24">
        <v>23</v>
      </c>
      <c r="B24" t="s">
        <v>27</v>
      </c>
    </row>
    <row r="25" spans="1:2">
      <c r="A25">
        <v>24</v>
      </c>
      <c r="B25" t="s">
        <v>28</v>
      </c>
    </row>
    <row r="26" spans="1:2">
      <c r="A26">
        <v>25</v>
      </c>
      <c r="B26" t="s">
        <v>29</v>
      </c>
    </row>
    <row r="27" spans="1:2">
      <c r="A27">
        <v>26</v>
      </c>
      <c r="B27" t="s">
        <v>30</v>
      </c>
    </row>
    <row r="28" spans="1:2">
      <c r="A28">
        <v>27</v>
      </c>
      <c r="B28" t="s">
        <v>31</v>
      </c>
    </row>
    <row r="29" spans="1:2">
      <c r="A29">
        <v>28</v>
      </c>
      <c r="B29" t="s">
        <v>32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09448-E9CC-7944-9FAE-00A919705FF4}">
  <sheetPr codeName="Sheet1"/>
  <dimension ref="A1:E55"/>
  <sheetViews>
    <sheetView workbookViewId="0"/>
  </sheetViews>
  <sheetFormatPr baseColWidth="10" defaultRowHeight="16"/>
  <cols>
    <col min="1" max="1" width="30.1640625" bestFit="1" customWidth="1"/>
    <col min="2" max="2" width="7" bestFit="1" customWidth="1"/>
    <col min="3" max="3" width="10" bestFit="1" customWidth="1"/>
    <col min="4" max="4" width="12.83203125" bestFit="1" customWidth="1"/>
    <col min="5" max="5" width="12.6640625" bestFit="1" customWidth="1"/>
  </cols>
  <sheetData>
    <row r="1" spans="1:5">
      <c r="A1" t="s">
        <v>0</v>
      </c>
      <c r="B1" t="s">
        <v>1</v>
      </c>
      <c r="C1" t="s">
        <v>2</v>
      </c>
      <c r="D1" t="s">
        <v>3</v>
      </c>
      <c r="E1" t="s">
        <v>4</v>
      </c>
    </row>
    <row r="2" spans="1:5">
      <c r="A2" s="1" t="s">
        <v>5</v>
      </c>
      <c r="B2">
        <v>1</v>
      </c>
      <c r="C2">
        <v>1</v>
      </c>
      <c r="D2">
        <v>1</v>
      </c>
      <c r="E2">
        <v>1</v>
      </c>
    </row>
    <row r="3" spans="1:5">
      <c r="A3" s="1" t="s">
        <v>6</v>
      </c>
      <c r="B3">
        <v>1</v>
      </c>
      <c r="C3">
        <v>1</v>
      </c>
      <c r="D3">
        <v>2</v>
      </c>
      <c r="E3">
        <v>2</v>
      </c>
    </row>
    <row r="4" spans="1:5">
      <c r="A4" s="1" t="s">
        <v>7</v>
      </c>
      <c r="B4">
        <v>1</v>
      </c>
      <c r="C4">
        <v>1</v>
      </c>
      <c r="D4">
        <v>3</v>
      </c>
      <c r="E4">
        <v>3</v>
      </c>
    </row>
    <row r="5" spans="1:5">
      <c r="A5" s="1" t="s">
        <v>8</v>
      </c>
      <c r="B5">
        <v>1</v>
      </c>
      <c r="C5">
        <v>1</v>
      </c>
      <c r="D5">
        <v>4</v>
      </c>
      <c r="E5">
        <v>4</v>
      </c>
    </row>
    <row r="6" spans="1:5">
      <c r="A6" s="2" t="s">
        <v>9</v>
      </c>
      <c r="B6">
        <v>1</v>
      </c>
      <c r="C6">
        <v>1</v>
      </c>
      <c r="D6">
        <v>5</v>
      </c>
      <c r="E6">
        <v>5</v>
      </c>
    </row>
    <row r="7" spans="1:5">
      <c r="A7" s="2" t="s">
        <v>10</v>
      </c>
      <c r="B7">
        <v>1</v>
      </c>
      <c r="C7">
        <v>1</v>
      </c>
      <c r="D7">
        <v>6</v>
      </c>
      <c r="E7">
        <v>6</v>
      </c>
    </row>
    <row r="8" spans="1:5">
      <c r="A8" s="2" t="s">
        <v>11</v>
      </c>
      <c r="B8">
        <v>1</v>
      </c>
      <c r="C8">
        <v>1</v>
      </c>
      <c r="D8">
        <v>7</v>
      </c>
      <c r="E8">
        <v>7</v>
      </c>
    </row>
    <row r="9" spans="1:5" ht="17" thickBot="1">
      <c r="A9" s="3" t="s">
        <v>12</v>
      </c>
      <c r="B9" s="4">
        <v>1</v>
      </c>
      <c r="C9" s="4">
        <v>1</v>
      </c>
      <c r="D9" s="4">
        <v>8</v>
      </c>
      <c r="E9" s="4">
        <v>8</v>
      </c>
    </row>
    <row r="10" spans="1:5">
      <c r="A10" s="2" t="s">
        <v>9</v>
      </c>
      <c r="B10">
        <v>1</v>
      </c>
      <c r="C10">
        <v>2</v>
      </c>
      <c r="D10">
        <v>5</v>
      </c>
      <c r="E10">
        <v>9</v>
      </c>
    </row>
    <row r="11" spans="1:5">
      <c r="A11" s="2" t="s">
        <v>10</v>
      </c>
      <c r="B11">
        <v>1</v>
      </c>
      <c r="C11">
        <v>2</v>
      </c>
      <c r="D11">
        <v>6</v>
      </c>
      <c r="E11">
        <v>10</v>
      </c>
    </row>
    <row r="12" spans="1:5">
      <c r="A12" s="2" t="s">
        <v>11</v>
      </c>
      <c r="B12">
        <v>1</v>
      </c>
      <c r="C12">
        <v>2</v>
      </c>
      <c r="D12">
        <v>7</v>
      </c>
      <c r="E12">
        <v>11</v>
      </c>
    </row>
    <row r="13" spans="1:5">
      <c r="A13" s="2" t="s">
        <v>12</v>
      </c>
      <c r="B13">
        <v>1</v>
      </c>
      <c r="C13">
        <v>2</v>
      </c>
      <c r="D13">
        <v>8</v>
      </c>
      <c r="E13">
        <v>12</v>
      </c>
    </row>
    <row r="14" spans="1:5">
      <c r="A14" s="5" t="s">
        <v>13</v>
      </c>
      <c r="B14">
        <v>1</v>
      </c>
      <c r="C14">
        <v>2</v>
      </c>
      <c r="D14">
        <v>9</v>
      </c>
      <c r="E14">
        <v>13</v>
      </c>
    </row>
    <row r="15" spans="1:5" ht="17" thickBot="1">
      <c r="A15" s="6" t="s">
        <v>14</v>
      </c>
      <c r="B15" s="4">
        <v>1</v>
      </c>
      <c r="C15" s="4">
        <v>2</v>
      </c>
      <c r="D15" s="4">
        <v>10</v>
      </c>
      <c r="E15" s="4">
        <v>14</v>
      </c>
    </row>
    <row r="16" spans="1:5">
      <c r="A16" s="1" t="s">
        <v>5</v>
      </c>
      <c r="B16">
        <v>1</v>
      </c>
      <c r="C16">
        <v>3</v>
      </c>
      <c r="D16">
        <v>1</v>
      </c>
      <c r="E16">
        <v>15</v>
      </c>
    </row>
    <row r="17" spans="1:5">
      <c r="A17" s="1" t="s">
        <v>6</v>
      </c>
      <c r="B17">
        <v>1</v>
      </c>
      <c r="C17">
        <v>3</v>
      </c>
      <c r="D17">
        <v>2</v>
      </c>
      <c r="E17">
        <v>16</v>
      </c>
    </row>
    <row r="18" spans="1:5">
      <c r="A18" s="1" t="s">
        <v>7</v>
      </c>
      <c r="B18">
        <v>1</v>
      </c>
      <c r="C18">
        <v>3</v>
      </c>
      <c r="D18">
        <v>3</v>
      </c>
      <c r="E18">
        <v>17</v>
      </c>
    </row>
    <row r="19" spans="1:5">
      <c r="A19" s="1" t="s">
        <v>8</v>
      </c>
      <c r="B19">
        <v>1</v>
      </c>
      <c r="C19">
        <v>3</v>
      </c>
      <c r="D19">
        <v>4</v>
      </c>
      <c r="E19">
        <v>18</v>
      </c>
    </row>
    <row r="20" spans="1:5">
      <c r="A20" s="2" t="s">
        <v>9</v>
      </c>
      <c r="B20">
        <v>1</v>
      </c>
      <c r="C20">
        <v>3</v>
      </c>
      <c r="D20">
        <v>5</v>
      </c>
      <c r="E20">
        <v>19</v>
      </c>
    </row>
    <row r="21" spans="1:5">
      <c r="A21" s="2" t="s">
        <v>10</v>
      </c>
      <c r="B21">
        <v>1</v>
      </c>
      <c r="C21">
        <v>3</v>
      </c>
      <c r="D21">
        <v>6</v>
      </c>
      <c r="E21">
        <v>20</v>
      </c>
    </row>
    <row r="22" spans="1:5">
      <c r="A22" s="2" t="s">
        <v>11</v>
      </c>
      <c r="B22">
        <v>1</v>
      </c>
      <c r="C22">
        <v>3</v>
      </c>
      <c r="D22">
        <v>7</v>
      </c>
      <c r="E22">
        <v>21</v>
      </c>
    </row>
    <row r="23" spans="1:5">
      <c r="A23" s="2" t="s">
        <v>12</v>
      </c>
      <c r="B23">
        <v>1</v>
      </c>
      <c r="C23">
        <v>3</v>
      </c>
      <c r="D23">
        <v>8</v>
      </c>
      <c r="E23">
        <v>22</v>
      </c>
    </row>
    <row r="24" spans="1:5">
      <c r="A24" s="5" t="s">
        <v>13</v>
      </c>
      <c r="B24">
        <v>1</v>
      </c>
      <c r="C24">
        <v>3</v>
      </c>
      <c r="D24">
        <v>9</v>
      </c>
      <c r="E24">
        <v>23</v>
      </c>
    </row>
    <row r="25" spans="1:5" ht="17" thickBot="1">
      <c r="A25" s="6" t="s">
        <v>14</v>
      </c>
      <c r="B25" s="4">
        <v>1</v>
      </c>
      <c r="C25" s="4">
        <v>3</v>
      </c>
      <c r="D25" s="4">
        <v>10</v>
      </c>
      <c r="E25" s="4">
        <v>24</v>
      </c>
    </row>
    <row r="26" spans="1:5">
      <c r="A26" t="s">
        <v>15</v>
      </c>
      <c r="B26">
        <v>2</v>
      </c>
      <c r="C26">
        <v>4</v>
      </c>
      <c r="D26">
        <v>11</v>
      </c>
      <c r="E26">
        <v>25</v>
      </c>
    </row>
    <row r="27" spans="1:5">
      <c r="A27" t="s">
        <v>16</v>
      </c>
      <c r="B27">
        <v>2</v>
      </c>
      <c r="C27">
        <v>4</v>
      </c>
      <c r="D27">
        <v>12</v>
      </c>
      <c r="E27">
        <v>26</v>
      </c>
    </row>
    <row r="28" spans="1:5">
      <c r="A28" t="s">
        <v>17</v>
      </c>
      <c r="B28">
        <v>2</v>
      </c>
      <c r="C28">
        <v>4</v>
      </c>
      <c r="D28">
        <v>13</v>
      </c>
      <c r="E28">
        <v>27</v>
      </c>
    </row>
    <row r="29" spans="1:5">
      <c r="A29" t="s">
        <v>18</v>
      </c>
      <c r="B29">
        <v>2</v>
      </c>
      <c r="C29">
        <v>4</v>
      </c>
      <c r="D29">
        <v>14</v>
      </c>
      <c r="E29">
        <v>28</v>
      </c>
    </row>
    <row r="30" spans="1:5">
      <c r="A30" t="s">
        <v>19</v>
      </c>
      <c r="B30">
        <v>2</v>
      </c>
      <c r="C30">
        <v>4</v>
      </c>
      <c r="D30">
        <v>15</v>
      </c>
      <c r="E30">
        <v>29</v>
      </c>
    </row>
    <row r="31" spans="1:5">
      <c r="A31" t="s">
        <v>20</v>
      </c>
      <c r="B31">
        <v>2</v>
      </c>
      <c r="C31">
        <v>4</v>
      </c>
      <c r="D31">
        <v>16</v>
      </c>
      <c r="E31">
        <v>30</v>
      </c>
    </row>
    <row r="32" spans="1:5">
      <c r="A32" t="s">
        <v>21</v>
      </c>
      <c r="B32">
        <v>2</v>
      </c>
      <c r="C32">
        <v>4</v>
      </c>
      <c r="D32">
        <v>17</v>
      </c>
      <c r="E32">
        <v>31</v>
      </c>
    </row>
    <row r="33" spans="1:5">
      <c r="A33" t="s">
        <v>22</v>
      </c>
      <c r="B33">
        <v>2</v>
      </c>
      <c r="C33">
        <v>4</v>
      </c>
      <c r="D33">
        <v>18</v>
      </c>
      <c r="E33">
        <v>32</v>
      </c>
    </row>
    <row r="34" spans="1:5">
      <c r="A34" s="2" t="s">
        <v>11</v>
      </c>
      <c r="B34">
        <v>2</v>
      </c>
      <c r="C34">
        <v>4</v>
      </c>
      <c r="D34">
        <v>6</v>
      </c>
      <c r="E34">
        <v>33</v>
      </c>
    </row>
    <row r="35" spans="1:5">
      <c r="A35" s="2" t="s">
        <v>10</v>
      </c>
      <c r="B35">
        <v>2</v>
      </c>
      <c r="C35">
        <v>4</v>
      </c>
      <c r="D35">
        <v>7</v>
      </c>
      <c r="E35">
        <v>34</v>
      </c>
    </row>
    <row r="36" spans="1:5" ht="17" thickBot="1">
      <c r="A36" s="3" t="s">
        <v>12</v>
      </c>
      <c r="B36" s="4">
        <v>2</v>
      </c>
      <c r="C36" s="4">
        <v>4</v>
      </c>
      <c r="D36" s="4">
        <v>8</v>
      </c>
      <c r="E36" s="4">
        <v>35</v>
      </c>
    </row>
    <row r="37" spans="1:5">
      <c r="A37" s="7" t="s">
        <v>23</v>
      </c>
      <c r="B37">
        <v>2</v>
      </c>
      <c r="C37">
        <v>5</v>
      </c>
      <c r="D37">
        <v>19</v>
      </c>
      <c r="E37">
        <v>36</v>
      </c>
    </row>
    <row r="38" spans="1:5">
      <c r="A38" s="7" t="s">
        <v>24</v>
      </c>
      <c r="B38">
        <v>2</v>
      </c>
      <c r="C38">
        <v>5</v>
      </c>
      <c r="D38">
        <v>20</v>
      </c>
      <c r="E38">
        <v>37</v>
      </c>
    </row>
    <row r="39" spans="1:5">
      <c r="A39" s="7" t="s">
        <v>25</v>
      </c>
      <c r="B39">
        <v>2</v>
      </c>
      <c r="C39">
        <v>5</v>
      </c>
      <c r="D39">
        <v>21</v>
      </c>
      <c r="E39">
        <v>38</v>
      </c>
    </row>
    <row r="40" spans="1:5">
      <c r="A40" s="2" t="s">
        <v>11</v>
      </c>
      <c r="B40">
        <v>2</v>
      </c>
      <c r="C40">
        <v>5</v>
      </c>
      <c r="D40">
        <v>6</v>
      </c>
      <c r="E40">
        <v>39</v>
      </c>
    </row>
    <row r="41" spans="1:5">
      <c r="A41" s="2" t="s">
        <v>10</v>
      </c>
      <c r="B41">
        <v>2</v>
      </c>
      <c r="C41">
        <v>5</v>
      </c>
      <c r="D41">
        <v>7</v>
      </c>
      <c r="E41">
        <v>40</v>
      </c>
    </row>
    <row r="42" spans="1:5" ht="17" thickBot="1">
      <c r="A42" s="3" t="s">
        <v>12</v>
      </c>
      <c r="B42" s="4">
        <v>2</v>
      </c>
      <c r="C42" s="4">
        <v>5</v>
      </c>
      <c r="D42" s="4">
        <v>8</v>
      </c>
      <c r="E42" s="4">
        <v>41</v>
      </c>
    </row>
    <row r="43" spans="1:5">
      <c r="A43" s="7" t="s">
        <v>26</v>
      </c>
      <c r="B43">
        <v>2</v>
      </c>
      <c r="C43">
        <v>6</v>
      </c>
      <c r="D43">
        <v>22</v>
      </c>
      <c r="E43">
        <v>42</v>
      </c>
    </row>
    <row r="44" spans="1:5">
      <c r="A44" s="7" t="s">
        <v>27</v>
      </c>
      <c r="B44">
        <v>2</v>
      </c>
      <c r="C44">
        <v>6</v>
      </c>
      <c r="D44">
        <v>23</v>
      </c>
      <c r="E44">
        <v>43</v>
      </c>
    </row>
    <row r="45" spans="1:5">
      <c r="A45" s="7" t="s">
        <v>28</v>
      </c>
      <c r="B45">
        <v>2</v>
      </c>
      <c r="C45">
        <v>6</v>
      </c>
      <c r="D45">
        <v>24</v>
      </c>
      <c r="E45">
        <v>44</v>
      </c>
    </row>
    <row r="46" spans="1:5">
      <c r="A46" s="7" t="s">
        <v>29</v>
      </c>
      <c r="B46">
        <v>2</v>
      </c>
      <c r="C46">
        <v>6</v>
      </c>
      <c r="D46">
        <v>25</v>
      </c>
      <c r="E46">
        <v>45</v>
      </c>
    </row>
    <row r="47" spans="1:5">
      <c r="A47" s="2" t="s">
        <v>11</v>
      </c>
      <c r="B47">
        <v>2</v>
      </c>
      <c r="C47">
        <v>6</v>
      </c>
      <c r="D47">
        <v>6</v>
      </c>
      <c r="E47">
        <v>46</v>
      </c>
    </row>
    <row r="48" spans="1:5">
      <c r="A48" s="2" t="s">
        <v>10</v>
      </c>
      <c r="B48">
        <v>2</v>
      </c>
      <c r="C48">
        <v>6</v>
      </c>
      <c r="D48">
        <v>7</v>
      </c>
      <c r="E48">
        <v>47</v>
      </c>
    </row>
    <row r="49" spans="1:5" ht="17" thickBot="1">
      <c r="A49" s="3" t="s">
        <v>12</v>
      </c>
      <c r="B49" s="4">
        <v>2</v>
      </c>
      <c r="C49" s="4">
        <v>6</v>
      </c>
      <c r="D49" s="4">
        <v>8</v>
      </c>
      <c r="E49" s="4">
        <v>48</v>
      </c>
    </row>
    <row r="50" spans="1:5">
      <c r="A50" s="7" t="s">
        <v>30</v>
      </c>
      <c r="B50">
        <v>2</v>
      </c>
      <c r="C50">
        <v>7</v>
      </c>
      <c r="D50">
        <v>26</v>
      </c>
      <c r="E50">
        <v>49</v>
      </c>
    </row>
    <row r="51" spans="1:5">
      <c r="A51" s="7" t="s">
        <v>31</v>
      </c>
      <c r="B51">
        <v>2</v>
      </c>
      <c r="C51">
        <v>7</v>
      </c>
      <c r="D51">
        <v>27</v>
      </c>
      <c r="E51">
        <v>50</v>
      </c>
    </row>
    <row r="52" spans="1:5">
      <c r="A52" s="7" t="s">
        <v>32</v>
      </c>
      <c r="B52">
        <v>2</v>
      </c>
      <c r="C52">
        <v>7</v>
      </c>
      <c r="D52">
        <v>28</v>
      </c>
      <c r="E52">
        <v>51</v>
      </c>
    </row>
    <row r="53" spans="1:5">
      <c r="A53" s="2" t="s">
        <v>11</v>
      </c>
      <c r="B53">
        <v>2</v>
      </c>
      <c r="C53">
        <v>7</v>
      </c>
      <c r="D53">
        <v>6</v>
      </c>
      <c r="E53">
        <v>52</v>
      </c>
    </row>
    <row r="54" spans="1:5">
      <c r="A54" s="2" t="s">
        <v>10</v>
      </c>
      <c r="B54">
        <v>2</v>
      </c>
      <c r="C54">
        <v>7</v>
      </c>
      <c r="D54">
        <v>7</v>
      </c>
      <c r="E54">
        <v>53</v>
      </c>
    </row>
    <row r="55" spans="1:5" ht="17" thickBot="1">
      <c r="A55" s="3" t="s">
        <v>33</v>
      </c>
      <c r="B55" s="4">
        <v>2</v>
      </c>
      <c r="C55" s="4">
        <v>7</v>
      </c>
      <c r="D55" s="4">
        <v>8</v>
      </c>
      <c r="E55" s="4">
        <v>54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9FCC-3E76-CB41-AA95-5EE90B4CFACC}">
  <sheetPr codeName="Sheet5"/>
  <dimension ref="A1:B435"/>
  <sheetViews>
    <sheetView topLeftCell="A230" workbookViewId="0">
      <selection activeCell="A255" sqref="A255"/>
    </sheetView>
  </sheetViews>
  <sheetFormatPr baseColWidth="10" defaultRowHeight="16"/>
  <cols>
    <col min="1" max="1" width="55.33203125" bestFit="1" customWidth="1"/>
  </cols>
  <sheetData>
    <row r="1" spans="1:2">
      <c r="A1" t="s">
        <v>36</v>
      </c>
      <c r="B1" t="s">
        <v>34</v>
      </c>
    </row>
    <row r="2" spans="1:2">
      <c r="A2" t="s">
        <v>521</v>
      </c>
      <c r="B2">
        <v>1</v>
      </c>
    </row>
    <row r="3" spans="1:2">
      <c r="A3" t="s">
        <v>39</v>
      </c>
      <c r="B3">
        <v>2</v>
      </c>
    </row>
    <row r="4" spans="1:2">
      <c r="A4" t="s">
        <v>522</v>
      </c>
      <c r="B4">
        <v>3</v>
      </c>
    </row>
    <row r="5" spans="1:2">
      <c r="A5" t="s">
        <v>41</v>
      </c>
      <c r="B5">
        <v>4</v>
      </c>
    </row>
    <row r="6" spans="1:2">
      <c r="A6" t="s">
        <v>523</v>
      </c>
      <c r="B6">
        <v>5</v>
      </c>
    </row>
    <row r="7" spans="1:2">
      <c r="A7" t="s">
        <v>43</v>
      </c>
      <c r="B7">
        <v>6</v>
      </c>
    </row>
    <row r="8" spans="1:2">
      <c r="A8" t="s">
        <v>44</v>
      </c>
      <c r="B8">
        <v>7</v>
      </c>
    </row>
    <row r="9" spans="1:2">
      <c r="A9" t="s">
        <v>45</v>
      </c>
      <c r="B9">
        <v>8</v>
      </c>
    </row>
    <row r="10" spans="1:2">
      <c r="A10" t="s">
        <v>46</v>
      </c>
      <c r="B10">
        <v>9</v>
      </c>
    </row>
    <row r="11" spans="1:2">
      <c r="A11" t="s">
        <v>47</v>
      </c>
      <c r="B11">
        <v>10</v>
      </c>
    </row>
    <row r="12" spans="1:2">
      <c r="A12" t="s">
        <v>48</v>
      </c>
      <c r="B12">
        <v>11</v>
      </c>
    </row>
    <row r="13" spans="1:2">
      <c r="A13" t="s">
        <v>520</v>
      </c>
      <c r="B13">
        <v>12</v>
      </c>
    </row>
    <row r="14" spans="1:2">
      <c r="A14" t="s">
        <v>51</v>
      </c>
      <c r="B14">
        <v>13</v>
      </c>
    </row>
    <row r="15" spans="1:2">
      <c r="A15" t="s">
        <v>52</v>
      </c>
      <c r="B15">
        <v>14</v>
      </c>
    </row>
    <row r="16" spans="1:2">
      <c r="A16" t="s">
        <v>511</v>
      </c>
      <c r="B16">
        <v>15</v>
      </c>
    </row>
    <row r="17" spans="1:2">
      <c r="A17" t="s">
        <v>54</v>
      </c>
      <c r="B17">
        <v>16</v>
      </c>
    </row>
    <row r="18" spans="1:2">
      <c r="A18" t="s">
        <v>55</v>
      </c>
      <c r="B18">
        <v>17</v>
      </c>
    </row>
    <row r="19" spans="1:2">
      <c r="A19" t="s">
        <v>56</v>
      </c>
      <c r="B19">
        <v>18</v>
      </c>
    </row>
    <row r="20" spans="1:2">
      <c r="A20" t="s">
        <v>57</v>
      </c>
      <c r="B20">
        <v>19</v>
      </c>
    </row>
    <row r="21" spans="1:2">
      <c r="A21" t="s">
        <v>58</v>
      </c>
      <c r="B21">
        <v>20</v>
      </c>
    </row>
    <row r="22" spans="1:2">
      <c r="A22" t="s">
        <v>59</v>
      </c>
      <c r="B22">
        <v>21</v>
      </c>
    </row>
    <row r="23" spans="1:2">
      <c r="A23" t="s">
        <v>60</v>
      </c>
      <c r="B23">
        <v>22</v>
      </c>
    </row>
    <row r="24" spans="1:2">
      <c r="A24" t="s">
        <v>61</v>
      </c>
      <c r="B24">
        <v>23</v>
      </c>
    </row>
    <row r="25" spans="1:2">
      <c r="A25" t="s">
        <v>529</v>
      </c>
      <c r="B25">
        <v>24</v>
      </c>
    </row>
    <row r="26" spans="1:2">
      <c r="A26" t="s">
        <v>63</v>
      </c>
      <c r="B26">
        <v>25</v>
      </c>
    </row>
    <row r="27" spans="1:2">
      <c r="A27" t="s">
        <v>64</v>
      </c>
      <c r="B27">
        <v>26</v>
      </c>
    </row>
    <row r="28" spans="1:2">
      <c r="A28" t="s">
        <v>528</v>
      </c>
      <c r="B28">
        <v>27</v>
      </c>
    </row>
    <row r="29" spans="1:2">
      <c r="A29" t="s">
        <v>66</v>
      </c>
      <c r="B29">
        <v>28</v>
      </c>
    </row>
    <row r="30" spans="1:2">
      <c r="A30" t="s">
        <v>67</v>
      </c>
      <c r="B30">
        <v>29</v>
      </c>
    </row>
    <row r="31" spans="1:2">
      <c r="A31" t="s">
        <v>68</v>
      </c>
      <c r="B31">
        <v>30</v>
      </c>
    </row>
    <row r="32" spans="1:2">
      <c r="A32" t="s">
        <v>69</v>
      </c>
      <c r="B32">
        <v>31</v>
      </c>
    </row>
    <row r="33" spans="1:2">
      <c r="A33" t="s">
        <v>32</v>
      </c>
      <c r="B33">
        <v>32</v>
      </c>
    </row>
    <row r="34" spans="1:2">
      <c r="A34" t="s">
        <v>70</v>
      </c>
      <c r="B34">
        <v>33</v>
      </c>
    </row>
    <row r="35" spans="1:2">
      <c r="A35" t="s">
        <v>71</v>
      </c>
      <c r="B35">
        <v>34</v>
      </c>
    </row>
    <row r="36" spans="1:2">
      <c r="A36" t="s">
        <v>514</v>
      </c>
      <c r="B36">
        <v>35</v>
      </c>
    </row>
    <row r="37" spans="1:2">
      <c r="A37" t="s">
        <v>513</v>
      </c>
      <c r="B37">
        <v>36</v>
      </c>
    </row>
    <row r="38" spans="1:2">
      <c r="A38" t="s">
        <v>74</v>
      </c>
      <c r="B38">
        <v>37</v>
      </c>
    </row>
    <row r="39" spans="1:2">
      <c r="A39" t="s">
        <v>75</v>
      </c>
      <c r="B39">
        <v>38</v>
      </c>
    </row>
    <row r="40" spans="1:2">
      <c r="A40" t="s">
        <v>76</v>
      </c>
      <c r="B40">
        <v>39</v>
      </c>
    </row>
    <row r="41" spans="1:2">
      <c r="A41" t="s">
        <v>77</v>
      </c>
      <c r="B41">
        <v>40</v>
      </c>
    </row>
    <row r="42" spans="1:2">
      <c r="A42" t="s">
        <v>78</v>
      </c>
      <c r="B42">
        <v>41</v>
      </c>
    </row>
    <row r="43" spans="1:2">
      <c r="A43" t="s">
        <v>79</v>
      </c>
      <c r="B43">
        <v>42</v>
      </c>
    </row>
    <row r="44" spans="1:2">
      <c r="A44" t="s">
        <v>80</v>
      </c>
      <c r="B44">
        <v>43</v>
      </c>
    </row>
    <row r="45" spans="1:2">
      <c r="A45" t="s">
        <v>81</v>
      </c>
      <c r="B45">
        <v>44</v>
      </c>
    </row>
    <row r="46" spans="1:2">
      <c r="A46" t="s">
        <v>82</v>
      </c>
      <c r="B46">
        <v>45</v>
      </c>
    </row>
    <row r="47" spans="1:2">
      <c r="A47" t="s">
        <v>83</v>
      </c>
      <c r="B47">
        <v>46</v>
      </c>
    </row>
    <row r="48" spans="1:2">
      <c r="A48" t="s">
        <v>85</v>
      </c>
      <c r="B48">
        <v>47</v>
      </c>
    </row>
    <row r="49" spans="1:2">
      <c r="A49" t="s">
        <v>517</v>
      </c>
      <c r="B49">
        <v>48</v>
      </c>
    </row>
    <row r="50" spans="1:2">
      <c r="A50" t="s">
        <v>527</v>
      </c>
      <c r="B50">
        <v>49</v>
      </c>
    </row>
    <row r="51" spans="1:2">
      <c r="A51" t="s">
        <v>88</v>
      </c>
      <c r="B51">
        <v>50</v>
      </c>
    </row>
    <row r="52" spans="1:2">
      <c r="A52" t="s">
        <v>516</v>
      </c>
      <c r="B52">
        <v>51</v>
      </c>
    </row>
    <row r="53" spans="1:2">
      <c r="A53" t="s">
        <v>90</v>
      </c>
      <c r="B53">
        <v>52</v>
      </c>
    </row>
    <row r="54" spans="1:2">
      <c r="A54" t="s">
        <v>91</v>
      </c>
      <c r="B54">
        <v>53</v>
      </c>
    </row>
    <row r="55" spans="1:2">
      <c r="A55" t="s">
        <v>92</v>
      </c>
      <c r="B55">
        <v>54</v>
      </c>
    </row>
    <row r="56" spans="1:2">
      <c r="A56" t="s">
        <v>93</v>
      </c>
      <c r="B56">
        <v>55</v>
      </c>
    </row>
    <row r="57" spans="1:2">
      <c r="A57" t="s">
        <v>94</v>
      </c>
      <c r="B57">
        <v>56</v>
      </c>
    </row>
    <row r="58" spans="1:2">
      <c r="A58" t="s">
        <v>95</v>
      </c>
      <c r="B58">
        <v>57</v>
      </c>
    </row>
    <row r="59" spans="1:2">
      <c r="A59" t="s">
        <v>96</v>
      </c>
      <c r="B59">
        <v>58</v>
      </c>
    </row>
    <row r="60" spans="1:2">
      <c r="A60" t="s">
        <v>97</v>
      </c>
      <c r="B60">
        <v>59</v>
      </c>
    </row>
    <row r="61" spans="1:2">
      <c r="A61" t="s">
        <v>13</v>
      </c>
      <c r="B61">
        <v>60</v>
      </c>
    </row>
    <row r="62" spans="1:2">
      <c r="A62" t="s">
        <v>98</v>
      </c>
      <c r="B62">
        <v>61</v>
      </c>
    </row>
    <row r="63" spans="1:2">
      <c r="A63" t="s">
        <v>99</v>
      </c>
      <c r="B63">
        <v>62</v>
      </c>
    </row>
    <row r="64" spans="1:2">
      <c r="A64" t="s">
        <v>100</v>
      </c>
      <c r="B64">
        <v>63</v>
      </c>
    </row>
    <row r="65" spans="1:2">
      <c r="A65" t="s">
        <v>101</v>
      </c>
      <c r="B65">
        <v>64</v>
      </c>
    </row>
    <row r="66" spans="1:2">
      <c r="A66" t="s">
        <v>362</v>
      </c>
      <c r="B66">
        <v>65</v>
      </c>
    </row>
    <row r="67" spans="1:2">
      <c r="A67" t="s">
        <v>286</v>
      </c>
      <c r="B67">
        <v>66</v>
      </c>
    </row>
    <row r="68" spans="1:2">
      <c r="A68" t="s">
        <v>288</v>
      </c>
      <c r="B68">
        <v>67</v>
      </c>
    </row>
    <row r="69" spans="1:2">
      <c r="A69" t="s">
        <v>104</v>
      </c>
      <c r="B69">
        <v>68</v>
      </c>
    </row>
    <row r="70" spans="1:2">
      <c r="A70" t="s">
        <v>105</v>
      </c>
      <c r="B70">
        <v>69</v>
      </c>
    </row>
    <row r="71" spans="1:2">
      <c r="A71" t="s">
        <v>106</v>
      </c>
      <c r="B71">
        <v>70</v>
      </c>
    </row>
    <row r="72" spans="1:2">
      <c r="A72" t="s">
        <v>526</v>
      </c>
      <c r="B72">
        <v>71</v>
      </c>
    </row>
    <row r="73" spans="1:2">
      <c r="A73" t="s">
        <v>108</v>
      </c>
      <c r="B73">
        <v>72</v>
      </c>
    </row>
    <row r="74" spans="1:2">
      <c r="A74" t="s">
        <v>353</v>
      </c>
      <c r="B74">
        <v>73</v>
      </c>
    </row>
    <row r="75" spans="1:2">
      <c r="A75" t="s">
        <v>109</v>
      </c>
      <c r="B75">
        <v>74</v>
      </c>
    </row>
    <row r="76" spans="1:2">
      <c r="A76" t="s">
        <v>355</v>
      </c>
      <c r="B76">
        <v>75</v>
      </c>
    </row>
    <row r="77" spans="1:2">
      <c r="A77" t="s">
        <v>110</v>
      </c>
      <c r="B77">
        <v>76</v>
      </c>
    </row>
    <row r="78" spans="1:2">
      <c r="A78" t="s">
        <v>111</v>
      </c>
      <c r="B78">
        <v>77</v>
      </c>
    </row>
    <row r="79" spans="1:2">
      <c r="A79" t="s">
        <v>112</v>
      </c>
      <c r="B79">
        <v>78</v>
      </c>
    </row>
    <row r="80" spans="1:2">
      <c r="A80" t="s">
        <v>113</v>
      </c>
      <c r="B80">
        <v>79</v>
      </c>
    </row>
    <row r="81" spans="1:2">
      <c r="A81" t="s">
        <v>114</v>
      </c>
      <c r="B81">
        <v>80</v>
      </c>
    </row>
    <row r="82" spans="1:2">
      <c r="A82" t="s">
        <v>115</v>
      </c>
      <c r="B82">
        <v>81</v>
      </c>
    </row>
    <row r="83" spans="1:2">
      <c r="A83" t="s">
        <v>116</v>
      </c>
      <c r="B83">
        <v>82</v>
      </c>
    </row>
    <row r="84" spans="1:2">
      <c r="A84" t="s">
        <v>117</v>
      </c>
      <c r="B84">
        <v>83</v>
      </c>
    </row>
    <row r="85" spans="1:2">
      <c r="A85" t="s">
        <v>118</v>
      </c>
      <c r="B85">
        <v>84</v>
      </c>
    </row>
    <row r="86" spans="1:2">
      <c r="A86" t="s">
        <v>119</v>
      </c>
      <c r="B86">
        <v>85</v>
      </c>
    </row>
    <row r="87" spans="1:2">
      <c r="A87" t="s">
        <v>531</v>
      </c>
      <c r="B87">
        <v>86</v>
      </c>
    </row>
    <row r="88" spans="1:2">
      <c r="A88" t="s">
        <v>121</v>
      </c>
      <c r="B88">
        <v>87</v>
      </c>
    </row>
    <row r="89" spans="1:2">
      <c r="A89" t="s">
        <v>122</v>
      </c>
      <c r="B89">
        <v>88</v>
      </c>
    </row>
    <row r="90" spans="1:2">
      <c r="A90" t="s">
        <v>123</v>
      </c>
      <c r="B90">
        <v>89</v>
      </c>
    </row>
    <row r="91" spans="1:2">
      <c r="A91" t="s">
        <v>124</v>
      </c>
      <c r="B91">
        <v>90</v>
      </c>
    </row>
    <row r="92" spans="1:2">
      <c r="A92" t="s">
        <v>530</v>
      </c>
      <c r="B92">
        <v>91</v>
      </c>
    </row>
    <row r="93" spans="1:2">
      <c r="A93" t="s">
        <v>126</v>
      </c>
      <c r="B93">
        <v>92</v>
      </c>
    </row>
    <row r="94" spans="1:2">
      <c r="A94" t="s">
        <v>127</v>
      </c>
      <c r="B94">
        <v>93</v>
      </c>
    </row>
    <row r="95" spans="1:2">
      <c r="A95" t="s">
        <v>128</v>
      </c>
      <c r="B95">
        <v>94</v>
      </c>
    </row>
    <row r="96" spans="1:2">
      <c r="A96" t="s">
        <v>129</v>
      </c>
      <c r="B96">
        <v>95</v>
      </c>
    </row>
    <row r="97" spans="1:2">
      <c r="A97" t="s">
        <v>515</v>
      </c>
      <c r="B97">
        <v>96</v>
      </c>
    </row>
    <row r="98" spans="1:2">
      <c r="A98" t="s">
        <v>131</v>
      </c>
      <c r="B98">
        <v>97</v>
      </c>
    </row>
    <row r="99" spans="1:2">
      <c r="A99" t="s">
        <v>132</v>
      </c>
      <c r="B99">
        <v>98</v>
      </c>
    </row>
    <row r="100" spans="1:2">
      <c r="A100" t="s">
        <v>133</v>
      </c>
      <c r="B100">
        <v>99</v>
      </c>
    </row>
    <row r="101" spans="1:2">
      <c r="A101" t="s">
        <v>518</v>
      </c>
      <c r="B101">
        <v>100</v>
      </c>
    </row>
    <row r="102" spans="1:2">
      <c r="A102" t="s">
        <v>135</v>
      </c>
      <c r="B102">
        <v>101</v>
      </c>
    </row>
    <row r="103" spans="1:2">
      <c r="A103" t="s">
        <v>136</v>
      </c>
      <c r="B103">
        <v>102</v>
      </c>
    </row>
    <row r="104" spans="1:2">
      <c r="A104" t="s">
        <v>137</v>
      </c>
      <c r="B104">
        <v>103</v>
      </c>
    </row>
    <row r="105" spans="1:2">
      <c r="A105" t="s">
        <v>138</v>
      </c>
      <c r="B105">
        <v>104</v>
      </c>
    </row>
    <row r="106" spans="1:2">
      <c r="A106" t="s">
        <v>139</v>
      </c>
      <c r="B106">
        <v>105</v>
      </c>
    </row>
    <row r="107" spans="1:2">
      <c r="A107" t="s">
        <v>140</v>
      </c>
      <c r="B107">
        <v>106</v>
      </c>
    </row>
    <row r="108" spans="1:2">
      <c r="A108" t="s">
        <v>141</v>
      </c>
      <c r="B108">
        <v>107</v>
      </c>
    </row>
    <row r="109" spans="1:2">
      <c r="A109" t="s">
        <v>142</v>
      </c>
      <c r="B109">
        <v>108</v>
      </c>
    </row>
    <row r="110" spans="1:2">
      <c r="A110" t="s">
        <v>143</v>
      </c>
      <c r="B110">
        <v>109</v>
      </c>
    </row>
    <row r="111" spans="1:2">
      <c r="A111" t="s">
        <v>145</v>
      </c>
      <c r="B111">
        <v>110</v>
      </c>
    </row>
    <row r="112" spans="1:2">
      <c r="A112" t="s">
        <v>146</v>
      </c>
      <c r="B112">
        <v>111</v>
      </c>
    </row>
    <row r="113" spans="1:2">
      <c r="A113" t="s">
        <v>147</v>
      </c>
      <c r="B113">
        <v>112</v>
      </c>
    </row>
    <row r="114" spans="1:2">
      <c r="A114" t="s">
        <v>148</v>
      </c>
      <c r="B114">
        <v>113</v>
      </c>
    </row>
    <row r="115" spans="1:2">
      <c r="A115" t="s">
        <v>149</v>
      </c>
      <c r="B115">
        <v>114</v>
      </c>
    </row>
    <row r="116" spans="1:2">
      <c r="A116" t="s">
        <v>150</v>
      </c>
      <c r="B116">
        <v>115</v>
      </c>
    </row>
    <row r="117" spans="1:2">
      <c r="A117" t="s">
        <v>151</v>
      </c>
      <c r="B117">
        <v>116</v>
      </c>
    </row>
    <row r="118" spans="1:2">
      <c r="A118" t="s">
        <v>152</v>
      </c>
      <c r="B118">
        <v>117</v>
      </c>
    </row>
    <row r="119" spans="1:2">
      <c r="A119" t="s">
        <v>153</v>
      </c>
      <c r="B119">
        <v>118</v>
      </c>
    </row>
    <row r="120" spans="1:2">
      <c r="A120" t="s">
        <v>154</v>
      </c>
      <c r="B120">
        <v>119</v>
      </c>
    </row>
    <row r="121" spans="1:2">
      <c r="A121" t="s">
        <v>155</v>
      </c>
      <c r="B121">
        <v>120</v>
      </c>
    </row>
    <row r="122" spans="1:2">
      <c r="A122" t="s">
        <v>156</v>
      </c>
      <c r="B122">
        <v>121</v>
      </c>
    </row>
    <row r="123" spans="1:2">
      <c r="A123" t="s">
        <v>157</v>
      </c>
      <c r="B123">
        <v>122</v>
      </c>
    </row>
    <row r="124" spans="1:2">
      <c r="A124" t="s">
        <v>158</v>
      </c>
      <c r="B124">
        <v>123</v>
      </c>
    </row>
    <row r="125" spans="1:2">
      <c r="A125" t="s">
        <v>159</v>
      </c>
      <c r="B125">
        <v>124</v>
      </c>
    </row>
    <row r="126" spans="1:2">
      <c r="A126" t="s">
        <v>160</v>
      </c>
      <c r="B126">
        <v>125</v>
      </c>
    </row>
    <row r="127" spans="1:2">
      <c r="A127" t="s">
        <v>161</v>
      </c>
      <c r="B127">
        <v>126</v>
      </c>
    </row>
    <row r="128" spans="1:2">
      <c r="A128" t="s">
        <v>162</v>
      </c>
      <c r="B128">
        <v>127</v>
      </c>
    </row>
    <row r="129" spans="1:2">
      <c r="A129" t="s">
        <v>163</v>
      </c>
      <c r="B129">
        <v>128</v>
      </c>
    </row>
    <row r="130" spans="1:2">
      <c r="A130" t="s">
        <v>164</v>
      </c>
      <c r="B130">
        <v>129</v>
      </c>
    </row>
    <row r="131" spans="1:2">
      <c r="A131" t="s">
        <v>165</v>
      </c>
      <c r="B131">
        <v>130</v>
      </c>
    </row>
    <row r="132" spans="1:2">
      <c r="A132" t="s">
        <v>379</v>
      </c>
      <c r="B132">
        <v>131</v>
      </c>
    </row>
    <row r="133" spans="1:2">
      <c r="A133" t="s">
        <v>167</v>
      </c>
      <c r="B133">
        <v>132</v>
      </c>
    </row>
    <row r="134" spans="1:2">
      <c r="A134" t="s">
        <v>168</v>
      </c>
      <c r="B134">
        <v>133</v>
      </c>
    </row>
    <row r="135" spans="1:2">
      <c r="A135" t="s">
        <v>169</v>
      </c>
      <c r="B135">
        <v>134</v>
      </c>
    </row>
    <row r="136" spans="1:2">
      <c r="A136" t="s">
        <v>170</v>
      </c>
      <c r="B136">
        <v>135</v>
      </c>
    </row>
    <row r="137" spans="1:2">
      <c r="A137" t="s">
        <v>171</v>
      </c>
      <c r="B137">
        <v>136</v>
      </c>
    </row>
    <row r="138" spans="1:2">
      <c r="A138" t="s">
        <v>172</v>
      </c>
      <c r="B138">
        <v>137</v>
      </c>
    </row>
    <row r="139" spans="1:2">
      <c r="A139" t="s">
        <v>173</v>
      </c>
      <c r="B139">
        <v>138</v>
      </c>
    </row>
    <row r="140" spans="1:2">
      <c r="A140" t="s">
        <v>174</v>
      </c>
      <c r="B140">
        <v>139</v>
      </c>
    </row>
    <row r="141" spans="1:2">
      <c r="A141" t="s">
        <v>175</v>
      </c>
      <c r="B141">
        <v>140</v>
      </c>
    </row>
    <row r="142" spans="1:2">
      <c r="A142" t="s">
        <v>176</v>
      </c>
      <c r="B142">
        <v>141</v>
      </c>
    </row>
    <row r="143" spans="1:2">
      <c r="A143" t="s">
        <v>177</v>
      </c>
      <c r="B143">
        <v>142</v>
      </c>
    </row>
    <row r="144" spans="1:2">
      <c r="A144" t="s">
        <v>178</v>
      </c>
      <c r="B144">
        <v>143</v>
      </c>
    </row>
    <row r="145" spans="1:2">
      <c r="A145" t="s">
        <v>179</v>
      </c>
      <c r="B145">
        <v>144</v>
      </c>
    </row>
    <row r="146" spans="1:2">
      <c r="A146" t="s">
        <v>180</v>
      </c>
      <c r="B146">
        <v>145</v>
      </c>
    </row>
    <row r="147" spans="1:2">
      <c r="A147" t="s">
        <v>181</v>
      </c>
      <c r="B147">
        <v>146</v>
      </c>
    </row>
    <row r="148" spans="1:2">
      <c r="A148" t="s">
        <v>183</v>
      </c>
      <c r="B148">
        <v>147</v>
      </c>
    </row>
    <row r="149" spans="1:2">
      <c r="A149" t="s">
        <v>184</v>
      </c>
      <c r="B149">
        <v>148</v>
      </c>
    </row>
    <row r="150" spans="1:2">
      <c r="A150" t="s">
        <v>185</v>
      </c>
      <c r="B150">
        <v>149</v>
      </c>
    </row>
    <row r="151" spans="1:2">
      <c r="A151" t="s">
        <v>186</v>
      </c>
      <c r="B151">
        <v>150</v>
      </c>
    </row>
    <row r="152" spans="1:2">
      <c r="A152" t="s">
        <v>187</v>
      </c>
      <c r="B152">
        <v>151</v>
      </c>
    </row>
    <row r="153" spans="1:2">
      <c r="A153" t="s">
        <v>188</v>
      </c>
      <c r="B153">
        <v>152</v>
      </c>
    </row>
    <row r="154" spans="1:2">
      <c r="A154" t="s">
        <v>189</v>
      </c>
      <c r="B154">
        <v>153</v>
      </c>
    </row>
    <row r="155" spans="1:2">
      <c r="A155" t="s">
        <v>190</v>
      </c>
      <c r="B155">
        <v>154</v>
      </c>
    </row>
    <row r="156" spans="1:2">
      <c r="A156" t="s">
        <v>191</v>
      </c>
      <c r="B156">
        <v>155</v>
      </c>
    </row>
    <row r="157" spans="1:2">
      <c r="A157" t="s">
        <v>192</v>
      </c>
      <c r="B157">
        <v>156</v>
      </c>
    </row>
    <row r="158" spans="1:2">
      <c r="A158" t="s">
        <v>193</v>
      </c>
      <c r="B158">
        <v>157</v>
      </c>
    </row>
    <row r="159" spans="1:2">
      <c r="A159" t="s">
        <v>194</v>
      </c>
      <c r="B159">
        <v>158</v>
      </c>
    </row>
    <row r="160" spans="1:2">
      <c r="A160" t="s">
        <v>195</v>
      </c>
      <c r="B160">
        <v>159</v>
      </c>
    </row>
    <row r="161" spans="1:2">
      <c r="A161" t="s">
        <v>196</v>
      </c>
      <c r="B161">
        <v>160</v>
      </c>
    </row>
    <row r="162" spans="1:2">
      <c r="A162" t="s">
        <v>399</v>
      </c>
      <c r="B162">
        <v>161</v>
      </c>
    </row>
    <row r="163" spans="1:2">
      <c r="A163" t="s">
        <v>198</v>
      </c>
      <c r="B163">
        <v>162</v>
      </c>
    </row>
    <row r="164" spans="1:2">
      <c r="A164" t="s">
        <v>199</v>
      </c>
      <c r="B164">
        <v>163</v>
      </c>
    </row>
    <row r="165" spans="1:2">
      <c r="A165" t="s">
        <v>200</v>
      </c>
      <c r="B165">
        <v>164</v>
      </c>
    </row>
    <row r="166" spans="1:2">
      <c r="A166" t="s">
        <v>201</v>
      </c>
      <c r="B166">
        <v>165</v>
      </c>
    </row>
    <row r="167" spans="1:2">
      <c r="A167" t="s">
        <v>202</v>
      </c>
      <c r="B167">
        <v>166</v>
      </c>
    </row>
    <row r="168" spans="1:2">
      <c r="A168" t="s">
        <v>203</v>
      </c>
      <c r="B168">
        <v>167</v>
      </c>
    </row>
    <row r="169" spans="1:2">
      <c r="A169" t="s">
        <v>204</v>
      </c>
      <c r="B169">
        <v>168</v>
      </c>
    </row>
    <row r="170" spans="1:2">
      <c r="A170" t="s">
        <v>205</v>
      </c>
      <c r="B170">
        <v>169</v>
      </c>
    </row>
    <row r="171" spans="1:2">
      <c r="A171" t="s">
        <v>206</v>
      </c>
      <c r="B171">
        <v>170</v>
      </c>
    </row>
    <row r="172" spans="1:2">
      <c r="A172" t="s">
        <v>207</v>
      </c>
      <c r="B172">
        <v>171</v>
      </c>
    </row>
    <row r="173" spans="1:2">
      <c r="A173" t="s">
        <v>209</v>
      </c>
      <c r="B173">
        <v>172</v>
      </c>
    </row>
    <row r="174" spans="1:2">
      <c r="A174" t="s">
        <v>210</v>
      </c>
      <c r="B174">
        <v>173</v>
      </c>
    </row>
    <row r="175" spans="1:2">
      <c r="A175" t="s">
        <v>211</v>
      </c>
      <c r="B175">
        <v>174</v>
      </c>
    </row>
    <row r="176" spans="1:2">
      <c r="A176" t="s">
        <v>213</v>
      </c>
      <c r="B176">
        <v>175</v>
      </c>
    </row>
    <row r="177" spans="1:2">
      <c r="A177" t="s">
        <v>214</v>
      </c>
      <c r="B177">
        <v>176</v>
      </c>
    </row>
    <row r="178" spans="1:2">
      <c r="A178" t="s">
        <v>216</v>
      </c>
      <c r="B178">
        <v>177</v>
      </c>
    </row>
    <row r="179" spans="1:2">
      <c r="A179" t="s">
        <v>217</v>
      </c>
      <c r="B179">
        <v>178</v>
      </c>
    </row>
    <row r="180" spans="1:2">
      <c r="A180" t="s">
        <v>218</v>
      </c>
      <c r="B180">
        <v>179</v>
      </c>
    </row>
    <row r="181" spans="1:2">
      <c r="A181" t="s">
        <v>219</v>
      </c>
      <c r="B181">
        <v>180</v>
      </c>
    </row>
    <row r="182" spans="1:2">
      <c r="A182" t="s">
        <v>220</v>
      </c>
      <c r="B182">
        <v>181</v>
      </c>
    </row>
    <row r="183" spans="1:2">
      <c r="A183" t="s">
        <v>221</v>
      </c>
      <c r="B183">
        <v>182</v>
      </c>
    </row>
    <row r="184" spans="1:2">
      <c r="A184" t="s">
        <v>222</v>
      </c>
      <c r="B184">
        <v>183</v>
      </c>
    </row>
    <row r="185" spans="1:2">
      <c r="A185" t="s">
        <v>223</v>
      </c>
      <c r="B185">
        <v>184</v>
      </c>
    </row>
    <row r="186" spans="1:2">
      <c r="A186" t="s">
        <v>224</v>
      </c>
      <c r="B186">
        <v>185</v>
      </c>
    </row>
    <row r="187" spans="1:2">
      <c r="A187" t="s">
        <v>225</v>
      </c>
      <c r="B187">
        <v>186</v>
      </c>
    </row>
    <row r="188" spans="1:2">
      <c r="A188" t="s">
        <v>226</v>
      </c>
      <c r="B188">
        <v>187</v>
      </c>
    </row>
    <row r="189" spans="1:2">
      <c r="A189" t="s">
        <v>227</v>
      </c>
      <c r="B189">
        <v>188</v>
      </c>
    </row>
    <row r="190" spans="1:2">
      <c r="A190" t="s">
        <v>228</v>
      </c>
      <c r="B190">
        <v>189</v>
      </c>
    </row>
    <row r="191" spans="1:2">
      <c r="A191" t="s">
        <v>229</v>
      </c>
      <c r="B191">
        <v>190</v>
      </c>
    </row>
    <row r="192" spans="1:2">
      <c r="A192" t="s">
        <v>230</v>
      </c>
      <c r="B192">
        <v>191</v>
      </c>
    </row>
    <row r="193" spans="1:2">
      <c r="A193" t="s">
        <v>231</v>
      </c>
      <c r="B193">
        <v>192</v>
      </c>
    </row>
    <row r="194" spans="1:2">
      <c r="A194" t="s">
        <v>232</v>
      </c>
      <c r="B194">
        <v>193</v>
      </c>
    </row>
    <row r="195" spans="1:2">
      <c r="A195" t="s">
        <v>233</v>
      </c>
      <c r="B195">
        <v>194</v>
      </c>
    </row>
    <row r="196" spans="1:2">
      <c r="A196" t="s">
        <v>234</v>
      </c>
      <c r="B196">
        <v>195</v>
      </c>
    </row>
    <row r="197" spans="1:2">
      <c r="A197" t="s">
        <v>235</v>
      </c>
      <c r="B197">
        <v>196</v>
      </c>
    </row>
    <row r="198" spans="1:2">
      <c r="A198" t="s">
        <v>236</v>
      </c>
      <c r="B198">
        <v>197</v>
      </c>
    </row>
    <row r="199" spans="1:2">
      <c r="A199" t="s">
        <v>237</v>
      </c>
      <c r="B199">
        <v>198</v>
      </c>
    </row>
    <row r="200" spans="1:2">
      <c r="A200" t="s">
        <v>238</v>
      </c>
      <c r="B200">
        <v>199</v>
      </c>
    </row>
    <row r="201" spans="1:2">
      <c r="A201" t="s">
        <v>239</v>
      </c>
      <c r="B201">
        <v>200</v>
      </c>
    </row>
    <row r="202" spans="1:2">
      <c r="A202" t="s">
        <v>240</v>
      </c>
      <c r="B202">
        <v>201</v>
      </c>
    </row>
    <row r="203" spans="1:2">
      <c r="A203" t="s">
        <v>241</v>
      </c>
      <c r="B203">
        <v>202</v>
      </c>
    </row>
    <row r="204" spans="1:2">
      <c r="A204" t="s">
        <v>243</v>
      </c>
      <c r="B204">
        <v>203</v>
      </c>
    </row>
    <row r="205" spans="1:2">
      <c r="A205" t="s">
        <v>244</v>
      </c>
      <c r="B205">
        <v>204</v>
      </c>
    </row>
    <row r="206" spans="1:2">
      <c r="A206" t="s">
        <v>245</v>
      </c>
      <c r="B206">
        <v>205</v>
      </c>
    </row>
    <row r="207" spans="1:2">
      <c r="A207" t="s">
        <v>246</v>
      </c>
      <c r="B207">
        <v>206</v>
      </c>
    </row>
    <row r="208" spans="1:2">
      <c r="A208" t="s">
        <v>247</v>
      </c>
      <c r="B208">
        <v>207</v>
      </c>
    </row>
    <row r="209" spans="1:2">
      <c r="A209" t="s">
        <v>248</v>
      </c>
      <c r="B209">
        <v>208</v>
      </c>
    </row>
    <row r="210" spans="1:2">
      <c r="A210" t="s">
        <v>249</v>
      </c>
      <c r="B210">
        <v>209</v>
      </c>
    </row>
    <row r="211" spans="1:2">
      <c r="A211" t="s">
        <v>250</v>
      </c>
      <c r="B211">
        <v>210</v>
      </c>
    </row>
    <row r="212" spans="1:2">
      <c r="A212" t="s">
        <v>253</v>
      </c>
      <c r="B212">
        <v>211</v>
      </c>
    </row>
    <row r="213" spans="1:2">
      <c r="A213" t="s">
        <v>254</v>
      </c>
      <c r="B213">
        <v>212</v>
      </c>
    </row>
    <row r="214" spans="1:2">
      <c r="A214" t="s">
        <v>256</v>
      </c>
      <c r="B214">
        <v>213</v>
      </c>
    </row>
    <row r="215" spans="1:2">
      <c r="A215" t="s">
        <v>257</v>
      </c>
      <c r="B215">
        <v>214</v>
      </c>
    </row>
    <row r="216" spans="1:2">
      <c r="A216" t="s">
        <v>258</v>
      </c>
      <c r="B216">
        <v>215</v>
      </c>
    </row>
    <row r="217" spans="1:2">
      <c r="A217" t="s">
        <v>259</v>
      </c>
      <c r="B217">
        <v>216</v>
      </c>
    </row>
    <row r="218" spans="1:2">
      <c r="A218" t="s">
        <v>260</v>
      </c>
      <c r="B218">
        <v>217</v>
      </c>
    </row>
    <row r="219" spans="1:2">
      <c r="A219" t="s">
        <v>262</v>
      </c>
      <c r="B219">
        <v>218</v>
      </c>
    </row>
    <row r="220" spans="1:2">
      <c r="A220" t="s">
        <v>263</v>
      </c>
      <c r="B220">
        <v>219</v>
      </c>
    </row>
    <row r="221" spans="1:2">
      <c r="A221" t="s">
        <v>264</v>
      </c>
      <c r="B221">
        <v>220</v>
      </c>
    </row>
    <row r="222" spans="1:2">
      <c r="A222" t="s">
        <v>265</v>
      </c>
      <c r="B222">
        <v>221</v>
      </c>
    </row>
    <row r="223" spans="1:2">
      <c r="A223" t="s">
        <v>267</v>
      </c>
      <c r="B223">
        <v>222</v>
      </c>
    </row>
    <row r="224" spans="1:2">
      <c r="A224" t="s">
        <v>268</v>
      </c>
      <c r="B224">
        <v>223</v>
      </c>
    </row>
    <row r="225" spans="1:2">
      <c r="A225" t="s">
        <v>269</v>
      </c>
      <c r="B225">
        <v>224</v>
      </c>
    </row>
    <row r="226" spans="1:2">
      <c r="A226" t="s">
        <v>270</v>
      </c>
      <c r="B226">
        <v>225</v>
      </c>
    </row>
    <row r="227" spans="1:2">
      <c r="A227" t="s">
        <v>351</v>
      </c>
      <c r="B227">
        <v>226</v>
      </c>
    </row>
    <row r="228" spans="1:2">
      <c r="A228" t="s">
        <v>272</v>
      </c>
      <c r="B228">
        <v>227</v>
      </c>
    </row>
    <row r="229" spans="1:2">
      <c r="A229" t="s">
        <v>273</v>
      </c>
      <c r="B229">
        <v>228</v>
      </c>
    </row>
    <row r="230" spans="1:2">
      <c r="A230" t="s">
        <v>274</v>
      </c>
      <c r="B230">
        <v>229</v>
      </c>
    </row>
    <row r="231" spans="1:2">
      <c r="A231" t="s">
        <v>275</v>
      </c>
      <c r="B231">
        <v>230</v>
      </c>
    </row>
    <row r="232" spans="1:2">
      <c r="A232" t="s">
        <v>276</v>
      </c>
      <c r="B232">
        <v>231</v>
      </c>
    </row>
    <row r="233" spans="1:2">
      <c r="A233" t="s">
        <v>277</v>
      </c>
      <c r="B233">
        <v>232</v>
      </c>
    </row>
    <row r="234" spans="1:2">
      <c r="A234" t="s">
        <v>278</v>
      </c>
      <c r="B234">
        <v>233</v>
      </c>
    </row>
    <row r="235" spans="1:2">
      <c r="A235" t="s">
        <v>279</v>
      </c>
      <c r="B235">
        <v>234</v>
      </c>
    </row>
    <row r="236" spans="1:2">
      <c r="A236" t="s">
        <v>280</v>
      </c>
      <c r="B236">
        <v>235</v>
      </c>
    </row>
    <row r="237" spans="1:2">
      <c r="A237" t="s">
        <v>281</v>
      </c>
      <c r="B237">
        <v>236</v>
      </c>
    </row>
    <row r="238" spans="1:2">
      <c r="A238" t="s">
        <v>282</v>
      </c>
      <c r="B238">
        <v>237</v>
      </c>
    </row>
    <row r="239" spans="1:2">
      <c r="A239" t="s">
        <v>283</v>
      </c>
      <c r="B239">
        <v>238</v>
      </c>
    </row>
    <row r="240" spans="1:2">
      <c r="A240" t="s">
        <v>284</v>
      </c>
      <c r="B240">
        <v>239</v>
      </c>
    </row>
    <row r="241" spans="1:2">
      <c r="A241" t="s">
        <v>285</v>
      </c>
      <c r="B241">
        <v>240</v>
      </c>
    </row>
    <row r="242" spans="1:2">
      <c r="A242" t="s">
        <v>287</v>
      </c>
      <c r="B242">
        <v>241</v>
      </c>
    </row>
    <row r="243" spans="1:2">
      <c r="A243" t="s">
        <v>289</v>
      </c>
      <c r="B243">
        <v>242</v>
      </c>
    </row>
    <row r="244" spans="1:2">
      <c r="A244" t="s">
        <v>290</v>
      </c>
      <c r="B244">
        <v>243</v>
      </c>
    </row>
    <row r="245" spans="1:2">
      <c r="A245" t="s">
        <v>291</v>
      </c>
      <c r="B245">
        <v>244</v>
      </c>
    </row>
    <row r="246" spans="1:2">
      <c r="A246" t="s">
        <v>292</v>
      </c>
      <c r="B246">
        <v>245</v>
      </c>
    </row>
    <row r="247" spans="1:2">
      <c r="A247" t="s">
        <v>293</v>
      </c>
      <c r="B247">
        <v>246</v>
      </c>
    </row>
    <row r="248" spans="1:2">
      <c r="A248" t="s">
        <v>294</v>
      </c>
      <c r="B248">
        <v>247</v>
      </c>
    </row>
    <row r="249" spans="1:2">
      <c r="A249" t="s">
        <v>299</v>
      </c>
      <c r="B249">
        <v>248</v>
      </c>
    </row>
    <row r="250" spans="1:2">
      <c r="A250" t="s">
        <v>300</v>
      </c>
      <c r="B250">
        <v>249</v>
      </c>
    </row>
    <row r="251" spans="1:2">
      <c r="A251" t="s">
        <v>301</v>
      </c>
      <c r="B251">
        <v>250</v>
      </c>
    </row>
    <row r="252" spans="1:2">
      <c r="A252" t="s">
        <v>302</v>
      </c>
      <c r="B252">
        <v>251</v>
      </c>
    </row>
    <row r="253" spans="1:2">
      <c r="A253" t="s">
        <v>303</v>
      </c>
      <c r="B253">
        <v>252</v>
      </c>
    </row>
    <row r="254" spans="1:2">
      <c r="A254" t="s">
        <v>304</v>
      </c>
      <c r="B254">
        <v>253</v>
      </c>
    </row>
    <row r="255" spans="1:2">
      <c r="A255" t="s">
        <v>305</v>
      </c>
      <c r="B255">
        <v>254</v>
      </c>
    </row>
    <row r="256" spans="1:2">
      <c r="A256" t="s">
        <v>306</v>
      </c>
      <c r="B256">
        <v>255</v>
      </c>
    </row>
    <row r="257" spans="1:2">
      <c r="A257" t="s">
        <v>307</v>
      </c>
      <c r="B257">
        <v>256</v>
      </c>
    </row>
    <row r="258" spans="1:2">
      <c r="A258" t="s">
        <v>308</v>
      </c>
      <c r="B258">
        <v>257</v>
      </c>
    </row>
    <row r="259" spans="1:2">
      <c r="A259" t="s">
        <v>309</v>
      </c>
      <c r="B259">
        <v>258</v>
      </c>
    </row>
    <row r="260" spans="1:2">
      <c r="A260" t="s">
        <v>310</v>
      </c>
      <c r="B260">
        <v>259</v>
      </c>
    </row>
    <row r="261" spans="1:2">
      <c r="A261" t="s">
        <v>311</v>
      </c>
      <c r="B261">
        <v>260</v>
      </c>
    </row>
    <row r="262" spans="1:2">
      <c r="A262" t="s">
        <v>519</v>
      </c>
      <c r="B262">
        <v>261</v>
      </c>
    </row>
    <row r="263" spans="1:2">
      <c r="A263" t="s">
        <v>313</v>
      </c>
      <c r="B263">
        <v>262</v>
      </c>
    </row>
    <row r="264" spans="1:2">
      <c r="A264" t="s">
        <v>314</v>
      </c>
      <c r="B264">
        <v>263</v>
      </c>
    </row>
    <row r="265" spans="1:2">
      <c r="A265" t="s">
        <v>315</v>
      </c>
      <c r="B265">
        <v>264</v>
      </c>
    </row>
    <row r="266" spans="1:2">
      <c r="A266" t="s">
        <v>316</v>
      </c>
      <c r="B266">
        <v>265</v>
      </c>
    </row>
    <row r="267" spans="1:2">
      <c r="A267" t="s">
        <v>317</v>
      </c>
      <c r="B267">
        <v>266</v>
      </c>
    </row>
    <row r="268" spans="1:2">
      <c r="A268" t="s">
        <v>318</v>
      </c>
      <c r="B268">
        <v>267</v>
      </c>
    </row>
    <row r="269" spans="1:2">
      <c r="A269" t="s">
        <v>319</v>
      </c>
      <c r="B269">
        <v>268</v>
      </c>
    </row>
    <row r="270" spans="1:2">
      <c r="A270" t="s">
        <v>320</v>
      </c>
      <c r="B270">
        <v>269</v>
      </c>
    </row>
    <row r="271" spans="1:2">
      <c r="A271" t="s">
        <v>321</v>
      </c>
      <c r="B271">
        <v>270</v>
      </c>
    </row>
    <row r="272" spans="1:2">
      <c r="A272" t="s">
        <v>322</v>
      </c>
      <c r="B272">
        <v>271</v>
      </c>
    </row>
    <row r="273" spans="1:2">
      <c r="A273" t="s">
        <v>323</v>
      </c>
      <c r="B273">
        <v>272</v>
      </c>
    </row>
    <row r="274" spans="1:2">
      <c r="A274" t="s">
        <v>324</v>
      </c>
      <c r="B274">
        <v>273</v>
      </c>
    </row>
    <row r="275" spans="1:2">
      <c r="A275" t="s">
        <v>325</v>
      </c>
      <c r="B275">
        <v>274</v>
      </c>
    </row>
    <row r="276" spans="1:2">
      <c r="A276" t="s">
        <v>326</v>
      </c>
      <c r="B276">
        <v>275</v>
      </c>
    </row>
    <row r="277" spans="1:2">
      <c r="A277" t="s">
        <v>327</v>
      </c>
      <c r="B277">
        <v>276</v>
      </c>
    </row>
    <row r="278" spans="1:2">
      <c r="A278" t="s">
        <v>328</v>
      </c>
      <c r="B278">
        <v>277</v>
      </c>
    </row>
    <row r="279" spans="1:2">
      <c r="A279" t="s">
        <v>329</v>
      </c>
      <c r="B279">
        <v>278</v>
      </c>
    </row>
    <row r="280" spans="1:2">
      <c r="A280" t="s">
        <v>330</v>
      </c>
      <c r="B280">
        <v>279</v>
      </c>
    </row>
    <row r="281" spans="1:2">
      <c r="A281" t="s">
        <v>332</v>
      </c>
      <c r="B281">
        <v>280</v>
      </c>
    </row>
    <row r="282" spans="1:2">
      <c r="A282" t="s">
        <v>333</v>
      </c>
      <c r="B282">
        <v>281</v>
      </c>
    </row>
    <row r="283" spans="1:2">
      <c r="A283" t="s">
        <v>334</v>
      </c>
      <c r="B283">
        <v>282</v>
      </c>
    </row>
    <row r="284" spans="1:2">
      <c r="A284" t="s">
        <v>335</v>
      </c>
      <c r="B284">
        <v>283</v>
      </c>
    </row>
    <row r="285" spans="1:2">
      <c r="A285" t="s">
        <v>336</v>
      </c>
      <c r="B285">
        <v>284</v>
      </c>
    </row>
    <row r="286" spans="1:2">
      <c r="A286" t="s">
        <v>337</v>
      </c>
      <c r="B286">
        <v>285</v>
      </c>
    </row>
    <row r="287" spans="1:2">
      <c r="A287" t="s">
        <v>338</v>
      </c>
      <c r="B287">
        <v>286</v>
      </c>
    </row>
    <row r="288" spans="1:2">
      <c r="A288" t="s">
        <v>339</v>
      </c>
      <c r="B288">
        <v>287</v>
      </c>
    </row>
    <row r="289" spans="1:2">
      <c r="A289" t="s">
        <v>340</v>
      </c>
      <c r="B289">
        <v>288</v>
      </c>
    </row>
    <row r="290" spans="1:2">
      <c r="A290" t="s">
        <v>341</v>
      </c>
      <c r="B290">
        <v>289</v>
      </c>
    </row>
    <row r="291" spans="1:2">
      <c r="A291" t="s">
        <v>342</v>
      </c>
      <c r="B291">
        <v>290</v>
      </c>
    </row>
    <row r="292" spans="1:2">
      <c r="A292" t="s">
        <v>343</v>
      </c>
      <c r="B292">
        <v>291</v>
      </c>
    </row>
    <row r="293" spans="1:2">
      <c r="A293" t="s">
        <v>344</v>
      </c>
      <c r="B293">
        <v>292</v>
      </c>
    </row>
    <row r="294" spans="1:2">
      <c r="A294" t="s">
        <v>345</v>
      </c>
      <c r="B294">
        <v>293</v>
      </c>
    </row>
    <row r="295" spans="1:2">
      <c r="A295" t="s">
        <v>346</v>
      </c>
      <c r="B295">
        <v>294</v>
      </c>
    </row>
    <row r="296" spans="1:2">
      <c r="A296" t="s">
        <v>347</v>
      </c>
      <c r="B296">
        <v>295</v>
      </c>
    </row>
    <row r="297" spans="1:2">
      <c r="A297" t="s">
        <v>348</v>
      </c>
      <c r="B297">
        <v>296</v>
      </c>
    </row>
    <row r="298" spans="1:2">
      <c r="A298" t="s">
        <v>349</v>
      </c>
      <c r="B298">
        <v>297</v>
      </c>
    </row>
    <row r="299" spans="1:2">
      <c r="A299" t="s">
        <v>350</v>
      </c>
      <c r="B299">
        <v>298</v>
      </c>
    </row>
    <row r="300" spans="1:2">
      <c r="A300" t="s">
        <v>352</v>
      </c>
      <c r="B300">
        <v>299</v>
      </c>
    </row>
    <row r="301" spans="1:2">
      <c r="A301" t="s">
        <v>356</v>
      </c>
      <c r="B301">
        <v>300</v>
      </c>
    </row>
    <row r="302" spans="1:2">
      <c r="A302" t="s">
        <v>357</v>
      </c>
      <c r="B302">
        <v>301</v>
      </c>
    </row>
    <row r="303" spans="1:2">
      <c r="A303" t="s">
        <v>358</v>
      </c>
      <c r="B303">
        <v>302</v>
      </c>
    </row>
    <row r="304" spans="1:2">
      <c r="A304" t="s">
        <v>359</v>
      </c>
      <c r="B304">
        <v>303</v>
      </c>
    </row>
    <row r="305" spans="1:2">
      <c r="A305" t="s">
        <v>360</v>
      </c>
      <c r="B305">
        <v>304</v>
      </c>
    </row>
    <row r="306" spans="1:2">
      <c r="A306" t="s">
        <v>361</v>
      </c>
      <c r="B306">
        <v>305</v>
      </c>
    </row>
    <row r="307" spans="1:2">
      <c r="A307" t="s">
        <v>364</v>
      </c>
      <c r="B307">
        <v>306</v>
      </c>
    </row>
    <row r="308" spans="1:2">
      <c r="A308" t="s">
        <v>365</v>
      </c>
      <c r="B308">
        <v>307</v>
      </c>
    </row>
    <row r="309" spans="1:2">
      <c r="A309" t="s">
        <v>366</v>
      </c>
      <c r="B309">
        <v>308</v>
      </c>
    </row>
    <row r="310" spans="1:2">
      <c r="A310" t="s">
        <v>367</v>
      </c>
      <c r="B310">
        <v>309</v>
      </c>
    </row>
    <row r="311" spans="1:2">
      <c r="A311" t="s">
        <v>368</v>
      </c>
      <c r="B311">
        <v>310</v>
      </c>
    </row>
    <row r="312" spans="1:2">
      <c r="A312" t="s">
        <v>369</v>
      </c>
      <c r="B312">
        <v>311</v>
      </c>
    </row>
    <row r="313" spans="1:2">
      <c r="A313" t="s">
        <v>370</v>
      </c>
      <c r="B313">
        <v>312</v>
      </c>
    </row>
    <row r="314" spans="1:2">
      <c r="A314" t="s">
        <v>371</v>
      </c>
      <c r="B314">
        <v>313</v>
      </c>
    </row>
    <row r="315" spans="1:2">
      <c r="A315" t="s">
        <v>372</v>
      </c>
      <c r="B315">
        <v>314</v>
      </c>
    </row>
    <row r="316" spans="1:2">
      <c r="A316" t="s">
        <v>373</v>
      </c>
      <c r="B316">
        <v>315</v>
      </c>
    </row>
    <row r="317" spans="1:2">
      <c r="A317" t="s">
        <v>374</v>
      </c>
      <c r="B317">
        <v>316</v>
      </c>
    </row>
    <row r="318" spans="1:2">
      <c r="A318" t="s">
        <v>375</v>
      </c>
      <c r="B318">
        <v>317</v>
      </c>
    </row>
    <row r="319" spans="1:2">
      <c r="A319" t="s">
        <v>376</v>
      </c>
      <c r="B319">
        <v>318</v>
      </c>
    </row>
    <row r="320" spans="1:2">
      <c r="A320" t="s">
        <v>377</v>
      </c>
      <c r="B320">
        <v>319</v>
      </c>
    </row>
    <row r="321" spans="1:2">
      <c r="A321" t="s">
        <v>378</v>
      </c>
      <c r="B321">
        <v>320</v>
      </c>
    </row>
    <row r="322" spans="1:2">
      <c r="A322" t="s">
        <v>380</v>
      </c>
      <c r="B322">
        <v>321</v>
      </c>
    </row>
    <row r="323" spans="1:2">
      <c r="A323" t="s">
        <v>381</v>
      </c>
      <c r="B323">
        <v>322</v>
      </c>
    </row>
    <row r="324" spans="1:2">
      <c r="A324" t="s">
        <v>382</v>
      </c>
      <c r="B324">
        <v>323</v>
      </c>
    </row>
    <row r="325" spans="1:2">
      <c r="A325" t="s">
        <v>383</v>
      </c>
      <c r="B325">
        <v>324</v>
      </c>
    </row>
    <row r="326" spans="1:2">
      <c r="A326" t="s">
        <v>384</v>
      </c>
      <c r="B326">
        <v>325</v>
      </c>
    </row>
    <row r="327" spans="1:2">
      <c r="A327" t="s">
        <v>385</v>
      </c>
      <c r="B327">
        <v>326</v>
      </c>
    </row>
    <row r="328" spans="1:2">
      <c r="A328" t="s">
        <v>386</v>
      </c>
      <c r="B328">
        <v>327</v>
      </c>
    </row>
    <row r="329" spans="1:2">
      <c r="A329" t="s">
        <v>387</v>
      </c>
      <c r="B329">
        <v>328</v>
      </c>
    </row>
    <row r="330" spans="1:2">
      <c r="A330" t="s">
        <v>388</v>
      </c>
      <c r="B330">
        <v>329</v>
      </c>
    </row>
    <row r="331" spans="1:2">
      <c r="A331" t="s">
        <v>389</v>
      </c>
      <c r="B331">
        <v>330</v>
      </c>
    </row>
    <row r="332" spans="1:2">
      <c r="A332" t="s">
        <v>390</v>
      </c>
      <c r="B332">
        <v>331</v>
      </c>
    </row>
    <row r="333" spans="1:2">
      <c r="A333" t="s">
        <v>391</v>
      </c>
      <c r="B333">
        <v>332</v>
      </c>
    </row>
    <row r="334" spans="1:2">
      <c r="A334" t="s">
        <v>392</v>
      </c>
      <c r="B334">
        <v>333</v>
      </c>
    </row>
    <row r="335" spans="1:2">
      <c r="A335" t="s">
        <v>393</v>
      </c>
      <c r="B335">
        <v>334</v>
      </c>
    </row>
    <row r="336" spans="1:2">
      <c r="A336" t="s">
        <v>394</v>
      </c>
      <c r="B336">
        <v>335</v>
      </c>
    </row>
    <row r="337" spans="1:2">
      <c r="A337" t="s">
        <v>395</v>
      </c>
      <c r="B337">
        <v>336</v>
      </c>
    </row>
    <row r="338" spans="1:2">
      <c r="A338" t="s">
        <v>396</v>
      </c>
      <c r="B338">
        <v>337</v>
      </c>
    </row>
    <row r="339" spans="1:2">
      <c r="A339" t="s">
        <v>397</v>
      </c>
      <c r="B339">
        <v>338</v>
      </c>
    </row>
    <row r="340" spans="1:2">
      <c r="A340" t="s">
        <v>398</v>
      </c>
      <c r="B340">
        <v>339</v>
      </c>
    </row>
    <row r="341" spans="1:2">
      <c r="A341" t="s">
        <v>400</v>
      </c>
      <c r="B341">
        <v>340</v>
      </c>
    </row>
    <row r="342" spans="1:2">
      <c r="A342" t="s">
        <v>405</v>
      </c>
      <c r="B342">
        <v>341</v>
      </c>
    </row>
    <row r="343" spans="1:2">
      <c r="A343" t="s">
        <v>406</v>
      </c>
      <c r="B343">
        <v>342</v>
      </c>
    </row>
    <row r="344" spans="1:2">
      <c r="A344" t="s">
        <v>407</v>
      </c>
      <c r="B344">
        <v>343</v>
      </c>
    </row>
    <row r="345" spans="1:2">
      <c r="A345" t="s">
        <v>408</v>
      </c>
      <c r="B345">
        <v>344</v>
      </c>
    </row>
    <row r="346" spans="1:2">
      <c r="A346" t="s">
        <v>409</v>
      </c>
      <c r="B346">
        <v>345</v>
      </c>
    </row>
    <row r="347" spans="1:2">
      <c r="A347" t="s">
        <v>410</v>
      </c>
      <c r="B347">
        <v>346</v>
      </c>
    </row>
    <row r="348" spans="1:2">
      <c r="A348" t="s">
        <v>411</v>
      </c>
      <c r="B348">
        <v>347</v>
      </c>
    </row>
    <row r="349" spans="1:2">
      <c r="A349" t="s">
        <v>412</v>
      </c>
      <c r="B349">
        <v>348</v>
      </c>
    </row>
    <row r="350" spans="1:2">
      <c r="A350" t="s">
        <v>413</v>
      </c>
      <c r="B350">
        <v>349</v>
      </c>
    </row>
    <row r="351" spans="1:2">
      <c r="A351" t="s">
        <v>414</v>
      </c>
      <c r="B351">
        <v>350</v>
      </c>
    </row>
    <row r="352" spans="1:2">
      <c r="A352" t="s">
        <v>415</v>
      </c>
      <c r="B352">
        <v>351</v>
      </c>
    </row>
    <row r="353" spans="1:2">
      <c r="A353" t="s">
        <v>416</v>
      </c>
      <c r="B353">
        <v>352</v>
      </c>
    </row>
    <row r="354" spans="1:2">
      <c r="A354" t="s">
        <v>417</v>
      </c>
      <c r="B354">
        <v>353</v>
      </c>
    </row>
    <row r="355" spans="1:2">
      <c r="A355" t="s">
        <v>418</v>
      </c>
      <c r="B355">
        <v>354</v>
      </c>
    </row>
    <row r="356" spans="1:2">
      <c r="A356" t="s">
        <v>419</v>
      </c>
      <c r="B356">
        <v>355</v>
      </c>
    </row>
    <row r="357" spans="1:2">
      <c r="A357" t="s">
        <v>420</v>
      </c>
      <c r="B357">
        <v>356</v>
      </c>
    </row>
    <row r="358" spans="1:2">
      <c r="A358" t="s">
        <v>421</v>
      </c>
      <c r="B358">
        <v>357</v>
      </c>
    </row>
    <row r="359" spans="1:2">
      <c r="A359" t="s">
        <v>261</v>
      </c>
      <c r="B359">
        <v>358</v>
      </c>
    </row>
    <row r="360" spans="1:2">
      <c r="A360" t="s">
        <v>422</v>
      </c>
      <c r="B360">
        <v>359</v>
      </c>
    </row>
    <row r="361" spans="1:2">
      <c r="A361" t="s">
        <v>423</v>
      </c>
      <c r="B361">
        <v>360</v>
      </c>
    </row>
    <row r="362" spans="1:2">
      <c r="A362" t="s">
        <v>424</v>
      </c>
      <c r="B362">
        <v>361</v>
      </c>
    </row>
    <row r="363" spans="1:2">
      <c r="A363" t="s">
        <v>425</v>
      </c>
      <c r="B363">
        <v>362</v>
      </c>
    </row>
    <row r="364" spans="1:2">
      <c r="A364" t="s">
        <v>426</v>
      </c>
      <c r="B364">
        <v>363</v>
      </c>
    </row>
    <row r="365" spans="1:2">
      <c r="A365" t="s">
        <v>427</v>
      </c>
      <c r="B365">
        <v>364</v>
      </c>
    </row>
    <row r="366" spans="1:2">
      <c r="A366" t="s">
        <v>428</v>
      </c>
      <c r="B366">
        <v>365</v>
      </c>
    </row>
    <row r="367" spans="1:2">
      <c r="A367" t="s">
        <v>429</v>
      </c>
      <c r="B367">
        <v>366</v>
      </c>
    </row>
    <row r="368" spans="1:2">
      <c r="A368" t="s">
        <v>430</v>
      </c>
      <c r="B368">
        <v>367</v>
      </c>
    </row>
    <row r="369" spans="1:2">
      <c r="A369" t="s">
        <v>431</v>
      </c>
      <c r="B369">
        <v>368</v>
      </c>
    </row>
    <row r="370" spans="1:2">
      <c r="A370" t="s">
        <v>432</v>
      </c>
      <c r="B370">
        <v>369</v>
      </c>
    </row>
    <row r="371" spans="1:2">
      <c r="A371" t="s">
        <v>433</v>
      </c>
      <c r="B371">
        <v>370</v>
      </c>
    </row>
    <row r="372" spans="1:2">
      <c r="A372" t="s">
        <v>434</v>
      </c>
      <c r="B372">
        <v>371</v>
      </c>
    </row>
    <row r="373" spans="1:2">
      <c r="A373" t="s">
        <v>435</v>
      </c>
      <c r="B373">
        <v>372</v>
      </c>
    </row>
    <row r="374" spans="1:2">
      <c r="A374" t="s">
        <v>436</v>
      </c>
      <c r="B374">
        <v>373</v>
      </c>
    </row>
    <row r="375" spans="1:2">
      <c r="A375" t="s">
        <v>437</v>
      </c>
      <c r="B375">
        <v>374</v>
      </c>
    </row>
    <row r="376" spans="1:2">
      <c r="A376" t="s">
        <v>438</v>
      </c>
      <c r="B376">
        <v>375</v>
      </c>
    </row>
    <row r="377" spans="1:2">
      <c r="A377" t="s">
        <v>439</v>
      </c>
      <c r="B377">
        <v>376</v>
      </c>
    </row>
    <row r="378" spans="1:2">
      <c r="A378" t="s">
        <v>440</v>
      </c>
      <c r="B378">
        <v>377</v>
      </c>
    </row>
    <row r="379" spans="1:2">
      <c r="A379" t="s">
        <v>441</v>
      </c>
      <c r="B379">
        <v>378</v>
      </c>
    </row>
    <row r="380" spans="1:2">
      <c r="A380" t="s">
        <v>442</v>
      </c>
      <c r="B380">
        <v>379</v>
      </c>
    </row>
    <row r="381" spans="1:2">
      <c r="A381" t="s">
        <v>443</v>
      </c>
      <c r="B381">
        <v>380</v>
      </c>
    </row>
    <row r="382" spans="1:2">
      <c r="A382" t="s">
        <v>444</v>
      </c>
      <c r="B382">
        <v>381</v>
      </c>
    </row>
    <row r="383" spans="1:2">
      <c r="A383" t="s">
        <v>445</v>
      </c>
      <c r="B383">
        <v>382</v>
      </c>
    </row>
    <row r="384" spans="1:2">
      <c r="A384" t="s">
        <v>446</v>
      </c>
      <c r="B384">
        <v>383</v>
      </c>
    </row>
    <row r="385" spans="1:2">
      <c r="A385" t="s">
        <v>447</v>
      </c>
      <c r="B385">
        <v>384</v>
      </c>
    </row>
    <row r="386" spans="1:2">
      <c r="A386" t="s">
        <v>448</v>
      </c>
      <c r="B386">
        <v>385</v>
      </c>
    </row>
    <row r="387" spans="1:2">
      <c r="A387" t="s">
        <v>450</v>
      </c>
      <c r="B387">
        <v>386</v>
      </c>
    </row>
    <row r="388" spans="1:2">
      <c r="A388" t="s">
        <v>451</v>
      </c>
      <c r="B388">
        <v>387</v>
      </c>
    </row>
    <row r="389" spans="1:2">
      <c r="A389" t="s">
        <v>453</v>
      </c>
      <c r="B389">
        <v>388</v>
      </c>
    </row>
    <row r="390" spans="1:2">
      <c r="A390" t="s">
        <v>454</v>
      </c>
      <c r="B390">
        <v>389</v>
      </c>
    </row>
    <row r="391" spans="1:2">
      <c r="A391" t="s">
        <v>455</v>
      </c>
      <c r="B391">
        <v>390</v>
      </c>
    </row>
    <row r="392" spans="1:2">
      <c r="A392" t="s">
        <v>456</v>
      </c>
      <c r="B392">
        <v>391</v>
      </c>
    </row>
    <row r="393" spans="1:2">
      <c r="A393" t="s">
        <v>457</v>
      </c>
      <c r="B393">
        <v>392</v>
      </c>
    </row>
    <row r="394" spans="1:2">
      <c r="A394" t="s">
        <v>458</v>
      </c>
      <c r="B394">
        <v>393</v>
      </c>
    </row>
    <row r="395" spans="1:2">
      <c r="A395" t="s">
        <v>459</v>
      </c>
      <c r="B395">
        <v>394</v>
      </c>
    </row>
    <row r="396" spans="1:2">
      <c r="A396" t="s">
        <v>460</v>
      </c>
      <c r="B396">
        <v>395</v>
      </c>
    </row>
    <row r="397" spans="1:2">
      <c r="A397" t="s">
        <v>461</v>
      </c>
      <c r="B397">
        <v>396</v>
      </c>
    </row>
    <row r="398" spans="1:2">
      <c r="A398" t="s">
        <v>463</v>
      </c>
      <c r="B398">
        <v>397</v>
      </c>
    </row>
    <row r="399" spans="1:2">
      <c r="A399" t="s">
        <v>464</v>
      </c>
      <c r="B399">
        <v>398</v>
      </c>
    </row>
    <row r="400" spans="1:2">
      <c r="A400" t="s">
        <v>465</v>
      </c>
      <c r="B400">
        <v>399</v>
      </c>
    </row>
    <row r="401" spans="1:2">
      <c r="A401" t="s">
        <v>466</v>
      </c>
      <c r="B401">
        <v>400</v>
      </c>
    </row>
    <row r="402" spans="1:2">
      <c r="A402" t="s">
        <v>468</v>
      </c>
      <c r="B402">
        <v>401</v>
      </c>
    </row>
    <row r="403" spans="1:2">
      <c r="A403" t="s">
        <v>469</v>
      </c>
      <c r="B403">
        <v>402</v>
      </c>
    </row>
    <row r="404" spans="1:2">
      <c r="A404" t="s">
        <v>471</v>
      </c>
      <c r="B404">
        <v>403</v>
      </c>
    </row>
    <row r="405" spans="1:2">
      <c r="A405" t="s">
        <v>472</v>
      </c>
      <c r="B405">
        <v>404</v>
      </c>
    </row>
    <row r="406" spans="1:2">
      <c r="A406" t="s">
        <v>524</v>
      </c>
      <c r="B406">
        <v>405</v>
      </c>
    </row>
    <row r="407" spans="1:2">
      <c r="A407" t="s">
        <v>475</v>
      </c>
      <c r="B407">
        <v>406</v>
      </c>
    </row>
    <row r="408" spans="1:2">
      <c r="A408" t="s">
        <v>476</v>
      </c>
      <c r="B408">
        <v>407</v>
      </c>
    </row>
    <row r="409" spans="1:2">
      <c r="A409" t="s">
        <v>477</v>
      </c>
      <c r="B409">
        <v>408</v>
      </c>
    </row>
    <row r="410" spans="1:2">
      <c r="A410" t="s">
        <v>479</v>
      </c>
      <c r="B410">
        <v>409</v>
      </c>
    </row>
    <row r="411" spans="1:2">
      <c r="A411" t="s">
        <v>480</v>
      </c>
      <c r="B411">
        <v>410</v>
      </c>
    </row>
    <row r="412" spans="1:2">
      <c r="A412" t="s">
        <v>481</v>
      </c>
      <c r="B412">
        <v>411</v>
      </c>
    </row>
    <row r="413" spans="1:2">
      <c r="A413" t="s">
        <v>482</v>
      </c>
      <c r="B413">
        <v>412</v>
      </c>
    </row>
    <row r="414" spans="1:2">
      <c r="A414" t="s">
        <v>483</v>
      </c>
      <c r="B414">
        <v>413</v>
      </c>
    </row>
    <row r="415" spans="1:2">
      <c r="A415" t="s">
        <v>484</v>
      </c>
      <c r="B415">
        <v>414</v>
      </c>
    </row>
    <row r="416" spans="1:2">
      <c r="A416" t="s">
        <v>486</v>
      </c>
      <c r="B416">
        <v>415</v>
      </c>
    </row>
    <row r="417" spans="1:2">
      <c r="A417" t="s">
        <v>487</v>
      </c>
      <c r="B417">
        <v>416</v>
      </c>
    </row>
    <row r="418" spans="1:2">
      <c r="A418" t="s">
        <v>488</v>
      </c>
      <c r="B418">
        <v>417</v>
      </c>
    </row>
    <row r="419" spans="1:2">
      <c r="A419" t="s">
        <v>490</v>
      </c>
      <c r="B419">
        <v>418</v>
      </c>
    </row>
    <row r="420" spans="1:2">
      <c r="A420" t="s">
        <v>491</v>
      </c>
      <c r="B420">
        <v>419</v>
      </c>
    </row>
    <row r="421" spans="1:2">
      <c r="A421" t="s">
        <v>493</v>
      </c>
      <c r="B421">
        <v>420</v>
      </c>
    </row>
    <row r="422" spans="1:2">
      <c r="A422" t="s">
        <v>494</v>
      </c>
      <c r="B422">
        <v>421</v>
      </c>
    </row>
    <row r="423" spans="1:2">
      <c r="A423" t="s">
        <v>495</v>
      </c>
      <c r="B423">
        <v>422</v>
      </c>
    </row>
    <row r="424" spans="1:2">
      <c r="A424" t="s">
        <v>497</v>
      </c>
      <c r="B424">
        <v>423</v>
      </c>
    </row>
    <row r="425" spans="1:2">
      <c r="A425" t="s">
        <v>498</v>
      </c>
      <c r="B425">
        <v>424</v>
      </c>
    </row>
    <row r="426" spans="1:2">
      <c r="A426" t="s">
        <v>499</v>
      </c>
      <c r="B426">
        <v>425</v>
      </c>
    </row>
    <row r="427" spans="1:2">
      <c r="A427" t="s">
        <v>500</v>
      </c>
      <c r="B427">
        <v>426</v>
      </c>
    </row>
    <row r="428" spans="1:2">
      <c r="A428" t="s">
        <v>501</v>
      </c>
      <c r="B428">
        <v>427</v>
      </c>
    </row>
    <row r="429" spans="1:2">
      <c r="A429" t="s">
        <v>502</v>
      </c>
      <c r="B429">
        <v>428</v>
      </c>
    </row>
    <row r="430" spans="1:2">
      <c r="A430" t="s">
        <v>503</v>
      </c>
      <c r="B430">
        <v>429</v>
      </c>
    </row>
    <row r="431" spans="1:2">
      <c r="A431" t="s">
        <v>504</v>
      </c>
      <c r="B431">
        <v>430</v>
      </c>
    </row>
    <row r="432" spans="1:2">
      <c r="A432" t="s">
        <v>505</v>
      </c>
      <c r="B432">
        <v>431</v>
      </c>
    </row>
    <row r="433" spans="1:2">
      <c r="A433" t="s">
        <v>506</v>
      </c>
      <c r="B433">
        <v>432</v>
      </c>
    </row>
    <row r="434" spans="1:2">
      <c r="A434" t="s">
        <v>525</v>
      </c>
      <c r="B434">
        <v>433</v>
      </c>
    </row>
    <row r="435" spans="1:2">
      <c r="A435" t="s">
        <v>12</v>
      </c>
      <c r="B435">
        <v>434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179AD-A3C8-3142-A108-1D000AB3811B}">
  <sheetPr codeName="Sheet4"/>
  <dimension ref="A1:H666"/>
  <sheetViews>
    <sheetView topLeftCell="A631" workbookViewId="0">
      <selection activeCell="H669" sqref="H669"/>
    </sheetView>
  </sheetViews>
  <sheetFormatPr baseColWidth="10" defaultRowHeight="16"/>
  <cols>
    <col min="1" max="1" width="49.6640625" bestFit="1" customWidth="1"/>
    <col min="8" max="8" width="49.6640625" bestFit="1" customWidth="1"/>
  </cols>
  <sheetData>
    <row r="1" spans="1:8" ht="17" thickBot="1">
      <c r="A1" s="42" t="s">
        <v>510</v>
      </c>
      <c r="B1" s="32" t="s">
        <v>1</v>
      </c>
      <c r="C1" s="32" t="s">
        <v>2</v>
      </c>
      <c r="D1" s="32" t="s">
        <v>3</v>
      </c>
      <c r="E1" s="32" t="s">
        <v>34</v>
      </c>
      <c r="F1" s="42" t="s">
        <v>1091</v>
      </c>
      <c r="G1" s="32" t="s">
        <v>536</v>
      </c>
      <c r="H1" s="42" t="s">
        <v>510</v>
      </c>
    </row>
    <row r="2" spans="1:8">
      <c r="A2" s="33" t="s">
        <v>521</v>
      </c>
      <c r="B2">
        <v>1</v>
      </c>
      <c r="C2">
        <v>1</v>
      </c>
      <c r="D2">
        <v>1</v>
      </c>
      <c r="E2">
        <f>VLOOKUP(A2,Elements!$A$2:$B$435,2,0)</f>
        <v>1</v>
      </c>
      <c r="F2" t="str">
        <f>_xlfn.CONCAT(C2,"-",D2,"-",E2)</f>
        <v>1-1-1</v>
      </c>
      <c r="G2">
        <v>1</v>
      </c>
      <c r="H2" s="33" t="s">
        <v>521</v>
      </c>
    </row>
    <row r="3" spans="1:8">
      <c r="A3" s="34" t="s">
        <v>39</v>
      </c>
      <c r="B3">
        <v>1</v>
      </c>
      <c r="C3">
        <v>1</v>
      </c>
      <c r="D3">
        <v>1</v>
      </c>
      <c r="E3">
        <f>VLOOKUP(A3,Elements!$A$2:$B$435,2,0)</f>
        <v>2</v>
      </c>
      <c r="F3" t="str">
        <f t="shared" ref="F3:F66" si="0">_xlfn.CONCAT(C3,"-",D3,"-",E3)</f>
        <v>1-1-2</v>
      </c>
      <c r="G3">
        <v>2</v>
      </c>
      <c r="H3" s="34" t="s">
        <v>39</v>
      </c>
    </row>
    <row r="4" spans="1:8">
      <c r="A4" s="34" t="s">
        <v>522</v>
      </c>
      <c r="B4">
        <v>1</v>
      </c>
      <c r="C4">
        <v>1</v>
      </c>
      <c r="D4">
        <v>1</v>
      </c>
      <c r="E4">
        <f>VLOOKUP(A4,Elements!$A$2:$B$435,2,0)</f>
        <v>3</v>
      </c>
      <c r="F4" t="str">
        <f t="shared" si="0"/>
        <v>1-1-3</v>
      </c>
      <c r="G4">
        <v>3</v>
      </c>
      <c r="H4" s="34" t="s">
        <v>522</v>
      </c>
    </row>
    <row r="5" spans="1:8">
      <c r="A5" s="34" t="s">
        <v>41</v>
      </c>
      <c r="B5">
        <v>1</v>
      </c>
      <c r="C5">
        <v>1</v>
      </c>
      <c r="D5">
        <v>1</v>
      </c>
      <c r="E5">
        <f>VLOOKUP(A5,Elements!$A$2:$B$435,2,0)</f>
        <v>4</v>
      </c>
      <c r="F5" t="str">
        <f t="shared" si="0"/>
        <v>1-1-4</v>
      </c>
      <c r="G5">
        <v>4</v>
      </c>
      <c r="H5" s="34" t="s">
        <v>41</v>
      </c>
    </row>
    <row r="6" spans="1:8">
      <c r="A6" s="34" t="s">
        <v>523</v>
      </c>
      <c r="B6">
        <v>1</v>
      </c>
      <c r="C6">
        <v>1</v>
      </c>
      <c r="D6">
        <v>1</v>
      </c>
      <c r="E6">
        <f>VLOOKUP(A6,Elements!$A$2:$B$435,2,0)</f>
        <v>5</v>
      </c>
      <c r="F6" t="str">
        <f t="shared" si="0"/>
        <v>1-1-5</v>
      </c>
      <c r="G6">
        <v>5</v>
      </c>
      <c r="H6" s="34" t="s">
        <v>523</v>
      </c>
    </row>
    <row r="7" spans="1:8">
      <c r="A7" s="34" t="s">
        <v>43</v>
      </c>
      <c r="B7">
        <v>1</v>
      </c>
      <c r="C7">
        <v>1</v>
      </c>
      <c r="D7">
        <v>1</v>
      </c>
      <c r="E7">
        <f>VLOOKUP(A7,Elements!$A$2:$B$435,2,0)</f>
        <v>6</v>
      </c>
      <c r="F7" t="str">
        <f t="shared" si="0"/>
        <v>1-1-6</v>
      </c>
      <c r="G7">
        <v>6</v>
      </c>
      <c r="H7" s="34" t="s">
        <v>43</v>
      </c>
    </row>
    <row r="8" spans="1:8">
      <c r="A8" s="34" t="s">
        <v>44</v>
      </c>
      <c r="B8">
        <v>1</v>
      </c>
      <c r="C8">
        <v>1</v>
      </c>
      <c r="D8">
        <v>1</v>
      </c>
      <c r="E8">
        <f>VLOOKUP(A8,Elements!$A$2:$B$435,2,0)</f>
        <v>7</v>
      </c>
      <c r="F8" t="str">
        <f t="shared" si="0"/>
        <v>1-1-7</v>
      </c>
      <c r="G8">
        <v>7</v>
      </c>
      <c r="H8" s="34" t="s">
        <v>44</v>
      </c>
    </row>
    <row r="9" spans="1:8">
      <c r="A9" s="34" t="s">
        <v>45</v>
      </c>
      <c r="B9">
        <v>1</v>
      </c>
      <c r="C9">
        <v>1</v>
      </c>
      <c r="D9">
        <v>1</v>
      </c>
      <c r="E9">
        <f>VLOOKUP(A9,Elements!$A$2:$B$435,2,0)</f>
        <v>8</v>
      </c>
      <c r="F9" t="str">
        <f t="shared" si="0"/>
        <v>1-1-8</v>
      </c>
      <c r="G9">
        <v>8</v>
      </c>
      <c r="H9" s="34" t="s">
        <v>45</v>
      </c>
    </row>
    <row r="10" spans="1:8">
      <c r="A10" s="34" t="s">
        <v>46</v>
      </c>
      <c r="B10">
        <v>1</v>
      </c>
      <c r="C10">
        <v>1</v>
      </c>
      <c r="D10">
        <v>1</v>
      </c>
      <c r="E10">
        <f>VLOOKUP(A10,Elements!$A$2:$B$435,2,0)</f>
        <v>9</v>
      </c>
      <c r="F10" t="str">
        <f t="shared" si="0"/>
        <v>1-1-9</v>
      </c>
      <c r="G10">
        <v>9</v>
      </c>
      <c r="H10" s="34" t="s">
        <v>46</v>
      </c>
    </row>
    <row r="11" spans="1:8">
      <c r="A11" s="34" t="s">
        <v>47</v>
      </c>
      <c r="B11">
        <v>1</v>
      </c>
      <c r="C11">
        <v>1</v>
      </c>
      <c r="D11">
        <v>1</v>
      </c>
      <c r="E11">
        <f>VLOOKUP(A11,Elements!$A$2:$B$435,2,0)</f>
        <v>10</v>
      </c>
      <c r="F11" t="str">
        <f t="shared" si="0"/>
        <v>1-1-10</v>
      </c>
      <c r="G11">
        <v>10</v>
      </c>
      <c r="H11" s="34" t="s">
        <v>47</v>
      </c>
    </row>
    <row r="12" spans="1:8">
      <c r="A12" s="34" t="s">
        <v>48</v>
      </c>
      <c r="B12">
        <v>1</v>
      </c>
      <c r="C12">
        <v>1</v>
      </c>
      <c r="D12">
        <v>1</v>
      </c>
      <c r="E12">
        <f>VLOOKUP(A12,Elements!$A$2:$B$435,2,0)</f>
        <v>11</v>
      </c>
      <c r="F12" t="str">
        <f t="shared" si="0"/>
        <v>1-1-11</v>
      </c>
      <c r="G12">
        <v>11</v>
      </c>
      <c r="H12" s="34" t="s">
        <v>48</v>
      </c>
    </row>
    <row r="13" spans="1:8" ht="17" thickBot="1">
      <c r="A13" s="35" t="s">
        <v>520</v>
      </c>
      <c r="B13">
        <v>1</v>
      </c>
      <c r="C13">
        <v>1</v>
      </c>
      <c r="D13">
        <v>1</v>
      </c>
      <c r="E13">
        <f>VLOOKUP(A13,Elements!$A$2:$B$435,2,0)</f>
        <v>12</v>
      </c>
      <c r="F13" t="str">
        <f t="shared" si="0"/>
        <v>1-1-12</v>
      </c>
      <c r="G13">
        <v>12</v>
      </c>
      <c r="H13" s="35" t="s">
        <v>520</v>
      </c>
    </row>
    <row r="14" spans="1:8">
      <c r="A14" s="34" t="s">
        <v>51</v>
      </c>
      <c r="B14">
        <v>1</v>
      </c>
      <c r="C14">
        <v>1</v>
      </c>
      <c r="D14">
        <v>2</v>
      </c>
      <c r="E14">
        <f>VLOOKUP(A14,Elements!$A$2:$B$435,2,0)</f>
        <v>13</v>
      </c>
      <c r="F14" t="str">
        <f t="shared" si="0"/>
        <v>1-2-13</v>
      </c>
      <c r="G14">
        <v>13</v>
      </c>
      <c r="H14" s="34" t="s">
        <v>51</v>
      </c>
    </row>
    <row r="15" spans="1:8">
      <c r="A15" s="34" t="s">
        <v>52</v>
      </c>
      <c r="B15">
        <v>1</v>
      </c>
      <c r="C15">
        <v>1</v>
      </c>
      <c r="D15">
        <v>2</v>
      </c>
      <c r="E15">
        <f>VLOOKUP(A15,Elements!$A$2:$B$435,2,0)</f>
        <v>14</v>
      </c>
      <c r="F15" t="str">
        <f t="shared" si="0"/>
        <v>1-2-14</v>
      </c>
      <c r="G15">
        <v>14</v>
      </c>
      <c r="H15" s="34" t="s">
        <v>52</v>
      </c>
    </row>
    <row r="16" spans="1:8">
      <c r="A16" s="34" t="s">
        <v>511</v>
      </c>
      <c r="B16">
        <v>1</v>
      </c>
      <c r="C16">
        <v>1</v>
      </c>
      <c r="D16">
        <v>2</v>
      </c>
      <c r="E16">
        <f>VLOOKUP(A16,Elements!$A$2:$B$435,2,0)</f>
        <v>15</v>
      </c>
      <c r="F16" t="str">
        <f t="shared" si="0"/>
        <v>1-2-15</v>
      </c>
      <c r="G16">
        <v>15</v>
      </c>
      <c r="H16" s="34" t="s">
        <v>511</v>
      </c>
    </row>
    <row r="17" spans="1:8">
      <c r="A17" s="34" t="s">
        <v>54</v>
      </c>
      <c r="B17">
        <v>1</v>
      </c>
      <c r="C17">
        <v>1</v>
      </c>
      <c r="D17">
        <v>2</v>
      </c>
      <c r="E17">
        <f>VLOOKUP(A17,Elements!$A$2:$B$435,2,0)</f>
        <v>16</v>
      </c>
      <c r="F17" t="str">
        <f t="shared" si="0"/>
        <v>1-2-16</v>
      </c>
      <c r="G17">
        <v>16</v>
      </c>
      <c r="H17" s="34" t="s">
        <v>54</v>
      </c>
    </row>
    <row r="18" spans="1:8">
      <c r="A18" s="34" t="s">
        <v>55</v>
      </c>
      <c r="B18">
        <v>1</v>
      </c>
      <c r="C18">
        <v>1</v>
      </c>
      <c r="D18">
        <v>2</v>
      </c>
      <c r="E18">
        <f>VLOOKUP(A18,Elements!$A$2:$B$435,2,0)</f>
        <v>17</v>
      </c>
      <c r="F18" t="str">
        <f t="shared" si="0"/>
        <v>1-2-17</v>
      </c>
      <c r="G18">
        <v>17</v>
      </c>
      <c r="H18" s="34" t="s">
        <v>55</v>
      </c>
    </row>
    <row r="19" spans="1:8">
      <c r="A19" s="34" t="s">
        <v>56</v>
      </c>
      <c r="B19">
        <v>1</v>
      </c>
      <c r="C19">
        <v>1</v>
      </c>
      <c r="D19">
        <v>2</v>
      </c>
      <c r="E19">
        <f>VLOOKUP(A19,Elements!$A$2:$B$435,2,0)</f>
        <v>18</v>
      </c>
      <c r="F19" t="str">
        <f t="shared" si="0"/>
        <v>1-2-18</v>
      </c>
      <c r="G19">
        <v>18</v>
      </c>
      <c r="H19" s="34" t="s">
        <v>56</v>
      </c>
    </row>
    <row r="20" spans="1:8">
      <c r="A20" s="34" t="s">
        <v>57</v>
      </c>
      <c r="B20">
        <v>1</v>
      </c>
      <c r="C20">
        <v>1</v>
      </c>
      <c r="D20">
        <v>2</v>
      </c>
      <c r="E20">
        <f>VLOOKUP(A20,Elements!$A$2:$B$435,2,0)</f>
        <v>19</v>
      </c>
      <c r="F20" t="str">
        <f t="shared" si="0"/>
        <v>1-2-19</v>
      </c>
      <c r="G20">
        <v>19</v>
      </c>
      <c r="H20" s="34" t="s">
        <v>57</v>
      </c>
    </row>
    <row r="21" spans="1:8">
      <c r="A21" s="34" t="s">
        <v>58</v>
      </c>
      <c r="B21">
        <v>1</v>
      </c>
      <c r="C21">
        <v>1</v>
      </c>
      <c r="D21">
        <v>2</v>
      </c>
      <c r="E21">
        <f>VLOOKUP(A21,Elements!$A$2:$B$435,2,0)</f>
        <v>20</v>
      </c>
      <c r="F21" t="str">
        <f t="shared" si="0"/>
        <v>1-2-20</v>
      </c>
      <c r="G21">
        <v>20</v>
      </c>
      <c r="H21" s="34" t="s">
        <v>58</v>
      </c>
    </row>
    <row r="22" spans="1:8">
      <c r="A22" s="34" t="s">
        <v>59</v>
      </c>
      <c r="B22">
        <v>1</v>
      </c>
      <c r="C22">
        <v>1</v>
      </c>
      <c r="D22">
        <v>2</v>
      </c>
      <c r="E22">
        <f>VLOOKUP(A22,Elements!$A$2:$B$435,2,0)</f>
        <v>21</v>
      </c>
      <c r="F22" t="str">
        <f t="shared" si="0"/>
        <v>1-2-21</v>
      </c>
      <c r="G22">
        <v>21</v>
      </c>
      <c r="H22" s="34" t="s">
        <v>59</v>
      </c>
    </row>
    <row r="23" spans="1:8">
      <c r="A23" s="34" t="s">
        <v>60</v>
      </c>
      <c r="B23">
        <v>1</v>
      </c>
      <c r="C23">
        <v>1</v>
      </c>
      <c r="D23">
        <v>2</v>
      </c>
      <c r="E23">
        <f>VLOOKUP(A23,Elements!$A$2:$B$435,2,0)</f>
        <v>22</v>
      </c>
      <c r="F23" t="str">
        <f t="shared" si="0"/>
        <v>1-2-22</v>
      </c>
      <c r="G23">
        <v>22</v>
      </c>
      <c r="H23" s="34" t="s">
        <v>60</v>
      </c>
    </row>
    <row r="24" spans="1:8">
      <c r="A24" s="34" t="s">
        <v>61</v>
      </c>
      <c r="B24">
        <v>1</v>
      </c>
      <c r="C24">
        <v>1</v>
      </c>
      <c r="D24">
        <v>2</v>
      </c>
      <c r="E24">
        <f>VLOOKUP(A24,Elements!$A$2:$B$435,2,0)</f>
        <v>23</v>
      </c>
      <c r="F24" t="str">
        <f t="shared" si="0"/>
        <v>1-2-23</v>
      </c>
      <c r="G24">
        <v>23</v>
      </c>
      <c r="H24" s="34" t="s">
        <v>61</v>
      </c>
    </row>
    <row r="25" spans="1:8">
      <c r="A25" s="34" t="s">
        <v>529</v>
      </c>
      <c r="B25">
        <v>1</v>
      </c>
      <c r="C25">
        <v>1</v>
      </c>
      <c r="D25">
        <v>2</v>
      </c>
      <c r="E25">
        <f>VLOOKUP(A25,Elements!$A$2:$B$435,2,0)</f>
        <v>24</v>
      </c>
      <c r="F25" t="str">
        <f t="shared" si="0"/>
        <v>1-2-24</v>
      </c>
      <c r="G25">
        <v>24</v>
      </c>
      <c r="H25" s="34" t="s">
        <v>529</v>
      </c>
    </row>
    <row r="26" spans="1:8">
      <c r="A26" s="34" t="s">
        <v>63</v>
      </c>
      <c r="B26">
        <v>1</v>
      </c>
      <c r="C26">
        <v>1</v>
      </c>
      <c r="D26">
        <v>2</v>
      </c>
      <c r="E26">
        <f>VLOOKUP(A26,Elements!$A$2:$B$435,2,0)</f>
        <v>25</v>
      </c>
      <c r="F26" t="str">
        <f t="shared" si="0"/>
        <v>1-2-25</v>
      </c>
      <c r="G26">
        <v>25</v>
      </c>
      <c r="H26" s="34" t="s">
        <v>63</v>
      </c>
    </row>
    <row r="27" spans="1:8">
      <c r="A27" s="34" t="s">
        <v>64</v>
      </c>
      <c r="B27">
        <v>1</v>
      </c>
      <c r="C27">
        <v>1</v>
      </c>
      <c r="D27">
        <v>2</v>
      </c>
      <c r="E27">
        <f>VLOOKUP(A27,Elements!$A$2:$B$435,2,0)</f>
        <v>26</v>
      </c>
      <c r="F27" t="str">
        <f t="shared" si="0"/>
        <v>1-2-26</v>
      </c>
      <c r="G27">
        <v>26</v>
      </c>
      <c r="H27" s="34" t="s">
        <v>64</v>
      </c>
    </row>
    <row r="28" spans="1:8">
      <c r="A28" s="34" t="s">
        <v>528</v>
      </c>
      <c r="B28">
        <v>1</v>
      </c>
      <c r="C28">
        <v>1</v>
      </c>
      <c r="D28">
        <v>2</v>
      </c>
      <c r="E28">
        <f>VLOOKUP(A28,Elements!$A$2:$B$435,2,0)</f>
        <v>27</v>
      </c>
      <c r="F28" t="str">
        <f t="shared" si="0"/>
        <v>1-2-27</v>
      </c>
      <c r="G28">
        <v>27</v>
      </c>
      <c r="H28" s="34" t="s">
        <v>528</v>
      </c>
    </row>
    <row r="29" spans="1:8">
      <c r="A29" s="34" t="s">
        <v>66</v>
      </c>
      <c r="B29">
        <v>1</v>
      </c>
      <c r="C29">
        <v>1</v>
      </c>
      <c r="D29">
        <v>2</v>
      </c>
      <c r="E29">
        <f>VLOOKUP(A29,Elements!$A$2:$B$435,2,0)</f>
        <v>28</v>
      </c>
      <c r="F29" t="str">
        <f t="shared" si="0"/>
        <v>1-2-28</v>
      </c>
      <c r="G29">
        <v>28</v>
      </c>
      <c r="H29" s="34" t="s">
        <v>66</v>
      </c>
    </row>
    <row r="30" spans="1:8">
      <c r="A30" s="34" t="s">
        <v>67</v>
      </c>
      <c r="B30">
        <v>1</v>
      </c>
      <c r="C30">
        <v>1</v>
      </c>
      <c r="D30">
        <v>2</v>
      </c>
      <c r="E30">
        <f>VLOOKUP(A30,Elements!$A$2:$B$435,2,0)</f>
        <v>29</v>
      </c>
      <c r="F30" t="str">
        <f t="shared" si="0"/>
        <v>1-2-29</v>
      </c>
      <c r="G30">
        <v>29</v>
      </c>
      <c r="H30" s="34" t="s">
        <v>67</v>
      </c>
    </row>
    <row r="31" spans="1:8">
      <c r="A31" s="34" t="s">
        <v>68</v>
      </c>
      <c r="B31">
        <v>1</v>
      </c>
      <c r="C31">
        <v>1</v>
      </c>
      <c r="D31">
        <v>2</v>
      </c>
      <c r="E31">
        <f>VLOOKUP(A31,Elements!$A$2:$B$435,2,0)</f>
        <v>30</v>
      </c>
      <c r="F31" t="str">
        <f t="shared" si="0"/>
        <v>1-2-30</v>
      </c>
      <c r="G31">
        <v>30</v>
      </c>
      <c r="H31" s="34" t="s">
        <v>68</v>
      </c>
    </row>
    <row r="32" spans="1:8">
      <c r="A32" s="34" t="s">
        <v>69</v>
      </c>
      <c r="B32">
        <v>1</v>
      </c>
      <c r="C32">
        <v>1</v>
      </c>
      <c r="D32">
        <v>2</v>
      </c>
      <c r="E32">
        <f>VLOOKUP(A32,Elements!$A$2:$B$435,2,0)</f>
        <v>31</v>
      </c>
      <c r="F32" t="str">
        <f t="shared" si="0"/>
        <v>1-2-31</v>
      </c>
      <c r="G32">
        <v>31</v>
      </c>
      <c r="H32" s="34" t="s">
        <v>69</v>
      </c>
    </row>
    <row r="33" spans="1:8">
      <c r="A33" s="34" t="s">
        <v>32</v>
      </c>
      <c r="B33">
        <v>1</v>
      </c>
      <c r="C33">
        <v>1</v>
      </c>
      <c r="D33">
        <v>2</v>
      </c>
      <c r="E33">
        <f>VLOOKUP(A33,Elements!$A$2:$B$435,2,0)</f>
        <v>32</v>
      </c>
      <c r="F33" t="str">
        <f t="shared" si="0"/>
        <v>1-2-32</v>
      </c>
      <c r="G33">
        <v>32</v>
      </c>
      <c r="H33" s="34" t="s">
        <v>32</v>
      </c>
    </row>
    <row r="34" spans="1:8">
      <c r="A34" s="34" t="s">
        <v>70</v>
      </c>
      <c r="B34">
        <v>1</v>
      </c>
      <c r="C34">
        <v>1</v>
      </c>
      <c r="D34">
        <v>2</v>
      </c>
      <c r="E34">
        <f>VLOOKUP(A34,Elements!$A$2:$B$435,2,0)</f>
        <v>33</v>
      </c>
      <c r="F34" t="str">
        <f t="shared" si="0"/>
        <v>1-2-33</v>
      </c>
      <c r="G34">
        <v>33</v>
      </c>
      <c r="H34" s="34" t="s">
        <v>70</v>
      </c>
    </row>
    <row r="35" spans="1:8">
      <c r="A35" s="34" t="s">
        <v>71</v>
      </c>
      <c r="B35">
        <v>1</v>
      </c>
      <c r="C35">
        <v>1</v>
      </c>
      <c r="D35">
        <v>2</v>
      </c>
      <c r="E35">
        <f>VLOOKUP(A35,Elements!$A$2:$B$435,2,0)</f>
        <v>34</v>
      </c>
      <c r="F35" t="str">
        <f t="shared" si="0"/>
        <v>1-2-34</v>
      </c>
      <c r="G35">
        <v>34</v>
      </c>
      <c r="H35" s="34" t="s">
        <v>71</v>
      </c>
    </row>
    <row r="36" spans="1:8">
      <c r="A36" s="34" t="s">
        <v>47</v>
      </c>
      <c r="B36">
        <v>1</v>
      </c>
      <c r="C36">
        <v>1</v>
      </c>
      <c r="D36">
        <v>2</v>
      </c>
      <c r="E36">
        <f>VLOOKUP(A36,Elements!$A$2:$B$435,2,0)</f>
        <v>10</v>
      </c>
      <c r="F36" t="str">
        <f t="shared" si="0"/>
        <v>1-2-10</v>
      </c>
      <c r="G36">
        <v>35</v>
      </c>
      <c r="H36" s="34" t="s">
        <v>47</v>
      </c>
    </row>
    <row r="37" spans="1:8">
      <c r="A37" s="34" t="s">
        <v>514</v>
      </c>
      <c r="B37">
        <v>1</v>
      </c>
      <c r="C37">
        <v>1</v>
      </c>
      <c r="D37">
        <v>3</v>
      </c>
      <c r="E37">
        <f>VLOOKUP(A37,Elements!$A$2:$B$435,2,0)</f>
        <v>35</v>
      </c>
      <c r="F37" t="str">
        <f t="shared" si="0"/>
        <v>1-3-35</v>
      </c>
      <c r="G37">
        <v>36</v>
      </c>
      <c r="H37" s="34" t="s">
        <v>514</v>
      </c>
    </row>
    <row r="38" spans="1:8">
      <c r="A38" s="34" t="s">
        <v>513</v>
      </c>
      <c r="B38">
        <v>1</v>
      </c>
      <c r="C38">
        <v>1</v>
      </c>
      <c r="D38">
        <v>3</v>
      </c>
      <c r="E38">
        <f>VLOOKUP(A38,Elements!$A$2:$B$435,2,0)</f>
        <v>36</v>
      </c>
      <c r="F38" t="str">
        <f t="shared" si="0"/>
        <v>1-3-36</v>
      </c>
      <c r="G38">
        <v>37</v>
      </c>
      <c r="H38" s="34" t="s">
        <v>513</v>
      </c>
    </row>
    <row r="39" spans="1:8">
      <c r="A39" s="34" t="s">
        <v>74</v>
      </c>
      <c r="B39">
        <v>1</v>
      </c>
      <c r="C39">
        <v>1</v>
      </c>
      <c r="D39">
        <v>3</v>
      </c>
      <c r="E39">
        <f>VLOOKUP(A39,Elements!$A$2:$B$435,2,0)</f>
        <v>37</v>
      </c>
      <c r="F39" t="str">
        <f t="shared" si="0"/>
        <v>1-3-37</v>
      </c>
      <c r="G39">
        <v>38</v>
      </c>
      <c r="H39" s="34" t="s">
        <v>74</v>
      </c>
    </row>
    <row r="40" spans="1:8">
      <c r="A40" s="34" t="s">
        <v>75</v>
      </c>
      <c r="B40">
        <v>1</v>
      </c>
      <c r="C40">
        <v>1</v>
      </c>
      <c r="D40">
        <v>3</v>
      </c>
      <c r="E40">
        <f>VLOOKUP(A40,Elements!$A$2:$B$435,2,0)</f>
        <v>38</v>
      </c>
      <c r="F40" t="str">
        <f t="shared" si="0"/>
        <v>1-3-38</v>
      </c>
      <c r="G40">
        <v>39</v>
      </c>
      <c r="H40" s="34" t="s">
        <v>75</v>
      </c>
    </row>
    <row r="41" spans="1:8">
      <c r="A41" s="34" t="s">
        <v>76</v>
      </c>
      <c r="B41">
        <v>1</v>
      </c>
      <c r="C41">
        <v>1</v>
      </c>
      <c r="D41">
        <v>3</v>
      </c>
      <c r="E41">
        <f>VLOOKUP(A41,Elements!$A$2:$B$435,2,0)</f>
        <v>39</v>
      </c>
      <c r="F41" t="str">
        <f t="shared" si="0"/>
        <v>1-3-39</v>
      </c>
      <c r="G41">
        <v>40</v>
      </c>
      <c r="H41" s="34" t="s">
        <v>76</v>
      </c>
    </row>
    <row r="42" spans="1:8">
      <c r="A42" s="34" t="s">
        <v>77</v>
      </c>
      <c r="B42">
        <v>1</v>
      </c>
      <c r="C42">
        <v>1</v>
      </c>
      <c r="D42">
        <v>3</v>
      </c>
      <c r="E42">
        <f>VLOOKUP(A42,Elements!$A$2:$B$435,2,0)</f>
        <v>40</v>
      </c>
      <c r="F42" t="str">
        <f t="shared" si="0"/>
        <v>1-3-40</v>
      </c>
      <c r="G42">
        <v>41</v>
      </c>
      <c r="H42" s="34" t="s">
        <v>77</v>
      </c>
    </row>
    <row r="43" spans="1:8">
      <c r="A43" s="34" t="s">
        <v>78</v>
      </c>
      <c r="B43">
        <v>1</v>
      </c>
      <c r="C43">
        <v>1</v>
      </c>
      <c r="D43">
        <v>3</v>
      </c>
      <c r="E43">
        <f>VLOOKUP(A43,Elements!$A$2:$B$435,2,0)</f>
        <v>41</v>
      </c>
      <c r="F43" t="str">
        <f t="shared" si="0"/>
        <v>1-3-41</v>
      </c>
      <c r="G43">
        <v>42</v>
      </c>
      <c r="H43" s="34" t="s">
        <v>78</v>
      </c>
    </row>
    <row r="44" spans="1:8">
      <c r="A44" s="34" t="s">
        <v>79</v>
      </c>
      <c r="B44">
        <v>1</v>
      </c>
      <c r="C44">
        <v>1</v>
      </c>
      <c r="D44">
        <v>3</v>
      </c>
      <c r="E44">
        <f>VLOOKUP(A44,Elements!$A$2:$B$435,2,0)</f>
        <v>42</v>
      </c>
      <c r="F44" t="str">
        <f t="shared" si="0"/>
        <v>1-3-42</v>
      </c>
      <c r="G44">
        <v>43</v>
      </c>
      <c r="H44" s="34" t="s">
        <v>79</v>
      </c>
    </row>
    <row r="45" spans="1:8">
      <c r="A45" s="34" t="s">
        <v>80</v>
      </c>
      <c r="B45">
        <v>1</v>
      </c>
      <c r="C45">
        <v>1</v>
      </c>
      <c r="D45">
        <v>3</v>
      </c>
      <c r="E45">
        <f>VLOOKUP(A45,Elements!$A$2:$B$435,2,0)</f>
        <v>43</v>
      </c>
      <c r="F45" t="str">
        <f t="shared" si="0"/>
        <v>1-3-43</v>
      </c>
      <c r="G45">
        <v>44</v>
      </c>
      <c r="H45" s="34" t="s">
        <v>80</v>
      </c>
    </row>
    <row r="46" spans="1:8">
      <c r="A46" s="34" t="s">
        <v>81</v>
      </c>
      <c r="B46">
        <v>1</v>
      </c>
      <c r="C46">
        <v>1</v>
      </c>
      <c r="D46">
        <v>3</v>
      </c>
      <c r="E46">
        <f>VLOOKUP(A46,Elements!$A$2:$B$435,2,0)</f>
        <v>44</v>
      </c>
      <c r="F46" t="str">
        <f t="shared" si="0"/>
        <v>1-3-44</v>
      </c>
      <c r="G46">
        <v>45</v>
      </c>
      <c r="H46" s="34" t="s">
        <v>81</v>
      </c>
    </row>
    <row r="47" spans="1:8">
      <c r="A47" s="34" t="s">
        <v>82</v>
      </c>
      <c r="B47">
        <v>1</v>
      </c>
      <c r="C47">
        <v>1</v>
      </c>
      <c r="D47">
        <v>3</v>
      </c>
      <c r="E47">
        <f>VLOOKUP(A47,Elements!$A$2:$B$435,2,0)</f>
        <v>45</v>
      </c>
      <c r="F47" t="str">
        <f t="shared" si="0"/>
        <v>1-3-45</v>
      </c>
      <c r="G47">
        <v>46</v>
      </c>
      <c r="H47" s="34" t="s">
        <v>82</v>
      </c>
    </row>
    <row r="48" spans="1:8">
      <c r="A48" s="34" t="s">
        <v>83</v>
      </c>
      <c r="B48">
        <v>1</v>
      </c>
      <c r="C48">
        <v>1</v>
      </c>
      <c r="D48">
        <v>3</v>
      </c>
      <c r="E48">
        <f>VLOOKUP(A48,Elements!$A$2:$B$435,2,0)</f>
        <v>46</v>
      </c>
      <c r="F48" t="str">
        <f t="shared" si="0"/>
        <v>1-3-46</v>
      </c>
      <c r="G48">
        <v>47</v>
      </c>
      <c r="H48" s="34" t="s">
        <v>83</v>
      </c>
    </row>
    <row r="49" spans="1:8">
      <c r="A49" t="s">
        <v>70</v>
      </c>
      <c r="B49">
        <v>1</v>
      </c>
      <c r="C49">
        <v>1</v>
      </c>
      <c r="D49">
        <v>3</v>
      </c>
      <c r="E49">
        <f>VLOOKUP(A49,Elements!$A$2:$B$435,2,0)</f>
        <v>33</v>
      </c>
      <c r="F49" t="str">
        <f t="shared" si="0"/>
        <v>1-3-33</v>
      </c>
      <c r="G49">
        <v>48</v>
      </c>
      <c r="H49" t="s">
        <v>70</v>
      </c>
    </row>
    <row r="50" spans="1:8">
      <c r="A50" s="34" t="s">
        <v>85</v>
      </c>
      <c r="B50">
        <v>1</v>
      </c>
      <c r="C50">
        <v>1</v>
      </c>
      <c r="D50">
        <v>3</v>
      </c>
      <c r="E50">
        <f>VLOOKUP(A50,Elements!$A$2:$B$435,2,0)</f>
        <v>47</v>
      </c>
      <c r="F50" t="str">
        <f t="shared" si="0"/>
        <v>1-3-47</v>
      </c>
      <c r="G50">
        <v>49</v>
      </c>
      <c r="H50" s="34" t="s">
        <v>85</v>
      </c>
    </row>
    <row r="51" spans="1:8">
      <c r="A51" s="34" t="s">
        <v>517</v>
      </c>
      <c r="B51">
        <v>1</v>
      </c>
      <c r="C51">
        <v>1</v>
      </c>
      <c r="D51">
        <v>4</v>
      </c>
      <c r="E51">
        <f>VLOOKUP(A51,Elements!$A$2:$B$435,2,0)</f>
        <v>48</v>
      </c>
      <c r="F51" t="str">
        <f t="shared" si="0"/>
        <v>1-4-48</v>
      </c>
      <c r="G51">
        <v>50</v>
      </c>
      <c r="H51" s="34" t="s">
        <v>517</v>
      </c>
    </row>
    <row r="52" spans="1:8">
      <c r="A52" s="34" t="s">
        <v>527</v>
      </c>
      <c r="B52">
        <v>1</v>
      </c>
      <c r="C52">
        <v>1</v>
      </c>
      <c r="D52">
        <v>4</v>
      </c>
      <c r="E52">
        <f>VLOOKUP(A52,Elements!$A$2:$B$435,2,0)</f>
        <v>49</v>
      </c>
      <c r="F52" t="str">
        <f t="shared" si="0"/>
        <v>1-4-49</v>
      </c>
      <c r="G52">
        <v>51</v>
      </c>
      <c r="H52" s="34" t="s">
        <v>527</v>
      </c>
    </row>
    <row r="53" spans="1:8">
      <c r="A53" s="41" t="s">
        <v>88</v>
      </c>
      <c r="B53">
        <v>1</v>
      </c>
      <c r="C53">
        <v>1</v>
      </c>
      <c r="D53">
        <v>4</v>
      </c>
      <c r="E53">
        <f>VLOOKUP(A53,Elements!$A$2:$B$435,2,0)</f>
        <v>50</v>
      </c>
      <c r="F53" t="str">
        <f t="shared" si="0"/>
        <v>1-4-50</v>
      </c>
      <c r="G53">
        <v>52</v>
      </c>
      <c r="H53" s="41" t="s">
        <v>88</v>
      </c>
    </row>
    <row r="54" spans="1:8">
      <c r="A54" s="34" t="s">
        <v>516</v>
      </c>
      <c r="B54">
        <v>1</v>
      </c>
      <c r="C54">
        <v>1</v>
      </c>
      <c r="D54">
        <v>4</v>
      </c>
      <c r="E54">
        <f>VLOOKUP(A54,Elements!$A$2:$B$435,2,0)</f>
        <v>51</v>
      </c>
      <c r="F54" t="str">
        <f t="shared" si="0"/>
        <v>1-4-51</v>
      </c>
      <c r="G54">
        <v>53</v>
      </c>
      <c r="H54" s="34" t="s">
        <v>516</v>
      </c>
    </row>
    <row r="55" spans="1:8">
      <c r="A55" s="34" t="s">
        <v>90</v>
      </c>
      <c r="B55">
        <v>1</v>
      </c>
      <c r="C55">
        <v>1</v>
      </c>
      <c r="D55">
        <v>4</v>
      </c>
      <c r="E55">
        <f>VLOOKUP(A55,Elements!$A$2:$B$435,2,0)</f>
        <v>52</v>
      </c>
      <c r="F55" t="str">
        <f t="shared" si="0"/>
        <v>1-4-52</v>
      </c>
      <c r="G55">
        <v>54</v>
      </c>
      <c r="H55" s="34" t="s">
        <v>90</v>
      </c>
    </row>
    <row r="56" spans="1:8">
      <c r="A56" s="34" t="s">
        <v>91</v>
      </c>
      <c r="B56">
        <v>1</v>
      </c>
      <c r="C56">
        <v>1</v>
      </c>
      <c r="D56">
        <v>4</v>
      </c>
      <c r="E56">
        <f>VLOOKUP(A56,Elements!$A$2:$B$435,2,0)</f>
        <v>53</v>
      </c>
      <c r="F56" t="str">
        <f t="shared" si="0"/>
        <v>1-4-53</v>
      </c>
      <c r="G56">
        <v>55</v>
      </c>
      <c r="H56" s="34" t="s">
        <v>91</v>
      </c>
    </row>
    <row r="57" spans="1:8">
      <c r="A57" s="34" t="s">
        <v>92</v>
      </c>
      <c r="B57">
        <v>1</v>
      </c>
      <c r="C57">
        <v>1</v>
      </c>
      <c r="D57">
        <v>4</v>
      </c>
      <c r="E57">
        <f>VLOOKUP(A57,Elements!$A$2:$B$435,2,0)</f>
        <v>54</v>
      </c>
      <c r="F57" t="str">
        <f t="shared" si="0"/>
        <v>1-4-54</v>
      </c>
      <c r="G57">
        <v>56</v>
      </c>
      <c r="H57" s="34" t="s">
        <v>92</v>
      </c>
    </row>
    <row r="58" spans="1:8">
      <c r="A58" s="34" t="s">
        <v>81</v>
      </c>
      <c r="B58">
        <v>1</v>
      </c>
      <c r="C58">
        <v>1</v>
      </c>
      <c r="D58">
        <v>4</v>
      </c>
      <c r="E58">
        <f>VLOOKUP(A58,Elements!$A$2:$B$435,2,0)</f>
        <v>44</v>
      </c>
      <c r="F58" t="str">
        <f t="shared" si="0"/>
        <v>1-4-44</v>
      </c>
      <c r="G58">
        <v>57</v>
      </c>
      <c r="H58" s="34" t="s">
        <v>81</v>
      </c>
    </row>
    <row r="59" spans="1:8">
      <c r="A59" s="34" t="s">
        <v>93</v>
      </c>
      <c r="B59">
        <v>1</v>
      </c>
      <c r="C59">
        <v>1</v>
      </c>
      <c r="D59">
        <v>5</v>
      </c>
      <c r="E59">
        <f>VLOOKUP(A59,Elements!$A$2:$B$435,2,0)</f>
        <v>55</v>
      </c>
      <c r="F59" t="str">
        <f t="shared" si="0"/>
        <v>1-5-55</v>
      </c>
      <c r="G59">
        <v>58</v>
      </c>
      <c r="H59" s="34" t="s">
        <v>93</v>
      </c>
    </row>
    <row r="60" spans="1:8">
      <c r="A60" s="34" t="s">
        <v>94</v>
      </c>
      <c r="B60">
        <v>1</v>
      </c>
      <c r="C60">
        <v>1</v>
      </c>
      <c r="D60">
        <v>5</v>
      </c>
      <c r="E60">
        <f>VLOOKUP(A60,Elements!$A$2:$B$435,2,0)</f>
        <v>56</v>
      </c>
      <c r="F60" t="str">
        <f t="shared" si="0"/>
        <v>1-5-56</v>
      </c>
      <c r="G60">
        <v>59</v>
      </c>
      <c r="H60" s="34" t="s">
        <v>94</v>
      </c>
    </row>
    <row r="61" spans="1:8">
      <c r="A61" s="34" t="s">
        <v>95</v>
      </c>
      <c r="B61">
        <v>1</v>
      </c>
      <c r="C61">
        <v>1</v>
      </c>
      <c r="D61">
        <v>5</v>
      </c>
      <c r="E61">
        <f>VLOOKUP(A61,Elements!$A$2:$B$435,2,0)</f>
        <v>57</v>
      </c>
      <c r="F61" t="str">
        <f t="shared" si="0"/>
        <v>1-5-57</v>
      </c>
      <c r="G61">
        <v>60</v>
      </c>
      <c r="H61" s="34" t="s">
        <v>95</v>
      </c>
    </row>
    <row r="62" spans="1:8">
      <c r="A62" s="34" t="s">
        <v>96</v>
      </c>
      <c r="B62">
        <v>1</v>
      </c>
      <c r="C62">
        <v>1</v>
      </c>
      <c r="D62">
        <v>5</v>
      </c>
      <c r="E62">
        <f>VLOOKUP(A62,Elements!$A$2:$B$435,2,0)</f>
        <v>58</v>
      </c>
      <c r="F62" t="str">
        <f t="shared" si="0"/>
        <v>1-5-58</v>
      </c>
      <c r="G62">
        <v>61</v>
      </c>
      <c r="H62" s="34" t="s">
        <v>96</v>
      </c>
    </row>
    <row r="63" spans="1:8">
      <c r="A63" s="34" t="s">
        <v>97</v>
      </c>
      <c r="B63">
        <v>1</v>
      </c>
      <c r="C63">
        <v>1</v>
      </c>
      <c r="D63">
        <v>5</v>
      </c>
      <c r="E63">
        <f>VLOOKUP(A63,Elements!$A$2:$B$435,2,0)</f>
        <v>59</v>
      </c>
      <c r="F63" t="str">
        <f t="shared" si="0"/>
        <v>1-5-59</v>
      </c>
      <c r="G63">
        <v>62</v>
      </c>
      <c r="H63" s="34" t="s">
        <v>97</v>
      </c>
    </row>
    <row r="64" spans="1:8">
      <c r="A64" s="34" t="s">
        <v>13</v>
      </c>
      <c r="B64">
        <v>1</v>
      </c>
      <c r="C64">
        <v>1</v>
      </c>
      <c r="D64">
        <v>5</v>
      </c>
      <c r="E64">
        <f>VLOOKUP(A64,Elements!$A$2:$B$435,2,0)</f>
        <v>60</v>
      </c>
      <c r="F64" t="str">
        <f t="shared" si="0"/>
        <v>1-5-60</v>
      </c>
      <c r="G64">
        <v>63</v>
      </c>
      <c r="H64" s="34" t="s">
        <v>13</v>
      </c>
    </row>
    <row r="65" spans="1:8">
      <c r="A65" s="34" t="s">
        <v>98</v>
      </c>
      <c r="B65">
        <v>1</v>
      </c>
      <c r="C65">
        <v>1</v>
      </c>
      <c r="D65">
        <v>5</v>
      </c>
      <c r="E65">
        <f>VLOOKUP(A65,Elements!$A$2:$B$435,2,0)</f>
        <v>61</v>
      </c>
      <c r="F65" t="str">
        <f t="shared" si="0"/>
        <v>1-5-61</v>
      </c>
      <c r="G65">
        <v>64</v>
      </c>
      <c r="H65" s="34" t="s">
        <v>98</v>
      </c>
    </row>
    <row r="66" spans="1:8">
      <c r="A66" s="34" t="s">
        <v>99</v>
      </c>
      <c r="B66">
        <v>1</v>
      </c>
      <c r="C66">
        <v>1</v>
      </c>
      <c r="D66">
        <v>5</v>
      </c>
      <c r="E66">
        <f>VLOOKUP(A66,Elements!$A$2:$B$435,2,0)</f>
        <v>62</v>
      </c>
      <c r="F66" t="str">
        <f t="shared" si="0"/>
        <v>1-5-62</v>
      </c>
      <c r="G66">
        <v>65</v>
      </c>
      <c r="H66" s="34" t="s">
        <v>99</v>
      </c>
    </row>
    <row r="67" spans="1:8">
      <c r="A67" s="34" t="s">
        <v>100</v>
      </c>
      <c r="B67">
        <v>1</v>
      </c>
      <c r="C67">
        <v>1</v>
      </c>
      <c r="D67">
        <v>5</v>
      </c>
      <c r="E67">
        <f>VLOOKUP(A67,Elements!$A$2:$B$435,2,0)</f>
        <v>63</v>
      </c>
      <c r="F67" t="str">
        <f t="shared" ref="F67:F130" si="1">_xlfn.CONCAT(C67,"-",D67,"-",E67)</f>
        <v>1-5-63</v>
      </c>
      <c r="G67">
        <v>66</v>
      </c>
      <c r="H67" s="34" t="s">
        <v>100</v>
      </c>
    </row>
    <row r="68" spans="1:8">
      <c r="A68" s="34" t="s">
        <v>101</v>
      </c>
      <c r="B68">
        <v>1</v>
      </c>
      <c r="C68">
        <v>1</v>
      </c>
      <c r="D68">
        <v>6</v>
      </c>
      <c r="E68">
        <f>VLOOKUP(A68,Elements!$A$2:$B$435,2,0)</f>
        <v>64</v>
      </c>
      <c r="F68" t="str">
        <f t="shared" si="1"/>
        <v>1-6-64</v>
      </c>
      <c r="G68">
        <v>67</v>
      </c>
      <c r="H68" s="34" t="s">
        <v>101</v>
      </c>
    </row>
    <row r="69" spans="1:8">
      <c r="A69" s="34" t="s">
        <v>362</v>
      </c>
      <c r="B69">
        <v>1</v>
      </c>
      <c r="C69">
        <v>1</v>
      </c>
      <c r="D69">
        <v>6</v>
      </c>
      <c r="E69">
        <f>VLOOKUP(A69,Elements!$A$2:$B$435,2,0)</f>
        <v>65</v>
      </c>
      <c r="F69" t="str">
        <f t="shared" si="1"/>
        <v>1-6-65</v>
      </c>
      <c r="G69">
        <v>68</v>
      </c>
      <c r="H69" s="34" t="s">
        <v>362</v>
      </c>
    </row>
    <row r="70" spans="1:8">
      <c r="A70" s="34" t="s">
        <v>286</v>
      </c>
      <c r="B70">
        <v>1</v>
      </c>
      <c r="C70">
        <v>1</v>
      </c>
      <c r="D70">
        <v>6</v>
      </c>
      <c r="E70">
        <f>VLOOKUP(A70,Elements!$A$2:$B$435,2,0)</f>
        <v>66</v>
      </c>
      <c r="F70" t="str">
        <f t="shared" si="1"/>
        <v>1-6-66</v>
      </c>
      <c r="G70">
        <v>69</v>
      </c>
      <c r="H70" s="34" t="s">
        <v>286</v>
      </c>
    </row>
    <row r="71" spans="1:8">
      <c r="A71" t="s">
        <v>288</v>
      </c>
      <c r="B71">
        <v>1</v>
      </c>
      <c r="C71">
        <v>1</v>
      </c>
      <c r="D71">
        <v>6</v>
      </c>
      <c r="E71">
        <f>VLOOKUP(A71,Elements!$A$2:$B$435,2,0)</f>
        <v>67</v>
      </c>
      <c r="F71" t="str">
        <f t="shared" si="1"/>
        <v>1-6-67</v>
      </c>
      <c r="G71">
        <v>70</v>
      </c>
      <c r="H71" t="s">
        <v>288</v>
      </c>
    </row>
    <row r="72" spans="1:8">
      <c r="A72" s="34" t="s">
        <v>104</v>
      </c>
      <c r="B72">
        <v>1</v>
      </c>
      <c r="C72">
        <v>1</v>
      </c>
      <c r="D72">
        <v>6</v>
      </c>
      <c r="E72">
        <f>VLOOKUP(A72,Elements!$A$2:$B$435,2,0)</f>
        <v>68</v>
      </c>
      <c r="F72" t="str">
        <f t="shared" si="1"/>
        <v>1-6-68</v>
      </c>
      <c r="G72">
        <v>71</v>
      </c>
      <c r="H72" s="34" t="s">
        <v>104</v>
      </c>
    </row>
    <row r="73" spans="1:8">
      <c r="A73" s="34" t="s">
        <v>105</v>
      </c>
      <c r="B73">
        <v>1</v>
      </c>
      <c r="C73">
        <v>1</v>
      </c>
      <c r="D73">
        <v>6</v>
      </c>
      <c r="E73">
        <f>VLOOKUP(A73,Elements!$A$2:$B$435,2,0)</f>
        <v>69</v>
      </c>
      <c r="F73" t="str">
        <f t="shared" si="1"/>
        <v>1-6-69</v>
      </c>
      <c r="G73">
        <v>72</v>
      </c>
      <c r="H73" s="34" t="s">
        <v>105</v>
      </c>
    </row>
    <row r="74" spans="1:8">
      <c r="A74" s="34" t="s">
        <v>106</v>
      </c>
      <c r="B74">
        <v>1</v>
      </c>
      <c r="C74">
        <v>1</v>
      </c>
      <c r="D74">
        <v>6</v>
      </c>
      <c r="E74">
        <f>VLOOKUP(A74,Elements!$A$2:$B$435,2,0)</f>
        <v>70</v>
      </c>
      <c r="F74" t="str">
        <f t="shared" si="1"/>
        <v>1-6-70</v>
      </c>
      <c r="G74">
        <v>73</v>
      </c>
      <c r="H74" s="34" t="s">
        <v>106</v>
      </c>
    </row>
    <row r="75" spans="1:8">
      <c r="A75" s="34" t="s">
        <v>526</v>
      </c>
      <c r="B75">
        <v>1</v>
      </c>
      <c r="C75">
        <v>1</v>
      </c>
      <c r="D75">
        <v>7</v>
      </c>
      <c r="E75">
        <f>VLOOKUP(A75,Elements!$A$2:$B$435,2,0)</f>
        <v>71</v>
      </c>
      <c r="F75" t="str">
        <f t="shared" si="1"/>
        <v>1-7-71</v>
      </c>
      <c r="G75">
        <v>74</v>
      </c>
      <c r="H75" s="34" t="s">
        <v>526</v>
      </c>
    </row>
    <row r="76" spans="1:8">
      <c r="A76" s="34" t="s">
        <v>47</v>
      </c>
      <c r="B76">
        <v>1</v>
      </c>
      <c r="C76">
        <v>1</v>
      </c>
      <c r="D76">
        <v>7</v>
      </c>
      <c r="E76">
        <f>VLOOKUP(A76,Elements!$A$2:$B$435,2,0)</f>
        <v>10</v>
      </c>
      <c r="F76" t="str">
        <f t="shared" si="1"/>
        <v>1-7-10</v>
      </c>
      <c r="G76">
        <v>75</v>
      </c>
      <c r="H76" s="34" t="s">
        <v>47</v>
      </c>
    </row>
    <row r="77" spans="1:8">
      <c r="A77" s="34" t="s">
        <v>108</v>
      </c>
      <c r="B77">
        <v>1</v>
      </c>
      <c r="C77">
        <v>1</v>
      </c>
      <c r="D77">
        <v>7</v>
      </c>
      <c r="E77">
        <f>VLOOKUP(A77,Elements!$A$2:$B$435,2,0)</f>
        <v>72</v>
      </c>
      <c r="F77" t="str">
        <f t="shared" si="1"/>
        <v>1-7-72</v>
      </c>
      <c r="G77">
        <v>76</v>
      </c>
      <c r="H77" s="34" t="s">
        <v>108</v>
      </c>
    </row>
    <row r="78" spans="1:8">
      <c r="A78" s="34" t="s">
        <v>353</v>
      </c>
      <c r="B78">
        <v>1</v>
      </c>
      <c r="C78">
        <v>1</v>
      </c>
      <c r="D78">
        <v>7</v>
      </c>
      <c r="E78">
        <f>VLOOKUP(A78,Elements!$A$2:$B$435,2,0)</f>
        <v>73</v>
      </c>
      <c r="F78" t="str">
        <f t="shared" si="1"/>
        <v>1-7-73</v>
      </c>
      <c r="G78">
        <v>77</v>
      </c>
      <c r="H78" s="34" t="s">
        <v>353</v>
      </c>
    </row>
    <row r="79" spans="1:8">
      <c r="A79" s="34" t="s">
        <v>109</v>
      </c>
      <c r="B79">
        <v>1</v>
      </c>
      <c r="C79">
        <v>1</v>
      </c>
      <c r="D79">
        <v>7</v>
      </c>
      <c r="E79">
        <f>VLOOKUP(A79,Elements!$A$2:$B$435,2,0)</f>
        <v>74</v>
      </c>
      <c r="F79" t="str">
        <f t="shared" si="1"/>
        <v>1-7-74</v>
      </c>
      <c r="G79">
        <v>78</v>
      </c>
      <c r="H79" s="34" t="s">
        <v>109</v>
      </c>
    </row>
    <row r="80" spans="1:8">
      <c r="A80" s="34" t="s">
        <v>355</v>
      </c>
      <c r="B80">
        <v>1</v>
      </c>
      <c r="C80">
        <v>1</v>
      </c>
      <c r="D80">
        <v>7</v>
      </c>
      <c r="E80">
        <f>VLOOKUP(A80,Elements!$A$2:$B$435,2,0)</f>
        <v>75</v>
      </c>
      <c r="F80" t="str">
        <f t="shared" si="1"/>
        <v>1-7-75</v>
      </c>
      <c r="G80">
        <v>79</v>
      </c>
      <c r="H80" s="34" t="s">
        <v>355</v>
      </c>
    </row>
    <row r="81" spans="1:8">
      <c r="A81" s="34" t="s">
        <v>110</v>
      </c>
      <c r="B81">
        <v>1</v>
      </c>
      <c r="C81">
        <v>1</v>
      </c>
      <c r="D81">
        <v>7</v>
      </c>
      <c r="E81">
        <f>VLOOKUP(A81,Elements!$A$2:$B$435,2,0)</f>
        <v>76</v>
      </c>
      <c r="F81" t="str">
        <f t="shared" si="1"/>
        <v>1-7-76</v>
      </c>
      <c r="G81">
        <v>80</v>
      </c>
      <c r="H81" s="34" t="s">
        <v>110</v>
      </c>
    </row>
    <row r="82" spans="1:8">
      <c r="A82" s="34" t="s">
        <v>111</v>
      </c>
      <c r="B82">
        <v>1</v>
      </c>
      <c r="C82">
        <v>1</v>
      </c>
      <c r="D82">
        <v>7</v>
      </c>
      <c r="E82">
        <f>VLOOKUP(A82,Elements!$A$2:$B$435,2,0)</f>
        <v>77</v>
      </c>
      <c r="F82" t="str">
        <f t="shared" si="1"/>
        <v>1-7-77</v>
      </c>
      <c r="G82">
        <v>81</v>
      </c>
      <c r="H82" s="34" t="s">
        <v>111</v>
      </c>
    </row>
    <row r="83" spans="1:8">
      <c r="A83" s="34" t="s">
        <v>112</v>
      </c>
      <c r="B83">
        <v>1</v>
      </c>
      <c r="C83">
        <v>1</v>
      </c>
      <c r="D83">
        <v>7</v>
      </c>
      <c r="E83">
        <f>VLOOKUP(A83,Elements!$A$2:$B$435,2,0)</f>
        <v>78</v>
      </c>
      <c r="F83" t="str">
        <f t="shared" si="1"/>
        <v>1-7-78</v>
      </c>
      <c r="G83">
        <v>82</v>
      </c>
      <c r="H83" s="34" t="s">
        <v>112</v>
      </c>
    </row>
    <row r="84" spans="1:8">
      <c r="A84" s="34" t="s">
        <v>113</v>
      </c>
      <c r="B84">
        <v>1</v>
      </c>
      <c r="C84">
        <v>1</v>
      </c>
      <c r="D84">
        <v>7</v>
      </c>
      <c r="E84">
        <f>VLOOKUP(A84,Elements!$A$2:$B$435,2,0)</f>
        <v>79</v>
      </c>
      <c r="F84" t="str">
        <f t="shared" si="1"/>
        <v>1-7-79</v>
      </c>
      <c r="G84">
        <v>83</v>
      </c>
      <c r="H84" s="34" t="s">
        <v>113</v>
      </c>
    </row>
    <row r="85" spans="1:8">
      <c r="A85" s="34" t="s">
        <v>114</v>
      </c>
      <c r="B85">
        <v>1</v>
      </c>
      <c r="C85">
        <v>1</v>
      </c>
      <c r="D85">
        <v>7</v>
      </c>
      <c r="E85">
        <f>VLOOKUP(A85,Elements!$A$2:$B$435,2,0)</f>
        <v>80</v>
      </c>
      <c r="F85" t="str">
        <f t="shared" si="1"/>
        <v>1-7-80</v>
      </c>
      <c r="G85">
        <v>84</v>
      </c>
      <c r="H85" s="34" t="s">
        <v>114</v>
      </c>
    </row>
    <row r="86" spans="1:8">
      <c r="A86" s="34" t="s">
        <v>115</v>
      </c>
      <c r="B86">
        <v>1</v>
      </c>
      <c r="C86">
        <v>1</v>
      </c>
      <c r="D86">
        <v>7</v>
      </c>
      <c r="E86">
        <f>VLOOKUP(A86,Elements!$A$2:$B$435,2,0)</f>
        <v>81</v>
      </c>
      <c r="F86" t="str">
        <f t="shared" si="1"/>
        <v>1-7-81</v>
      </c>
      <c r="G86">
        <v>85</v>
      </c>
      <c r="H86" s="34" t="s">
        <v>115</v>
      </c>
    </row>
    <row r="87" spans="1:8">
      <c r="A87" s="34" t="s">
        <v>116</v>
      </c>
      <c r="B87">
        <v>1</v>
      </c>
      <c r="C87">
        <v>1</v>
      </c>
      <c r="D87">
        <v>7</v>
      </c>
      <c r="E87">
        <f>VLOOKUP(A87,Elements!$A$2:$B$435,2,0)</f>
        <v>82</v>
      </c>
      <c r="F87" t="str">
        <f t="shared" si="1"/>
        <v>1-7-82</v>
      </c>
      <c r="G87">
        <v>86</v>
      </c>
      <c r="H87" s="34" t="s">
        <v>116</v>
      </c>
    </row>
    <row r="88" spans="1:8">
      <c r="A88" s="34" t="s">
        <v>117</v>
      </c>
      <c r="B88">
        <v>1</v>
      </c>
      <c r="C88">
        <v>1</v>
      </c>
      <c r="D88">
        <v>8</v>
      </c>
      <c r="E88">
        <f>VLOOKUP(A88,Elements!$A$2:$B$435,2,0)</f>
        <v>83</v>
      </c>
      <c r="F88" t="str">
        <f t="shared" si="1"/>
        <v>1-8-83</v>
      </c>
      <c r="G88">
        <v>87</v>
      </c>
      <c r="H88" s="34" t="s">
        <v>117</v>
      </c>
    </row>
    <row r="89" spans="1:8">
      <c r="A89" s="34" t="s">
        <v>118</v>
      </c>
      <c r="B89">
        <v>1</v>
      </c>
      <c r="C89">
        <v>1</v>
      </c>
      <c r="D89">
        <v>8</v>
      </c>
      <c r="E89">
        <f>VLOOKUP(A89,Elements!$A$2:$B$435,2,0)</f>
        <v>84</v>
      </c>
      <c r="F89" t="str">
        <f t="shared" si="1"/>
        <v>1-8-84</v>
      </c>
      <c r="G89">
        <v>88</v>
      </c>
      <c r="H89" s="34" t="s">
        <v>118</v>
      </c>
    </row>
    <row r="90" spans="1:8">
      <c r="A90" s="34" t="s">
        <v>119</v>
      </c>
      <c r="B90">
        <v>1</v>
      </c>
      <c r="C90">
        <v>1</v>
      </c>
      <c r="D90">
        <v>8</v>
      </c>
      <c r="E90">
        <f>VLOOKUP(A90,Elements!$A$2:$B$435,2,0)</f>
        <v>85</v>
      </c>
      <c r="F90" t="str">
        <f t="shared" si="1"/>
        <v>1-8-85</v>
      </c>
      <c r="G90">
        <v>89</v>
      </c>
      <c r="H90" s="34" t="s">
        <v>119</v>
      </c>
    </row>
    <row r="91" spans="1:8">
      <c r="A91" s="34" t="s">
        <v>93</v>
      </c>
      <c r="B91">
        <v>1</v>
      </c>
      <c r="C91">
        <v>2</v>
      </c>
      <c r="D91">
        <v>5</v>
      </c>
      <c r="E91">
        <f>VLOOKUP(A91,Elements!$A$2:$B$435,2,0)</f>
        <v>55</v>
      </c>
      <c r="F91" t="str">
        <f t="shared" si="1"/>
        <v>2-5-55</v>
      </c>
      <c r="G91">
        <v>90</v>
      </c>
      <c r="H91" s="34" t="s">
        <v>93</v>
      </c>
    </row>
    <row r="92" spans="1:8">
      <c r="A92" s="34" t="s">
        <v>94</v>
      </c>
      <c r="B92">
        <v>1</v>
      </c>
      <c r="C92">
        <v>2</v>
      </c>
      <c r="D92">
        <v>5</v>
      </c>
      <c r="E92">
        <f>VLOOKUP(A92,Elements!$A$2:$B$435,2,0)</f>
        <v>56</v>
      </c>
      <c r="F92" t="str">
        <f t="shared" si="1"/>
        <v>2-5-56</v>
      </c>
      <c r="G92">
        <v>91</v>
      </c>
      <c r="H92" s="34" t="s">
        <v>94</v>
      </c>
    </row>
    <row r="93" spans="1:8">
      <c r="A93" s="34" t="s">
        <v>95</v>
      </c>
      <c r="B93">
        <v>1</v>
      </c>
      <c r="C93">
        <v>2</v>
      </c>
      <c r="D93">
        <v>5</v>
      </c>
      <c r="E93">
        <f>VLOOKUP(A93,Elements!$A$2:$B$435,2,0)</f>
        <v>57</v>
      </c>
      <c r="F93" t="str">
        <f t="shared" si="1"/>
        <v>2-5-57</v>
      </c>
      <c r="G93">
        <v>92</v>
      </c>
      <c r="H93" s="34" t="s">
        <v>95</v>
      </c>
    </row>
    <row r="94" spans="1:8" s="47" customFormat="1">
      <c r="A94" s="46" t="s">
        <v>96</v>
      </c>
      <c r="F94" t="str">
        <f t="shared" si="1"/>
        <v>--</v>
      </c>
      <c r="H94" s="46" t="s">
        <v>96</v>
      </c>
    </row>
    <row r="95" spans="1:8">
      <c r="A95" s="34" t="s">
        <v>97</v>
      </c>
      <c r="B95">
        <v>1</v>
      </c>
      <c r="C95">
        <v>2</v>
      </c>
      <c r="D95">
        <v>5</v>
      </c>
      <c r="E95">
        <f>VLOOKUP(A95,Elements!$A$2:$B$435,2,0)</f>
        <v>59</v>
      </c>
      <c r="F95" t="str">
        <f t="shared" si="1"/>
        <v>2-5-59</v>
      </c>
      <c r="G95">
        <v>93</v>
      </c>
      <c r="H95" s="34" t="s">
        <v>97</v>
      </c>
    </row>
    <row r="96" spans="1:8">
      <c r="A96" s="34" t="s">
        <v>13</v>
      </c>
      <c r="B96">
        <v>1</v>
      </c>
      <c r="C96">
        <v>2</v>
      </c>
      <c r="D96">
        <v>5</v>
      </c>
      <c r="E96">
        <f>VLOOKUP(A96,Elements!$A$2:$B$435,2,0)</f>
        <v>60</v>
      </c>
      <c r="F96" t="str">
        <f t="shared" si="1"/>
        <v>2-5-60</v>
      </c>
      <c r="G96">
        <v>94</v>
      </c>
      <c r="H96" s="34" t="s">
        <v>13</v>
      </c>
    </row>
    <row r="97" spans="1:8">
      <c r="A97" s="34" t="s">
        <v>98</v>
      </c>
      <c r="B97">
        <v>1</v>
      </c>
      <c r="C97">
        <v>2</v>
      </c>
      <c r="D97">
        <v>5</v>
      </c>
      <c r="E97">
        <f>VLOOKUP(A97,Elements!$A$2:$B$435,2,0)</f>
        <v>61</v>
      </c>
      <c r="F97" t="str">
        <f t="shared" si="1"/>
        <v>2-5-61</v>
      </c>
      <c r="G97">
        <v>95</v>
      </c>
      <c r="H97" s="34" t="s">
        <v>98</v>
      </c>
    </row>
    <row r="98" spans="1:8">
      <c r="A98" s="34" t="s">
        <v>99</v>
      </c>
      <c r="B98">
        <v>1</v>
      </c>
      <c r="C98">
        <v>2</v>
      </c>
      <c r="D98">
        <v>5</v>
      </c>
      <c r="E98">
        <f>VLOOKUP(A98,Elements!$A$2:$B$435,2,0)</f>
        <v>62</v>
      </c>
      <c r="F98" t="str">
        <f t="shared" si="1"/>
        <v>2-5-62</v>
      </c>
      <c r="G98">
        <v>96</v>
      </c>
      <c r="H98" s="34" t="s">
        <v>99</v>
      </c>
    </row>
    <row r="99" spans="1:8" s="49" customFormat="1">
      <c r="A99" s="48" t="s">
        <v>100</v>
      </c>
      <c r="B99" s="49">
        <v>1</v>
      </c>
      <c r="C99" s="49">
        <v>2</v>
      </c>
      <c r="D99" s="49">
        <v>5</v>
      </c>
      <c r="E99">
        <f>VLOOKUP(A99,Elements!$A$2:$B$435,2,0)</f>
        <v>63</v>
      </c>
      <c r="F99" t="str">
        <f t="shared" si="1"/>
        <v>2-5-63</v>
      </c>
      <c r="G99">
        <v>97</v>
      </c>
      <c r="H99" s="48" t="s">
        <v>100</v>
      </c>
    </row>
    <row r="100" spans="1:8">
      <c r="A100" s="34" t="s">
        <v>101</v>
      </c>
      <c r="B100">
        <v>1</v>
      </c>
      <c r="C100">
        <v>2</v>
      </c>
      <c r="D100">
        <v>6</v>
      </c>
      <c r="E100">
        <f>VLOOKUP(A100,Elements!$A$2:$B$435,2,0)</f>
        <v>64</v>
      </c>
      <c r="F100" t="str">
        <f t="shared" si="1"/>
        <v>2-6-64</v>
      </c>
      <c r="G100">
        <v>98</v>
      </c>
      <c r="H100" s="34" t="s">
        <v>101</v>
      </c>
    </row>
    <row r="101" spans="1:8">
      <c r="A101" s="34" t="s">
        <v>362</v>
      </c>
      <c r="B101">
        <v>1</v>
      </c>
      <c r="C101">
        <v>2</v>
      </c>
      <c r="D101">
        <v>6</v>
      </c>
      <c r="E101">
        <f>VLOOKUP(A101,Elements!$A$2:$B$435,2,0)</f>
        <v>65</v>
      </c>
      <c r="F101" t="str">
        <f t="shared" si="1"/>
        <v>2-6-65</v>
      </c>
      <c r="G101">
        <v>99</v>
      </c>
      <c r="H101" s="34" t="s">
        <v>362</v>
      </c>
    </row>
    <row r="102" spans="1:8">
      <c r="A102" s="34" t="s">
        <v>286</v>
      </c>
      <c r="B102">
        <v>1</v>
      </c>
      <c r="C102">
        <v>2</v>
      </c>
      <c r="D102">
        <v>6</v>
      </c>
      <c r="E102">
        <f>VLOOKUP(A102,Elements!$A$2:$B$435,2,0)</f>
        <v>66</v>
      </c>
      <c r="F102" t="str">
        <f t="shared" si="1"/>
        <v>2-6-66</v>
      </c>
      <c r="G102">
        <v>100</v>
      </c>
      <c r="H102" s="34" t="s">
        <v>286</v>
      </c>
    </row>
    <row r="103" spans="1:8">
      <c r="A103" t="s">
        <v>288</v>
      </c>
      <c r="B103">
        <v>1</v>
      </c>
      <c r="C103">
        <v>2</v>
      </c>
      <c r="D103">
        <v>6</v>
      </c>
      <c r="E103">
        <f>VLOOKUP(A103,Elements!$A$2:$B$435,2,0)</f>
        <v>67</v>
      </c>
      <c r="F103" t="str">
        <f t="shared" si="1"/>
        <v>2-6-67</v>
      </c>
      <c r="G103">
        <v>101</v>
      </c>
      <c r="H103" t="s">
        <v>288</v>
      </c>
    </row>
    <row r="104" spans="1:8">
      <c r="A104" s="34" t="s">
        <v>104</v>
      </c>
      <c r="B104">
        <v>1</v>
      </c>
      <c r="C104">
        <v>2</v>
      </c>
      <c r="D104">
        <v>6</v>
      </c>
      <c r="E104">
        <f>VLOOKUP(A104,Elements!$A$2:$B$435,2,0)</f>
        <v>68</v>
      </c>
      <c r="F104" t="str">
        <f t="shared" si="1"/>
        <v>2-6-68</v>
      </c>
      <c r="G104">
        <v>102</v>
      </c>
      <c r="H104" s="34" t="s">
        <v>104</v>
      </c>
    </row>
    <row r="105" spans="1:8">
      <c r="A105" s="34" t="s">
        <v>105</v>
      </c>
      <c r="B105">
        <v>1</v>
      </c>
      <c r="C105">
        <v>2</v>
      </c>
      <c r="D105">
        <v>6</v>
      </c>
      <c r="E105">
        <f>VLOOKUP(A105,Elements!$A$2:$B$435,2,0)</f>
        <v>69</v>
      </c>
      <c r="F105" t="str">
        <f t="shared" si="1"/>
        <v>2-6-69</v>
      </c>
      <c r="G105">
        <v>103</v>
      </c>
      <c r="H105" s="34" t="s">
        <v>105</v>
      </c>
    </row>
    <row r="106" spans="1:8">
      <c r="A106" s="34" t="s">
        <v>106</v>
      </c>
      <c r="B106">
        <v>1</v>
      </c>
      <c r="C106">
        <v>2</v>
      </c>
      <c r="D106">
        <v>6</v>
      </c>
      <c r="E106">
        <f>VLOOKUP(A106,Elements!$A$2:$B$435,2,0)</f>
        <v>70</v>
      </c>
      <c r="F106" t="str">
        <f t="shared" si="1"/>
        <v>2-6-70</v>
      </c>
      <c r="G106">
        <v>104</v>
      </c>
      <c r="H106" s="34" t="s">
        <v>106</v>
      </c>
    </row>
    <row r="107" spans="1:8">
      <c r="A107" s="34" t="s">
        <v>526</v>
      </c>
      <c r="B107">
        <v>1</v>
      </c>
      <c r="C107">
        <v>2</v>
      </c>
      <c r="D107">
        <v>7</v>
      </c>
      <c r="E107">
        <f>VLOOKUP(A107,Elements!$A$2:$B$435,2,0)</f>
        <v>71</v>
      </c>
      <c r="F107" t="str">
        <f t="shared" si="1"/>
        <v>2-7-71</v>
      </c>
      <c r="G107">
        <v>105</v>
      </c>
      <c r="H107" s="34" t="s">
        <v>526</v>
      </c>
    </row>
    <row r="108" spans="1:8">
      <c r="A108" s="34" t="s">
        <v>47</v>
      </c>
      <c r="B108">
        <v>1</v>
      </c>
      <c r="C108">
        <v>2</v>
      </c>
      <c r="D108">
        <v>7</v>
      </c>
      <c r="E108">
        <f>VLOOKUP(A108,Elements!$A$2:$B$435,2,0)</f>
        <v>10</v>
      </c>
      <c r="F108" t="str">
        <f t="shared" si="1"/>
        <v>2-7-10</v>
      </c>
      <c r="G108">
        <v>106</v>
      </c>
      <c r="H108" s="34" t="s">
        <v>47</v>
      </c>
    </row>
    <row r="109" spans="1:8">
      <c r="A109" s="34" t="s">
        <v>108</v>
      </c>
      <c r="B109">
        <v>1</v>
      </c>
      <c r="C109">
        <v>2</v>
      </c>
      <c r="D109">
        <v>7</v>
      </c>
      <c r="E109">
        <f>VLOOKUP(A109,Elements!$A$2:$B$435,2,0)</f>
        <v>72</v>
      </c>
      <c r="F109" t="str">
        <f t="shared" si="1"/>
        <v>2-7-72</v>
      </c>
      <c r="G109">
        <v>107</v>
      </c>
      <c r="H109" s="34" t="s">
        <v>108</v>
      </c>
    </row>
    <row r="110" spans="1:8">
      <c r="A110" s="34" t="s">
        <v>353</v>
      </c>
      <c r="B110">
        <v>1</v>
      </c>
      <c r="C110">
        <v>2</v>
      </c>
      <c r="D110">
        <v>7</v>
      </c>
      <c r="E110">
        <f>VLOOKUP(A110,Elements!$A$2:$B$435,2,0)</f>
        <v>73</v>
      </c>
      <c r="F110" t="str">
        <f t="shared" si="1"/>
        <v>2-7-73</v>
      </c>
      <c r="G110">
        <v>108</v>
      </c>
      <c r="H110" s="34" t="s">
        <v>353</v>
      </c>
    </row>
    <row r="111" spans="1:8">
      <c r="A111" s="34" t="s">
        <v>109</v>
      </c>
      <c r="B111">
        <v>1</v>
      </c>
      <c r="C111">
        <v>2</v>
      </c>
      <c r="D111">
        <v>7</v>
      </c>
      <c r="E111">
        <f>VLOOKUP(A111,Elements!$A$2:$B$435,2,0)</f>
        <v>74</v>
      </c>
      <c r="F111" t="str">
        <f t="shared" si="1"/>
        <v>2-7-74</v>
      </c>
      <c r="G111">
        <v>109</v>
      </c>
      <c r="H111" s="34" t="s">
        <v>109</v>
      </c>
    </row>
    <row r="112" spans="1:8">
      <c r="A112" s="34" t="s">
        <v>355</v>
      </c>
      <c r="B112">
        <v>1</v>
      </c>
      <c r="C112">
        <v>2</v>
      </c>
      <c r="D112">
        <v>7</v>
      </c>
      <c r="E112">
        <f>VLOOKUP(A112,Elements!$A$2:$B$435,2,0)</f>
        <v>75</v>
      </c>
      <c r="F112" t="str">
        <f t="shared" si="1"/>
        <v>2-7-75</v>
      </c>
      <c r="G112">
        <v>110</v>
      </c>
      <c r="H112" s="34" t="s">
        <v>355</v>
      </c>
    </row>
    <row r="113" spans="1:8">
      <c r="A113" s="34" t="s">
        <v>110</v>
      </c>
      <c r="B113">
        <v>1</v>
      </c>
      <c r="C113">
        <v>2</v>
      </c>
      <c r="D113">
        <v>7</v>
      </c>
      <c r="E113">
        <f>VLOOKUP(A113,Elements!$A$2:$B$435,2,0)</f>
        <v>76</v>
      </c>
      <c r="F113" t="str">
        <f t="shared" si="1"/>
        <v>2-7-76</v>
      </c>
      <c r="G113">
        <v>111</v>
      </c>
      <c r="H113" s="34" t="s">
        <v>110</v>
      </c>
    </row>
    <row r="114" spans="1:8">
      <c r="A114" s="34" t="s">
        <v>111</v>
      </c>
      <c r="B114">
        <v>1</v>
      </c>
      <c r="C114">
        <v>2</v>
      </c>
      <c r="D114">
        <v>7</v>
      </c>
      <c r="E114">
        <f>VLOOKUP(A114,Elements!$A$2:$B$435,2,0)</f>
        <v>77</v>
      </c>
      <c r="F114" t="str">
        <f t="shared" si="1"/>
        <v>2-7-77</v>
      </c>
      <c r="G114">
        <v>112</v>
      </c>
      <c r="H114" s="34" t="s">
        <v>111</v>
      </c>
    </row>
    <row r="115" spans="1:8">
      <c r="A115" s="34" t="s">
        <v>112</v>
      </c>
      <c r="B115">
        <v>1</v>
      </c>
      <c r="C115">
        <v>2</v>
      </c>
      <c r="D115">
        <v>7</v>
      </c>
      <c r="E115">
        <f>VLOOKUP(A115,Elements!$A$2:$B$435,2,0)</f>
        <v>78</v>
      </c>
      <c r="F115" t="str">
        <f t="shared" si="1"/>
        <v>2-7-78</v>
      </c>
      <c r="G115">
        <v>113</v>
      </c>
      <c r="H115" s="34" t="s">
        <v>112</v>
      </c>
    </row>
    <row r="116" spans="1:8">
      <c r="A116" s="34" t="s">
        <v>113</v>
      </c>
      <c r="B116">
        <v>1</v>
      </c>
      <c r="C116">
        <v>2</v>
      </c>
      <c r="D116">
        <v>7</v>
      </c>
      <c r="E116">
        <f>VLOOKUP(A116,Elements!$A$2:$B$435,2,0)</f>
        <v>79</v>
      </c>
      <c r="F116" t="str">
        <f t="shared" si="1"/>
        <v>2-7-79</v>
      </c>
      <c r="G116">
        <v>114</v>
      </c>
      <c r="H116" s="34" t="s">
        <v>113</v>
      </c>
    </row>
    <row r="117" spans="1:8">
      <c r="A117" s="34" t="s">
        <v>114</v>
      </c>
      <c r="B117">
        <v>1</v>
      </c>
      <c r="C117">
        <v>2</v>
      </c>
      <c r="D117">
        <v>7</v>
      </c>
      <c r="E117">
        <f>VLOOKUP(A117,Elements!$A$2:$B$435,2,0)</f>
        <v>80</v>
      </c>
      <c r="F117" t="str">
        <f t="shared" si="1"/>
        <v>2-7-80</v>
      </c>
      <c r="G117">
        <v>115</v>
      </c>
      <c r="H117" s="34" t="s">
        <v>114</v>
      </c>
    </row>
    <row r="118" spans="1:8">
      <c r="A118" s="34" t="s">
        <v>115</v>
      </c>
      <c r="B118">
        <v>1</v>
      </c>
      <c r="C118">
        <v>2</v>
      </c>
      <c r="D118">
        <v>7</v>
      </c>
      <c r="E118">
        <f>VLOOKUP(A118,Elements!$A$2:$B$435,2,0)</f>
        <v>81</v>
      </c>
      <c r="F118" t="str">
        <f t="shared" si="1"/>
        <v>2-7-81</v>
      </c>
      <c r="G118">
        <v>116</v>
      </c>
      <c r="H118" s="34" t="s">
        <v>115</v>
      </c>
    </row>
    <row r="119" spans="1:8">
      <c r="A119" s="34" t="s">
        <v>116</v>
      </c>
      <c r="B119">
        <v>1</v>
      </c>
      <c r="C119">
        <v>2</v>
      </c>
      <c r="D119">
        <v>7</v>
      </c>
      <c r="E119">
        <f>VLOOKUP(A119,Elements!$A$2:$B$435,2,0)</f>
        <v>82</v>
      </c>
      <c r="F119" t="str">
        <f t="shared" si="1"/>
        <v>2-7-82</v>
      </c>
      <c r="G119">
        <v>117</v>
      </c>
      <c r="H119" s="34" t="s">
        <v>116</v>
      </c>
    </row>
    <row r="120" spans="1:8">
      <c r="A120" s="34" t="s">
        <v>117</v>
      </c>
      <c r="B120">
        <v>1</v>
      </c>
      <c r="C120">
        <v>2</v>
      </c>
      <c r="D120">
        <v>8</v>
      </c>
      <c r="E120">
        <f>VLOOKUP(A120,Elements!$A$2:$B$435,2,0)</f>
        <v>83</v>
      </c>
      <c r="F120" t="str">
        <f t="shared" si="1"/>
        <v>2-8-83</v>
      </c>
      <c r="G120">
        <v>118</v>
      </c>
      <c r="H120" s="34" t="s">
        <v>117</v>
      </c>
    </row>
    <row r="121" spans="1:8">
      <c r="A121" s="34" t="s">
        <v>118</v>
      </c>
      <c r="B121">
        <v>1</v>
      </c>
      <c r="C121">
        <v>2</v>
      </c>
      <c r="D121">
        <v>8</v>
      </c>
      <c r="E121">
        <f>VLOOKUP(A121,Elements!$A$2:$B$435,2,0)</f>
        <v>84</v>
      </c>
      <c r="F121" t="str">
        <f t="shared" si="1"/>
        <v>2-8-84</v>
      </c>
      <c r="G121">
        <v>119</v>
      </c>
      <c r="H121" s="34" t="s">
        <v>118</v>
      </c>
    </row>
    <row r="122" spans="1:8">
      <c r="A122" s="34" t="s">
        <v>119</v>
      </c>
      <c r="B122">
        <v>1</v>
      </c>
      <c r="C122">
        <v>2</v>
      </c>
      <c r="D122">
        <v>8</v>
      </c>
      <c r="E122">
        <f>VLOOKUP(A122,Elements!$A$2:$B$435,2,0)</f>
        <v>85</v>
      </c>
      <c r="F122" t="str">
        <f t="shared" si="1"/>
        <v>2-8-85</v>
      </c>
      <c r="G122">
        <v>120</v>
      </c>
      <c r="H122" s="34" t="s">
        <v>119</v>
      </c>
    </row>
    <row r="123" spans="1:8">
      <c r="A123" s="34" t="s">
        <v>531</v>
      </c>
      <c r="B123">
        <v>1</v>
      </c>
      <c r="C123">
        <v>2</v>
      </c>
      <c r="D123">
        <v>9</v>
      </c>
      <c r="E123">
        <f>VLOOKUP(A123,Elements!$A$2:$B$435,2,0)</f>
        <v>86</v>
      </c>
      <c r="F123" t="str">
        <f t="shared" si="1"/>
        <v>2-9-86</v>
      </c>
      <c r="G123">
        <v>121</v>
      </c>
      <c r="H123" s="34" t="s">
        <v>531</v>
      </c>
    </row>
    <row r="124" spans="1:8">
      <c r="A124" s="34" t="s">
        <v>121</v>
      </c>
      <c r="B124">
        <v>1</v>
      </c>
      <c r="C124">
        <v>2</v>
      </c>
      <c r="D124">
        <v>9</v>
      </c>
      <c r="E124">
        <f>VLOOKUP(A124,Elements!$A$2:$B$435,2,0)</f>
        <v>87</v>
      </c>
      <c r="F124" t="str">
        <f t="shared" si="1"/>
        <v>2-9-87</v>
      </c>
      <c r="G124">
        <v>122</v>
      </c>
      <c r="H124" s="34" t="s">
        <v>121</v>
      </c>
    </row>
    <row r="125" spans="1:8">
      <c r="A125" s="34" t="s">
        <v>122</v>
      </c>
      <c r="B125">
        <v>1</v>
      </c>
      <c r="C125">
        <v>2</v>
      </c>
      <c r="D125">
        <v>9</v>
      </c>
      <c r="E125">
        <f>VLOOKUP(A125,Elements!$A$2:$B$435,2,0)</f>
        <v>88</v>
      </c>
      <c r="F125" t="str">
        <f t="shared" si="1"/>
        <v>2-9-88</v>
      </c>
      <c r="G125">
        <v>123</v>
      </c>
      <c r="H125" s="34" t="s">
        <v>122</v>
      </c>
    </row>
    <row r="126" spans="1:8">
      <c r="A126" s="34" t="s">
        <v>123</v>
      </c>
      <c r="B126">
        <v>1</v>
      </c>
      <c r="C126">
        <v>2</v>
      </c>
      <c r="D126">
        <v>9</v>
      </c>
      <c r="E126">
        <f>VLOOKUP(A126,Elements!$A$2:$B$435,2,0)</f>
        <v>89</v>
      </c>
      <c r="F126" t="str">
        <f t="shared" si="1"/>
        <v>2-9-89</v>
      </c>
      <c r="G126">
        <v>124</v>
      </c>
      <c r="H126" s="34" t="s">
        <v>123</v>
      </c>
    </row>
    <row r="127" spans="1:8">
      <c r="A127" s="34" t="s">
        <v>124</v>
      </c>
      <c r="B127">
        <v>1</v>
      </c>
      <c r="C127">
        <v>2</v>
      </c>
      <c r="D127">
        <v>9</v>
      </c>
      <c r="E127">
        <f>VLOOKUP(A127,Elements!$A$2:$B$435,2,0)</f>
        <v>90</v>
      </c>
      <c r="F127" t="str">
        <f t="shared" si="1"/>
        <v>2-9-90</v>
      </c>
      <c r="G127">
        <v>125</v>
      </c>
      <c r="H127" s="34" t="s">
        <v>124</v>
      </c>
    </row>
    <row r="128" spans="1:8">
      <c r="A128" s="34" t="s">
        <v>530</v>
      </c>
      <c r="B128">
        <v>1</v>
      </c>
      <c r="C128">
        <v>2</v>
      </c>
      <c r="D128">
        <v>9</v>
      </c>
      <c r="E128">
        <f>VLOOKUP(A128,Elements!$A$2:$B$435,2,0)</f>
        <v>91</v>
      </c>
      <c r="F128" t="str">
        <f t="shared" si="1"/>
        <v>2-9-91</v>
      </c>
      <c r="G128">
        <v>126</v>
      </c>
      <c r="H128" s="34" t="s">
        <v>530</v>
      </c>
    </row>
    <row r="129" spans="1:8">
      <c r="A129" s="34" t="s">
        <v>126</v>
      </c>
      <c r="B129">
        <v>1</v>
      </c>
      <c r="C129">
        <v>2</v>
      </c>
      <c r="D129">
        <v>9</v>
      </c>
      <c r="E129">
        <f>VLOOKUP(A129,Elements!$A$2:$B$435,2,0)</f>
        <v>92</v>
      </c>
      <c r="F129" t="str">
        <f t="shared" si="1"/>
        <v>2-9-92</v>
      </c>
      <c r="G129">
        <v>127</v>
      </c>
      <c r="H129" s="34" t="s">
        <v>126</v>
      </c>
    </row>
    <row r="130" spans="1:8">
      <c r="A130" s="34" t="s">
        <v>127</v>
      </c>
      <c r="B130">
        <v>1</v>
      </c>
      <c r="C130">
        <v>2</v>
      </c>
      <c r="D130">
        <v>9</v>
      </c>
      <c r="E130">
        <f>VLOOKUP(A130,Elements!$A$2:$B$435,2,0)</f>
        <v>93</v>
      </c>
      <c r="F130" t="str">
        <f t="shared" si="1"/>
        <v>2-9-93</v>
      </c>
      <c r="G130">
        <v>128</v>
      </c>
      <c r="H130" s="34" t="s">
        <v>127</v>
      </c>
    </row>
    <row r="131" spans="1:8">
      <c r="A131" s="34" t="s">
        <v>128</v>
      </c>
      <c r="B131">
        <v>1</v>
      </c>
      <c r="C131">
        <v>2</v>
      </c>
      <c r="D131">
        <v>9</v>
      </c>
      <c r="E131">
        <f>VLOOKUP(A131,Elements!$A$2:$B$435,2,0)</f>
        <v>94</v>
      </c>
      <c r="F131" t="str">
        <f t="shared" ref="F131:F194" si="2">_xlfn.CONCAT(C131,"-",D131,"-",E131)</f>
        <v>2-9-94</v>
      </c>
      <c r="G131">
        <v>129</v>
      </c>
      <c r="H131" s="34" t="s">
        <v>128</v>
      </c>
    </row>
    <row r="132" spans="1:8">
      <c r="A132" s="34" t="s">
        <v>129</v>
      </c>
      <c r="B132">
        <v>1</v>
      </c>
      <c r="C132">
        <v>2</v>
      </c>
      <c r="D132">
        <v>9</v>
      </c>
      <c r="E132">
        <f>VLOOKUP(A132,Elements!$A$2:$B$435,2,0)</f>
        <v>95</v>
      </c>
      <c r="F132" t="str">
        <f t="shared" si="2"/>
        <v>2-9-95</v>
      </c>
      <c r="G132">
        <v>130</v>
      </c>
      <c r="H132" s="34" t="s">
        <v>129</v>
      </c>
    </row>
    <row r="133" spans="1:8">
      <c r="A133" s="34" t="s">
        <v>515</v>
      </c>
      <c r="B133">
        <v>1</v>
      </c>
      <c r="C133">
        <v>2</v>
      </c>
      <c r="D133">
        <v>10</v>
      </c>
      <c r="E133">
        <f>VLOOKUP(A133,Elements!$A$2:$B$435,2,0)</f>
        <v>96</v>
      </c>
      <c r="F133" t="str">
        <f t="shared" si="2"/>
        <v>2-10-96</v>
      </c>
      <c r="G133">
        <v>131</v>
      </c>
      <c r="H133" s="34" t="s">
        <v>515</v>
      </c>
    </row>
    <row r="134" spans="1:8">
      <c r="A134" s="34" t="s">
        <v>131</v>
      </c>
      <c r="B134">
        <v>1</v>
      </c>
      <c r="C134">
        <v>2</v>
      </c>
      <c r="D134">
        <v>10</v>
      </c>
      <c r="E134">
        <f>VLOOKUP(A134,Elements!$A$2:$B$435,2,0)</f>
        <v>97</v>
      </c>
      <c r="F134" t="str">
        <f t="shared" si="2"/>
        <v>2-10-97</v>
      </c>
      <c r="G134">
        <v>132</v>
      </c>
      <c r="H134" s="34" t="s">
        <v>131</v>
      </c>
    </row>
    <row r="135" spans="1:8">
      <c r="A135" s="34" t="s">
        <v>132</v>
      </c>
      <c r="B135">
        <v>1</v>
      </c>
      <c r="C135">
        <v>2</v>
      </c>
      <c r="D135">
        <v>10</v>
      </c>
      <c r="E135">
        <f>VLOOKUP(A135,Elements!$A$2:$B$435,2,0)</f>
        <v>98</v>
      </c>
      <c r="F135" t="str">
        <f t="shared" si="2"/>
        <v>2-10-98</v>
      </c>
      <c r="G135">
        <v>133</v>
      </c>
      <c r="H135" s="34" t="s">
        <v>132</v>
      </c>
    </row>
    <row r="136" spans="1:8">
      <c r="A136" s="34" t="s">
        <v>133</v>
      </c>
      <c r="B136">
        <v>1</v>
      </c>
      <c r="C136">
        <v>2</v>
      </c>
      <c r="D136">
        <v>10</v>
      </c>
      <c r="E136">
        <f>VLOOKUP(A136,Elements!$A$2:$B$435,2,0)</f>
        <v>99</v>
      </c>
      <c r="F136" t="str">
        <f t="shared" si="2"/>
        <v>2-10-99</v>
      </c>
      <c r="G136">
        <v>134</v>
      </c>
      <c r="H136" s="34" t="s">
        <v>133</v>
      </c>
    </row>
    <row r="137" spans="1:8">
      <c r="A137" s="34" t="s">
        <v>518</v>
      </c>
      <c r="B137">
        <v>1</v>
      </c>
      <c r="C137">
        <v>2</v>
      </c>
      <c r="D137">
        <v>10</v>
      </c>
      <c r="E137">
        <f>VLOOKUP(A137,Elements!$A$2:$B$435,2,0)</f>
        <v>100</v>
      </c>
      <c r="F137" t="str">
        <f t="shared" si="2"/>
        <v>2-10-100</v>
      </c>
      <c r="G137">
        <v>135</v>
      </c>
      <c r="H137" s="34" t="s">
        <v>518</v>
      </c>
    </row>
    <row r="138" spans="1:8">
      <c r="A138" s="34" t="s">
        <v>135</v>
      </c>
      <c r="B138">
        <v>1</v>
      </c>
      <c r="C138">
        <v>2</v>
      </c>
      <c r="D138">
        <v>10</v>
      </c>
      <c r="E138">
        <f>VLOOKUP(A138,Elements!$A$2:$B$435,2,0)</f>
        <v>101</v>
      </c>
      <c r="F138" t="str">
        <f t="shared" si="2"/>
        <v>2-10-101</v>
      </c>
      <c r="G138">
        <v>136</v>
      </c>
      <c r="H138" s="34" t="s">
        <v>135</v>
      </c>
    </row>
    <row r="139" spans="1:8" ht="17" thickBot="1">
      <c r="A139" s="34" t="s">
        <v>136</v>
      </c>
      <c r="B139">
        <v>1</v>
      </c>
      <c r="C139">
        <v>2</v>
      </c>
      <c r="D139">
        <v>10</v>
      </c>
      <c r="E139">
        <f>VLOOKUP(A139,Elements!$A$2:$B$435,2,0)</f>
        <v>102</v>
      </c>
      <c r="F139" t="str">
        <f t="shared" si="2"/>
        <v>2-10-102</v>
      </c>
      <c r="G139">
        <v>137</v>
      </c>
      <c r="H139" s="34" t="s">
        <v>136</v>
      </c>
    </row>
    <row r="140" spans="1:8">
      <c r="A140" s="33" t="s">
        <v>521</v>
      </c>
      <c r="B140">
        <v>1</v>
      </c>
      <c r="C140">
        <v>3</v>
      </c>
      <c r="D140">
        <v>1</v>
      </c>
      <c r="E140">
        <f>VLOOKUP(A140,Elements!$A$2:$B$435,2,0)</f>
        <v>1</v>
      </c>
      <c r="F140" t="str">
        <f t="shared" si="2"/>
        <v>3-1-1</v>
      </c>
      <c r="G140">
        <v>138</v>
      </c>
      <c r="H140" s="33" t="s">
        <v>521</v>
      </c>
    </row>
    <row r="141" spans="1:8">
      <c r="A141" s="34" t="s">
        <v>39</v>
      </c>
      <c r="B141">
        <v>1</v>
      </c>
      <c r="C141">
        <v>3</v>
      </c>
      <c r="D141">
        <v>1</v>
      </c>
      <c r="E141">
        <f>VLOOKUP(A141,Elements!$A$2:$B$435,2,0)</f>
        <v>2</v>
      </c>
      <c r="F141" t="str">
        <f t="shared" si="2"/>
        <v>3-1-2</v>
      </c>
      <c r="G141">
        <v>139</v>
      </c>
      <c r="H141" s="34" t="s">
        <v>39</v>
      </c>
    </row>
    <row r="142" spans="1:8">
      <c r="A142" s="34" t="s">
        <v>522</v>
      </c>
      <c r="B142">
        <v>1</v>
      </c>
      <c r="C142">
        <v>3</v>
      </c>
      <c r="D142">
        <v>1</v>
      </c>
      <c r="E142">
        <f>VLOOKUP(A142,Elements!$A$2:$B$435,2,0)</f>
        <v>3</v>
      </c>
      <c r="F142" t="str">
        <f t="shared" si="2"/>
        <v>3-1-3</v>
      </c>
      <c r="G142">
        <v>140</v>
      </c>
      <c r="H142" s="34" t="s">
        <v>522</v>
      </c>
    </row>
    <row r="143" spans="1:8">
      <c r="A143" s="34" t="s">
        <v>41</v>
      </c>
      <c r="B143">
        <v>1</v>
      </c>
      <c r="C143">
        <v>3</v>
      </c>
      <c r="D143">
        <v>1</v>
      </c>
      <c r="E143">
        <f>VLOOKUP(A143,Elements!$A$2:$B$435,2,0)</f>
        <v>4</v>
      </c>
      <c r="F143" t="str">
        <f t="shared" si="2"/>
        <v>3-1-4</v>
      </c>
      <c r="G143">
        <v>141</v>
      </c>
      <c r="H143" s="34" t="s">
        <v>41</v>
      </c>
    </row>
    <row r="144" spans="1:8">
      <c r="A144" s="34" t="s">
        <v>523</v>
      </c>
      <c r="B144">
        <v>1</v>
      </c>
      <c r="C144">
        <v>3</v>
      </c>
      <c r="D144">
        <v>1</v>
      </c>
      <c r="E144">
        <f>VLOOKUP(A144,Elements!$A$2:$B$435,2,0)</f>
        <v>5</v>
      </c>
      <c r="F144" t="str">
        <f t="shared" si="2"/>
        <v>3-1-5</v>
      </c>
      <c r="G144">
        <v>142</v>
      </c>
      <c r="H144" s="34" t="s">
        <v>523</v>
      </c>
    </row>
    <row r="145" spans="1:8">
      <c r="A145" s="34" t="s">
        <v>43</v>
      </c>
      <c r="B145">
        <v>1</v>
      </c>
      <c r="C145">
        <v>3</v>
      </c>
      <c r="D145">
        <v>1</v>
      </c>
      <c r="E145">
        <f>VLOOKUP(A145,Elements!$A$2:$B$435,2,0)</f>
        <v>6</v>
      </c>
      <c r="F145" t="str">
        <f t="shared" si="2"/>
        <v>3-1-6</v>
      </c>
      <c r="G145">
        <v>143</v>
      </c>
      <c r="H145" s="34" t="s">
        <v>43</v>
      </c>
    </row>
    <row r="146" spans="1:8">
      <c r="A146" s="34" t="s">
        <v>44</v>
      </c>
      <c r="B146">
        <v>1</v>
      </c>
      <c r="C146">
        <v>3</v>
      </c>
      <c r="D146">
        <v>1</v>
      </c>
      <c r="E146">
        <f>VLOOKUP(A146,Elements!$A$2:$B$435,2,0)</f>
        <v>7</v>
      </c>
      <c r="F146" t="str">
        <f t="shared" si="2"/>
        <v>3-1-7</v>
      </c>
      <c r="G146">
        <v>144</v>
      </c>
      <c r="H146" s="34" t="s">
        <v>44</v>
      </c>
    </row>
    <row r="147" spans="1:8">
      <c r="A147" s="34" t="s">
        <v>45</v>
      </c>
      <c r="B147">
        <v>1</v>
      </c>
      <c r="C147">
        <v>3</v>
      </c>
      <c r="D147">
        <v>1</v>
      </c>
      <c r="E147">
        <f>VLOOKUP(A147,Elements!$A$2:$B$435,2,0)</f>
        <v>8</v>
      </c>
      <c r="F147" t="str">
        <f t="shared" si="2"/>
        <v>3-1-8</v>
      </c>
      <c r="G147">
        <v>145</v>
      </c>
      <c r="H147" s="34" t="s">
        <v>45</v>
      </c>
    </row>
    <row r="148" spans="1:8">
      <c r="A148" s="34" t="s">
        <v>46</v>
      </c>
      <c r="B148">
        <v>1</v>
      </c>
      <c r="C148">
        <v>3</v>
      </c>
      <c r="D148">
        <v>1</v>
      </c>
      <c r="E148">
        <f>VLOOKUP(A148,Elements!$A$2:$B$435,2,0)</f>
        <v>9</v>
      </c>
      <c r="F148" t="str">
        <f t="shared" si="2"/>
        <v>3-1-9</v>
      </c>
      <c r="G148">
        <v>146</v>
      </c>
      <c r="H148" s="34" t="s">
        <v>46</v>
      </c>
    </row>
    <row r="149" spans="1:8">
      <c r="A149" s="34" t="s">
        <v>47</v>
      </c>
      <c r="B149">
        <v>1</v>
      </c>
      <c r="C149">
        <v>3</v>
      </c>
      <c r="D149">
        <v>1</v>
      </c>
      <c r="E149">
        <f>VLOOKUP(A149,Elements!$A$2:$B$435,2,0)</f>
        <v>10</v>
      </c>
      <c r="F149" t="str">
        <f t="shared" si="2"/>
        <v>3-1-10</v>
      </c>
      <c r="G149">
        <v>147</v>
      </c>
      <c r="H149" s="34" t="s">
        <v>47</v>
      </c>
    </row>
    <row r="150" spans="1:8">
      <c r="A150" s="34" t="s">
        <v>48</v>
      </c>
      <c r="B150">
        <v>1</v>
      </c>
      <c r="C150">
        <v>3</v>
      </c>
      <c r="D150">
        <v>1</v>
      </c>
      <c r="E150">
        <f>VLOOKUP(A150,Elements!$A$2:$B$435,2,0)</f>
        <v>11</v>
      </c>
      <c r="F150" t="str">
        <f t="shared" si="2"/>
        <v>3-1-11</v>
      </c>
      <c r="G150">
        <v>148</v>
      </c>
      <c r="H150" s="34" t="s">
        <v>48</v>
      </c>
    </row>
    <row r="151" spans="1:8" ht="17" thickBot="1">
      <c r="A151" s="35" t="s">
        <v>520</v>
      </c>
      <c r="B151">
        <v>1</v>
      </c>
      <c r="C151">
        <v>3</v>
      </c>
      <c r="D151">
        <v>1</v>
      </c>
      <c r="E151">
        <f>VLOOKUP(A151,Elements!$A$2:$B$435,2,0)</f>
        <v>12</v>
      </c>
      <c r="F151" t="str">
        <f t="shared" si="2"/>
        <v>3-1-12</v>
      </c>
      <c r="G151">
        <v>149</v>
      </c>
      <c r="H151" s="35" t="s">
        <v>520</v>
      </c>
    </row>
    <row r="152" spans="1:8">
      <c r="A152" s="34" t="s">
        <v>51</v>
      </c>
      <c r="B152">
        <v>1</v>
      </c>
      <c r="C152">
        <v>3</v>
      </c>
      <c r="D152">
        <v>2</v>
      </c>
      <c r="E152">
        <f>VLOOKUP(A152,Elements!$A$2:$B$435,2,0)</f>
        <v>13</v>
      </c>
      <c r="F152" t="str">
        <f t="shared" si="2"/>
        <v>3-2-13</v>
      </c>
      <c r="G152">
        <v>150</v>
      </c>
      <c r="H152" s="34" t="s">
        <v>51</v>
      </c>
    </row>
    <row r="153" spans="1:8">
      <c r="A153" s="34" t="s">
        <v>52</v>
      </c>
      <c r="B153">
        <v>1</v>
      </c>
      <c r="C153">
        <v>3</v>
      </c>
      <c r="D153">
        <v>2</v>
      </c>
      <c r="E153">
        <f>VLOOKUP(A153,Elements!$A$2:$B$435,2,0)</f>
        <v>14</v>
      </c>
      <c r="F153" t="str">
        <f t="shared" si="2"/>
        <v>3-2-14</v>
      </c>
      <c r="G153">
        <v>151</v>
      </c>
      <c r="H153" s="34" t="s">
        <v>52</v>
      </c>
    </row>
    <row r="154" spans="1:8">
      <c r="A154" s="34" t="s">
        <v>511</v>
      </c>
      <c r="B154">
        <v>1</v>
      </c>
      <c r="C154">
        <v>3</v>
      </c>
      <c r="D154">
        <v>2</v>
      </c>
      <c r="E154">
        <f>VLOOKUP(A154,Elements!$A$2:$B$435,2,0)</f>
        <v>15</v>
      </c>
      <c r="F154" t="str">
        <f t="shared" si="2"/>
        <v>3-2-15</v>
      </c>
      <c r="G154">
        <v>152</v>
      </c>
      <c r="H154" s="34" t="s">
        <v>511</v>
      </c>
    </row>
    <row r="155" spans="1:8">
      <c r="A155" s="34" t="s">
        <v>54</v>
      </c>
      <c r="B155">
        <v>1</v>
      </c>
      <c r="C155">
        <v>3</v>
      </c>
      <c r="D155">
        <v>2</v>
      </c>
      <c r="E155">
        <f>VLOOKUP(A155,Elements!$A$2:$B$435,2,0)</f>
        <v>16</v>
      </c>
      <c r="F155" t="str">
        <f t="shared" si="2"/>
        <v>3-2-16</v>
      </c>
      <c r="G155">
        <v>153</v>
      </c>
      <c r="H155" s="34" t="s">
        <v>54</v>
      </c>
    </row>
    <row r="156" spans="1:8">
      <c r="A156" s="34" t="s">
        <v>55</v>
      </c>
      <c r="B156">
        <v>1</v>
      </c>
      <c r="C156">
        <v>3</v>
      </c>
      <c r="D156">
        <v>2</v>
      </c>
      <c r="E156">
        <f>VLOOKUP(A156,Elements!$A$2:$B$435,2,0)</f>
        <v>17</v>
      </c>
      <c r="F156" t="str">
        <f t="shared" si="2"/>
        <v>3-2-17</v>
      </c>
      <c r="G156">
        <v>154</v>
      </c>
      <c r="H156" s="34" t="s">
        <v>55</v>
      </c>
    </row>
    <row r="157" spans="1:8">
      <c r="A157" s="34" t="s">
        <v>56</v>
      </c>
      <c r="B157">
        <v>1</v>
      </c>
      <c r="C157">
        <v>3</v>
      </c>
      <c r="D157">
        <v>2</v>
      </c>
      <c r="E157">
        <f>VLOOKUP(A157,Elements!$A$2:$B$435,2,0)</f>
        <v>18</v>
      </c>
      <c r="F157" t="str">
        <f t="shared" si="2"/>
        <v>3-2-18</v>
      </c>
      <c r="G157">
        <v>155</v>
      </c>
      <c r="H157" s="34" t="s">
        <v>56</v>
      </c>
    </row>
    <row r="158" spans="1:8">
      <c r="A158" s="34" t="s">
        <v>57</v>
      </c>
      <c r="B158">
        <v>1</v>
      </c>
      <c r="C158">
        <v>3</v>
      </c>
      <c r="D158">
        <v>2</v>
      </c>
      <c r="E158">
        <f>VLOOKUP(A158,Elements!$A$2:$B$435,2,0)</f>
        <v>19</v>
      </c>
      <c r="F158" t="str">
        <f t="shared" si="2"/>
        <v>3-2-19</v>
      </c>
      <c r="G158">
        <v>156</v>
      </c>
      <c r="H158" s="34" t="s">
        <v>57</v>
      </c>
    </row>
    <row r="159" spans="1:8">
      <c r="A159" s="34" t="s">
        <v>58</v>
      </c>
      <c r="B159">
        <v>1</v>
      </c>
      <c r="C159">
        <v>3</v>
      </c>
      <c r="D159">
        <v>2</v>
      </c>
      <c r="E159">
        <f>VLOOKUP(A159,Elements!$A$2:$B$435,2,0)</f>
        <v>20</v>
      </c>
      <c r="F159" t="str">
        <f t="shared" si="2"/>
        <v>3-2-20</v>
      </c>
      <c r="G159">
        <v>157</v>
      </c>
      <c r="H159" s="34" t="s">
        <v>58</v>
      </c>
    </row>
    <row r="160" spans="1:8">
      <c r="A160" s="34" t="s">
        <v>59</v>
      </c>
      <c r="B160">
        <v>1</v>
      </c>
      <c r="C160">
        <v>3</v>
      </c>
      <c r="D160">
        <v>2</v>
      </c>
      <c r="E160">
        <f>VLOOKUP(A160,Elements!$A$2:$B$435,2,0)</f>
        <v>21</v>
      </c>
      <c r="F160" t="str">
        <f t="shared" si="2"/>
        <v>3-2-21</v>
      </c>
      <c r="G160">
        <v>158</v>
      </c>
      <c r="H160" s="34" t="s">
        <v>59</v>
      </c>
    </row>
    <row r="161" spans="1:8">
      <c r="A161" s="34" t="s">
        <v>60</v>
      </c>
      <c r="B161">
        <v>1</v>
      </c>
      <c r="C161">
        <v>3</v>
      </c>
      <c r="D161">
        <v>2</v>
      </c>
      <c r="E161">
        <f>VLOOKUP(A161,Elements!$A$2:$B$435,2,0)</f>
        <v>22</v>
      </c>
      <c r="F161" t="str">
        <f t="shared" si="2"/>
        <v>3-2-22</v>
      </c>
      <c r="G161">
        <v>159</v>
      </c>
      <c r="H161" s="34" t="s">
        <v>60</v>
      </c>
    </row>
    <row r="162" spans="1:8">
      <c r="A162" s="34" t="s">
        <v>61</v>
      </c>
      <c r="B162">
        <v>1</v>
      </c>
      <c r="C162">
        <v>3</v>
      </c>
      <c r="D162">
        <v>2</v>
      </c>
      <c r="E162">
        <f>VLOOKUP(A162,Elements!$A$2:$B$435,2,0)</f>
        <v>23</v>
      </c>
      <c r="F162" t="str">
        <f t="shared" si="2"/>
        <v>3-2-23</v>
      </c>
      <c r="G162">
        <v>160</v>
      </c>
      <c r="H162" s="34" t="s">
        <v>61</v>
      </c>
    </row>
    <row r="163" spans="1:8">
      <c r="A163" s="34" t="s">
        <v>529</v>
      </c>
      <c r="B163">
        <v>1</v>
      </c>
      <c r="C163">
        <v>3</v>
      </c>
      <c r="D163">
        <v>2</v>
      </c>
      <c r="E163">
        <f>VLOOKUP(A163,Elements!$A$2:$B$435,2,0)</f>
        <v>24</v>
      </c>
      <c r="F163" t="str">
        <f t="shared" si="2"/>
        <v>3-2-24</v>
      </c>
      <c r="G163">
        <v>161</v>
      </c>
      <c r="H163" s="34" t="s">
        <v>529</v>
      </c>
    </row>
    <row r="164" spans="1:8">
      <c r="A164" s="34" t="s">
        <v>63</v>
      </c>
      <c r="B164">
        <v>1</v>
      </c>
      <c r="C164">
        <v>3</v>
      </c>
      <c r="D164">
        <v>2</v>
      </c>
      <c r="E164">
        <f>VLOOKUP(A164,Elements!$A$2:$B$435,2,0)</f>
        <v>25</v>
      </c>
      <c r="F164" t="str">
        <f t="shared" si="2"/>
        <v>3-2-25</v>
      </c>
      <c r="G164">
        <v>162</v>
      </c>
      <c r="H164" s="34" t="s">
        <v>63</v>
      </c>
    </row>
    <row r="165" spans="1:8">
      <c r="A165" s="34" t="s">
        <v>64</v>
      </c>
      <c r="B165">
        <v>1</v>
      </c>
      <c r="C165">
        <v>3</v>
      </c>
      <c r="D165">
        <v>2</v>
      </c>
      <c r="E165">
        <f>VLOOKUP(A165,Elements!$A$2:$B$435,2,0)</f>
        <v>26</v>
      </c>
      <c r="F165" t="str">
        <f t="shared" si="2"/>
        <v>3-2-26</v>
      </c>
      <c r="G165">
        <v>163</v>
      </c>
      <c r="H165" s="34" t="s">
        <v>64</v>
      </c>
    </row>
    <row r="166" spans="1:8">
      <c r="A166" s="34" t="s">
        <v>528</v>
      </c>
      <c r="B166">
        <v>1</v>
      </c>
      <c r="C166">
        <v>3</v>
      </c>
      <c r="D166">
        <v>2</v>
      </c>
      <c r="E166">
        <f>VLOOKUP(A166,Elements!$A$2:$B$435,2,0)</f>
        <v>27</v>
      </c>
      <c r="F166" t="str">
        <f t="shared" si="2"/>
        <v>3-2-27</v>
      </c>
      <c r="G166">
        <v>164</v>
      </c>
      <c r="H166" s="34" t="s">
        <v>528</v>
      </c>
    </row>
    <row r="167" spans="1:8">
      <c r="A167" s="34" t="s">
        <v>66</v>
      </c>
      <c r="B167">
        <v>1</v>
      </c>
      <c r="C167">
        <v>3</v>
      </c>
      <c r="D167">
        <v>2</v>
      </c>
      <c r="E167">
        <f>VLOOKUP(A167,Elements!$A$2:$B$435,2,0)</f>
        <v>28</v>
      </c>
      <c r="F167" t="str">
        <f t="shared" si="2"/>
        <v>3-2-28</v>
      </c>
      <c r="G167">
        <v>165</v>
      </c>
      <c r="H167" s="34" t="s">
        <v>66</v>
      </c>
    </row>
    <row r="168" spans="1:8">
      <c r="A168" s="34" t="s">
        <v>67</v>
      </c>
      <c r="B168">
        <v>1</v>
      </c>
      <c r="C168">
        <v>3</v>
      </c>
      <c r="D168">
        <v>2</v>
      </c>
      <c r="E168">
        <f>VLOOKUP(A168,Elements!$A$2:$B$435,2,0)</f>
        <v>29</v>
      </c>
      <c r="F168" t="str">
        <f t="shared" si="2"/>
        <v>3-2-29</v>
      </c>
      <c r="G168">
        <v>166</v>
      </c>
      <c r="H168" s="34" t="s">
        <v>67</v>
      </c>
    </row>
    <row r="169" spans="1:8">
      <c r="A169" s="34" t="s">
        <v>68</v>
      </c>
      <c r="B169">
        <v>1</v>
      </c>
      <c r="C169">
        <v>3</v>
      </c>
      <c r="D169">
        <v>2</v>
      </c>
      <c r="E169">
        <f>VLOOKUP(A169,Elements!$A$2:$B$435,2,0)</f>
        <v>30</v>
      </c>
      <c r="F169" t="str">
        <f t="shared" si="2"/>
        <v>3-2-30</v>
      </c>
      <c r="G169">
        <v>167</v>
      </c>
      <c r="H169" s="34" t="s">
        <v>68</v>
      </c>
    </row>
    <row r="170" spans="1:8">
      <c r="A170" s="34" t="s">
        <v>69</v>
      </c>
      <c r="B170">
        <v>1</v>
      </c>
      <c r="C170">
        <v>3</v>
      </c>
      <c r="D170">
        <v>2</v>
      </c>
      <c r="E170">
        <f>VLOOKUP(A170,Elements!$A$2:$B$435,2,0)</f>
        <v>31</v>
      </c>
      <c r="F170" t="str">
        <f t="shared" si="2"/>
        <v>3-2-31</v>
      </c>
      <c r="G170">
        <v>168</v>
      </c>
      <c r="H170" s="34" t="s">
        <v>69</v>
      </c>
    </row>
    <row r="171" spans="1:8">
      <c r="A171" s="34" t="s">
        <v>32</v>
      </c>
      <c r="B171">
        <v>1</v>
      </c>
      <c r="C171">
        <v>3</v>
      </c>
      <c r="D171">
        <v>2</v>
      </c>
      <c r="E171">
        <f>VLOOKUP(A171,Elements!$A$2:$B$435,2,0)</f>
        <v>32</v>
      </c>
      <c r="F171" t="str">
        <f t="shared" si="2"/>
        <v>3-2-32</v>
      </c>
      <c r="G171">
        <v>169</v>
      </c>
      <c r="H171" s="34" t="s">
        <v>32</v>
      </c>
    </row>
    <row r="172" spans="1:8">
      <c r="A172" s="34" t="s">
        <v>70</v>
      </c>
      <c r="B172">
        <v>1</v>
      </c>
      <c r="C172">
        <v>3</v>
      </c>
      <c r="D172">
        <v>2</v>
      </c>
      <c r="E172">
        <f>VLOOKUP(A172,Elements!$A$2:$B$435,2,0)</f>
        <v>33</v>
      </c>
      <c r="F172" t="str">
        <f t="shared" si="2"/>
        <v>3-2-33</v>
      </c>
      <c r="G172">
        <v>170</v>
      </c>
      <c r="H172" s="34" t="s">
        <v>70</v>
      </c>
    </row>
    <row r="173" spans="1:8">
      <c r="A173" s="34" t="s">
        <v>71</v>
      </c>
      <c r="B173">
        <v>1</v>
      </c>
      <c r="C173">
        <v>3</v>
      </c>
      <c r="D173">
        <v>2</v>
      </c>
      <c r="E173">
        <f>VLOOKUP(A173,Elements!$A$2:$B$435,2,0)</f>
        <v>34</v>
      </c>
      <c r="F173" t="str">
        <f t="shared" si="2"/>
        <v>3-2-34</v>
      </c>
      <c r="G173">
        <v>171</v>
      </c>
      <c r="H173" s="34" t="s">
        <v>71</v>
      </c>
    </row>
    <row r="174" spans="1:8">
      <c r="A174" s="34" t="s">
        <v>47</v>
      </c>
      <c r="B174">
        <v>1</v>
      </c>
      <c r="C174">
        <v>3</v>
      </c>
      <c r="D174">
        <v>2</v>
      </c>
      <c r="E174">
        <f>VLOOKUP(A174,Elements!$A$2:$B$435,2,0)</f>
        <v>10</v>
      </c>
      <c r="F174" t="str">
        <f t="shared" si="2"/>
        <v>3-2-10</v>
      </c>
      <c r="G174">
        <v>172</v>
      </c>
      <c r="H174" s="34" t="s">
        <v>47</v>
      </c>
    </row>
    <row r="175" spans="1:8">
      <c r="A175" s="34" t="s">
        <v>514</v>
      </c>
      <c r="B175">
        <v>1</v>
      </c>
      <c r="C175">
        <v>3</v>
      </c>
      <c r="D175">
        <v>3</v>
      </c>
      <c r="E175">
        <f>VLOOKUP(A175,Elements!$A$2:$B$435,2,0)</f>
        <v>35</v>
      </c>
      <c r="F175" t="str">
        <f t="shared" si="2"/>
        <v>3-3-35</v>
      </c>
      <c r="G175">
        <v>173</v>
      </c>
      <c r="H175" s="34" t="s">
        <v>514</v>
      </c>
    </row>
    <row r="176" spans="1:8">
      <c r="A176" s="34" t="s">
        <v>513</v>
      </c>
      <c r="B176">
        <v>1</v>
      </c>
      <c r="C176">
        <v>3</v>
      </c>
      <c r="D176">
        <v>3</v>
      </c>
      <c r="E176">
        <f>VLOOKUP(A176,Elements!$A$2:$B$435,2,0)</f>
        <v>36</v>
      </c>
      <c r="F176" t="str">
        <f t="shared" si="2"/>
        <v>3-3-36</v>
      </c>
      <c r="G176">
        <v>174</v>
      </c>
      <c r="H176" s="34" t="s">
        <v>513</v>
      </c>
    </row>
    <row r="177" spans="1:8">
      <c r="A177" s="34" t="s">
        <v>74</v>
      </c>
      <c r="B177">
        <v>1</v>
      </c>
      <c r="C177">
        <v>3</v>
      </c>
      <c r="D177">
        <v>3</v>
      </c>
      <c r="E177">
        <f>VLOOKUP(A177,Elements!$A$2:$B$435,2,0)</f>
        <v>37</v>
      </c>
      <c r="F177" t="str">
        <f t="shared" si="2"/>
        <v>3-3-37</v>
      </c>
      <c r="G177">
        <v>175</v>
      </c>
      <c r="H177" s="34" t="s">
        <v>74</v>
      </c>
    </row>
    <row r="178" spans="1:8">
      <c r="A178" s="34" t="s">
        <v>75</v>
      </c>
      <c r="B178">
        <v>1</v>
      </c>
      <c r="C178">
        <v>3</v>
      </c>
      <c r="D178">
        <v>3</v>
      </c>
      <c r="E178">
        <f>VLOOKUP(A178,Elements!$A$2:$B$435,2,0)</f>
        <v>38</v>
      </c>
      <c r="F178" t="str">
        <f t="shared" si="2"/>
        <v>3-3-38</v>
      </c>
      <c r="G178">
        <v>176</v>
      </c>
      <c r="H178" s="34" t="s">
        <v>75</v>
      </c>
    </row>
    <row r="179" spans="1:8">
      <c r="A179" s="34" t="s">
        <v>76</v>
      </c>
      <c r="B179">
        <v>1</v>
      </c>
      <c r="C179">
        <v>3</v>
      </c>
      <c r="D179">
        <v>3</v>
      </c>
      <c r="E179">
        <f>VLOOKUP(A179,Elements!$A$2:$B$435,2,0)</f>
        <v>39</v>
      </c>
      <c r="F179" t="str">
        <f t="shared" si="2"/>
        <v>3-3-39</v>
      </c>
      <c r="G179">
        <v>177</v>
      </c>
      <c r="H179" s="34" t="s">
        <v>76</v>
      </c>
    </row>
    <row r="180" spans="1:8">
      <c r="A180" s="34" t="s">
        <v>77</v>
      </c>
      <c r="B180">
        <v>1</v>
      </c>
      <c r="C180">
        <v>3</v>
      </c>
      <c r="D180">
        <v>3</v>
      </c>
      <c r="E180">
        <f>VLOOKUP(A180,Elements!$A$2:$B$435,2,0)</f>
        <v>40</v>
      </c>
      <c r="F180" t="str">
        <f t="shared" si="2"/>
        <v>3-3-40</v>
      </c>
      <c r="G180">
        <v>178</v>
      </c>
      <c r="H180" s="34" t="s">
        <v>77</v>
      </c>
    </row>
    <row r="181" spans="1:8">
      <c r="A181" s="34" t="s">
        <v>78</v>
      </c>
      <c r="B181">
        <v>1</v>
      </c>
      <c r="C181">
        <v>3</v>
      </c>
      <c r="D181">
        <v>3</v>
      </c>
      <c r="E181">
        <f>VLOOKUP(A181,Elements!$A$2:$B$435,2,0)</f>
        <v>41</v>
      </c>
      <c r="F181" t="str">
        <f t="shared" si="2"/>
        <v>3-3-41</v>
      </c>
      <c r="G181">
        <v>179</v>
      </c>
      <c r="H181" s="34" t="s">
        <v>78</v>
      </c>
    </row>
    <row r="182" spans="1:8">
      <c r="A182" s="34" t="s">
        <v>79</v>
      </c>
      <c r="B182">
        <v>1</v>
      </c>
      <c r="C182">
        <v>3</v>
      </c>
      <c r="D182">
        <v>3</v>
      </c>
      <c r="E182">
        <f>VLOOKUP(A182,Elements!$A$2:$B$435,2,0)</f>
        <v>42</v>
      </c>
      <c r="F182" t="str">
        <f t="shared" si="2"/>
        <v>3-3-42</v>
      </c>
      <c r="G182">
        <v>180</v>
      </c>
      <c r="H182" s="34" t="s">
        <v>79</v>
      </c>
    </row>
    <row r="183" spans="1:8">
      <c r="A183" s="34" t="s">
        <v>80</v>
      </c>
      <c r="B183">
        <v>1</v>
      </c>
      <c r="C183">
        <v>3</v>
      </c>
      <c r="D183">
        <v>3</v>
      </c>
      <c r="E183">
        <f>VLOOKUP(A183,Elements!$A$2:$B$435,2,0)</f>
        <v>43</v>
      </c>
      <c r="F183" t="str">
        <f t="shared" si="2"/>
        <v>3-3-43</v>
      </c>
      <c r="G183">
        <v>181</v>
      </c>
      <c r="H183" s="34" t="s">
        <v>80</v>
      </c>
    </row>
    <row r="184" spans="1:8">
      <c r="A184" s="34" t="s">
        <v>81</v>
      </c>
      <c r="B184">
        <v>1</v>
      </c>
      <c r="C184">
        <v>3</v>
      </c>
      <c r="D184">
        <v>3</v>
      </c>
      <c r="E184">
        <f>VLOOKUP(A184,Elements!$A$2:$B$435,2,0)</f>
        <v>44</v>
      </c>
      <c r="F184" t="str">
        <f t="shared" si="2"/>
        <v>3-3-44</v>
      </c>
      <c r="G184">
        <v>182</v>
      </c>
      <c r="H184" s="34" t="s">
        <v>81</v>
      </c>
    </row>
    <row r="185" spans="1:8">
      <c r="A185" s="34" t="s">
        <v>82</v>
      </c>
      <c r="B185">
        <v>1</v>
      </c>
      <c r="C185">
        <v>3</v>
      </c>
      <c r="D185">
        <v>3</v>
      </c>
      <c r="E185">
        <f>VLOOKUP(A185,Elements!$A$2:$B$435,2,0)</f>
        <v>45</v>
      </c>
      <c r="F185" t="str">
        <f t="shared" si="2"/>
        <v>3-3-45</v>
      </c>
      <c r="G185">
        <v>183</v>
      </c>
      <c r="H185" s="34" t="s">
        <v>82</v>
      </c>
    </row>
    <row r="186" spans="1:8">
      <c r="A186" s="34" t="s">
        <v>83</v>
      </c>
      <c r="B186">
        <v>1</v>
      </c>
      <c r="C186">
        <v>3</v>
      </c>
      <c r="D186">
        <v>3</v>
      </c>
      <c r="E186">
        <f>VLOOKUP(A186,Elements!$A$2:$B$435,2,0)</f>
        <v>46</v>
      </c>
      <c r="F186" t="str">
        <f t="shared" si="2"/>
        <v>3-3-46</v>
      </c>
      <c r="G186">
        <v>184</v>
      </c>
      <c r="H186" s="34" t="s">
        <v>83</v>
      </c>
    </row>
    <row r="187" spans="1:8">
      <c r="A187" s="34" t="s">
        <v>70</v>
      </c>
      <c r="B187">
        <v>1</v>
      </c>
      <c r="C187">
        <v>3</v>
      </c>
      <c r="D187">
        <v>3</v>
      </c>
      <c r="E187">
        <f>VLOOKUP(A187,Elements!$A$2:$B$435,2,0)</f>
        <v>33</v>
      </c>
      <c r="F187" t="str">
        <f t="shared" si="2"/>
        <v>3-3-33</v>
      </c>
      <c r="G187">
        <v>185</v>
      </c>
      <c r="H187" s="34" t="s">
        <v>70</v>
      </c>
    </row>
    <row r="188" spans="1:8">
      <c r="A188" s="34" t="s">
        <v>85</v>
      </c>
      <c r="B188">
        <v>1</v>
      </c>
      <c r="C188">
        <v>3</v>
      </c>
      <c r="D188">
        <v>3</v>
      </c>
      <c r="E188">
        <f>VLOOKUP(A188,Elements!$A$2:$B$435,2,0)</f>
        <v>47</v>
      </c>
      <c r="F188" t="str">
        <f t="shared" si="2"/>
        <v>3-3-47</v>
      </c>
      <c r="G188">
        <v>186</v>
      </c>
      <c r="H188" s="34" t="s">
        <v>85</v>
      </c>
    </row>
    <row r="189" spans="1:8">
      <c r="A189" s="34" t="s">
        <v>517</v>
      </c>
      <c r="B189">
        <v>1</v>
      </c>
      <c r="C189">
        <v>3</v>
      </c>
      <c r="D189">
        <v>4</v>
      </c>
      <c r="E189">
        <f>VLOOKUP(A189,Elements!$A$2:$B$435,2,0)</f>
        <v>48</v>
      </c>
      <c r="F189" t="str">
        <f t="shared" si="2"/>
        <v>3-4-48</v>
      </c>
      <c r="G189">
        <v>187</v>
      </c>
      <c r="H189" s="34" t="s">
        <v>517</v>
      </c>
    </row>
    <row r="190" spans="1:8">
      <c r="A190" s="34" t="s">
        <v>527</v>
      </c>
      <c r="B190">
        <v>1</v>
      </c>
      <c r="C190">
        <v>3</v>
      </c>
      <c r="D190">
        <v>4</v>
      </c>
      <c r="E190">
        <f>VLOOKUP(A190,Elements!$A$2:$B$435,2,0)</f>
        <v>49</v>
      </c>
      <c r="F190" t="str">
        <f t="shared" si="2"/>
        <v>3-4-49</v>
      </c>
      <c r="G190">
        <v>188</v>
      </c>
      <c r="H190" s="34" t="s">
        <v>527</v>
      </c>
    </row>
    <row r="191" spans="1:8">
      <c r="A191" s="34" t="s">
        <v>88</v>
      </c>
      <c r="B191">
        <v>1</v>
      </c>
      <c r="C191">
        <v>3</v>
      </c>
      <c r="D191">
        <v>4</v>
      </c>
      <c r="E191">
        <f>VLOOKUP(A191,Elements!$A$2:$B$435,2,0)</f>
        <v>50</v>
      </c>
      <c r="F191" t="str">
        <f t="shared" si="2"/>
        <v>3-4-50</v>
      </c>
      <c r="G191">
        <v>189</v>
      </c>
      <c r="H191" s="34" t="s">
        <v>88</v>
      </c>
    </row>
    <row r="192" spans="1:8">
      <c r="A192" s="34" t="s">
        <v>516</v>
      </c>
      <c r="B192">
        <v>1</v>
      </c>
      <c r="C192">
        <v>3</v>
      </c>
      <c r="D192">
        <v>4</v>
      </c>
      <c r="E192">
        <f>VLOOKUP(A192,Elements!$A$2:$B$435,2,0)</f>
        <v>51</v>
      </c>
      <c r="F192" t="str">
        <f t="shared" si="2"/>
        <v>3-4-51</v>
      </c>
      <c r="G192">
        <v>190</v>
      </c>
      <c r="H192" s="34" t="s">
        <v>516</v>
      </c>
    </row>
    <row r="193" spans="1:8">
      <c r="A193" s="34" t="s">
        <v>90</v>
      </c>
      <c r="B193">
        <v>1</v>
      </c>
      <c r="C193">
        <v>3</v>
      </c>
      <c r="D193">
        <v>4</v>
      </c>
      <c r="E193">
        <f>VLOOKUP(A193,Elements!$A$2:$B$435,2,0)</f>
        <v>52</v>
      </c>
      <c r="F193" t="str">
        <f t="shared" si="2"/>
        <v>3-4-52</v>
      </c>
      <c r="G193">
        <v>191</v>
      </c>
      <c r="H193" s="34" t="s">
        <v>90</v>
      </c>
    </row>
    <row r="194" spans="1:8">
      <c r="A194" s="34" t="s">
        <v>91</v>
      </c>
      <c r="B194">
        <v>1</v>
      </c>
      <c r="C194">
        <v>3</v>
      </c>
      <c r="D194">
        <v>4</v>
      </c>
      <c r="E194">
        <f>VLOOKUP(A194,Elements!$A$2:$B$435,2,0)</f>
        <v>53</v>
      </c>
      <c r="F194" t="str">
        <f t="shared" si="2"/>
        <v>3-4-53</v>
      </c>
      <c r="G194">
        <v>192</v>
      </c>
      <c r="H194" s="34" t="s">
        <v>91</v>
      </c>
    </row>
    <row r="195" spans="1:8">
      <c r="A195" s="34" t="s">
        <v>92</v>
      </c>
      <c r="B195">
        <v>1</v>
      </c>
      <c r="C195">
        <v>3</v>
      </c>
      <c r="D195">
        <v>4</v>
      </c>
      <c r="E195">
        <f>VLOOKUP(A195,Elements!$A$2:$B$435,2,0)</f>
        <v>54</v>
      </c>
      <c r="F195" t="str">
        <f t="shared" ref="F195:F258" si="3">_xlfn.CONCAT(C195,"-",D195,"-",E195)</f>
        <v>3-4-54</v>
      </c>
      <c r="G195">
        <v>193</v>
      </c>
      <c r="H195" s="34" t="s">
        <v>92</v>
      </c>
    </row>
    <row r="196" spans="1:8">
      <c r="A196" s="34" t="s">
        <v>81</v>
      </c>
      <c r="B196">
        <v>1</v>
      </c>
      <c r="C196">
        <v>3</v>
      </c>
      <c r="D196">
        <v>4</v>
      </c>
      <c r="E196">
        <f>VLOOKUP(A196,Elements!$A$2:$B$435,2,0)</f>
        <v>44</v>
      </c>
      <c r="F196" t="str">
        <f t="shared" si="3"/>
        <v>3-4-44</v>
      </c>
      <c r="G196">
        <v>194</v>
      </c>
      <c r="H196" s="34" t="s">
        <v>81</v>
      </c>
    </row>
    <row r="197" spans="1:8">
      <c r="A197" s="34" t="s">
        <v>93</v>
      </c>
      <c r="B197">
        <v>1</v>
      </c>
      <c r="C197">
        <v>3</v>
      </c>
      <c r="D197">
        <v>5</v>
      </c>
      <c r="E197">
        <f>VLOOKUP(A197,Elements!$A$2:$B$435,2,0)</f>
        <v>55</v>
      </c>
      <c r="F197" t="str">
        <f t="shared" si="3"/>
        <v>3-5-55</v>
      </c>
      <c r="G197">
        <v>195</v>
      </c>
      <c r="H197" s="34" t="s">
        <v>93</v>
      </c>
    </row>
    <row r="198" spans="1:8">
      <c r="A198" s="34" t="s">
        <v>94</v>
      </c>
      <c r="B198">
        <v>1</v>
      </c>
      <c r="C198">
        <v>3</v>
      </c>
      <c r="D198">
        <v>5</v>
      </c>
      <c r="E198">
        <f>VLOOKUP(A198,Elements!$A$2:$B$435,2,0)</f>
        <v>56</v>
      </c>
      <c r="F198" t="str">
        <f t="shared" si="3"/>
        <v>3-5-56</v>
      </c>
      <c r="G198">
        <v>196</v>
      </c>
      <c r="H198" s="34" t="s">
        <v>94</v>
      </c>
    </row>
    <row r="199" spans="1:8">
      <c r="A199" s="34" t="s">
        <v>95</v>
      </c>
      <c r="B199">
        <v>1</v>
      </c>
      <c r="C199">
        <v>3</v>
      </c>
      <c r="D199">
        <v>5</v>
      </c>
      <c r="E199">
        <f>VLOOKUP(A199,Elements!$A$2:$B$435,2,0)</f>
        <v>57</v>
      </c>
      <c r="F199" t="str">
        <f t="shared" si="3"/>
        <v>3-5-57</v>
      </c>
      <c r="G199">
        <v>197</v>
      </c>
      <c r="H199" s="34" t="s">
        <v>95</v>
      </c>
    </row>
    <row r="200" spans="1:8">
      <c r="A200" s="34" t="s">
        <v>96</v>
      </c>
      <c r="B200">
        <v>1</v>
      </c>
      <c r="C200">
        <v>3</v>
      </c>
      <c r="D200">
        <v>5</v>
      </c>
      <c r="E200">
        <f>VLOOKUP(A200,Elements!$A$2:$B$435,2,0)</f>
        <v>58</v>
      </c>
      <c r="F200" t="str">
        <f t="shared" si="3"/>
        <v>3-5-58</v>
      </c>
      <c r="G200">
        <v>198</v>
      </c>
      <c r="H200" s="34" t="s">
        <v>96</v>
      </c>
    </row>
    <row r="201" spans="1:8">
      <c r="A201" s="34" t="s">
        <v>97</v>
      </c>
      <c r="B201">
        <v>1</v>
      </c>
      <c r="C201">
        <v>3</v>
      </c>
      <c r="D201">
        <v>5</v>
      </c>
      <c r="E201">
        <f>VLOOKUP(A201,Elements!$A$2:$B$435,2,0)</f>
        <v>59</v>
      </c>
      <c r="F201" t="str">
        <f t="shared" si="3"/>
        <v>3-5-59</v>
      </c>
      <c r="G201">
        <v>199</v>
      </c>
      <c r="H201" s="34" t="s">
        <v>97</v>
      </c>
    </row>
    <row r="202" spans="1:8">
      <c r="A202" s="34" t="s">
        <v>13</v>
      </c>
      <c r="B202">
        <v>1</v>
      </c>
      <c r="C202">
        <v>3</v>
      </c>
      <c r="D202">
        <v>5</v>
      </c>
      <c r="E202">
        <f>VLOOKUP(A202,Elements!$A$2:$B$435,2,0)</f>
        <v>60</v>
      </c>
      <c r="F202" t="str">
        <f t="shared" si="3"/>
        <v>3-5-60</v>
      </c>
      <c r="G202">
        <v>200</v>
      </c>
      <c r="H202" s="34" t="s">
        <v>13</v>
      </c>
    </row>
    <row r="203" spans="1:8">
      <c r="A203" s="34" t="s">
        <v>98</v>
      </c>
      <c r="B203">
        <v>1</v>
      </c>
      <c r="C203">
        <v>3</v>
      </c>
      <c r="D203">
        <v>5</v>
      </c>
      <c r="E203">
        <f>VLOOKUP(A203,Elements!$A$2:$B$435,2,0)</f>
        <v>61</v>
      </c>
      <c r="F203" t="str">
        <f t="shared" si="3"/>
        <v>3-5-61</v>
      </c>
      <c r="G203">
        <v>201</v>
      </c>
      <c r="H203" s="34" t="s">
        <v>98</v>
      </c>
    </row>
    <row r="204" spans="1:8">
      <c r="A204" s="34" t="s">
        <v>99</v>
      </c>
      <c r="B204">
        <v>1</v>
      </c>
      <c r="C204">
        <v>3</v>
      </c>
      <c r="D204">
        <v>5</v>
      </c>
      <c r="E204">
        <f>VLOOKUP(A204,Elements!$A$2:$B$435,2,0)</f>
        <v>62</v>
      </c>
      <c r="F204" t="str">
        <f t="shared" si="3"/>
        <v>3-5-62</v>
      </c>
      <c r="G204">
        <v>202</v>
      </c>
      <c r="H204" s="34" t="s">
        <v>99</v>
      </c>
    </row>
    <row r="205" spans="1:8">
      <c r="A205" s="34" t="s">
        <v>100</v>
      </c>
      <c r="B205">
        <v>1</v>
      </c>
      <c r="C205">
        <v>3</v>
      </c>
      <c r="D205">
        <v>5</v>
      </c>
      <c r="E205">
        <f>VLOOKUP(A205,Elements!$A$2:$B$435,2,0)</f>
        <v>63</v>
      </c>
      <c r="F205" t="str">
        <f t="shared" si="3"/>
        <v>3-5-63</v>
      </c>
      <c r="G205">
        <v>203</v>
      </c>
      <c r="H205" s="34" t="s">
        <v>100</v>
      </c>
    </row>
    <row r="206" spans="1:8">
      <c r="A206" s="34" t="s">
        <v>101</v>
      </c>
      <c r="B206">
        <v>1</v>
      </c>
      <c r="C206">
        <v>3</v>
      </c>
      <c r="D206">
        <v>6</v>
      </c>
      <c r="E206">
        <f>VLOOKUP(A206,Elements!$A$2:$B$435,2,0)</f>
        <v>64</v>
      </c>
      <c r="F206" t="str">
        <f t="shared" si="3"/>
        <v>3-6-64</v>
      </c>
      <c r="G206">
        <v>204</v>
      </c>
      <c r="H206" s="34" t="s">
        <v>101</v>
      </c>
    </row>
    <row r="207" spans="1:8">
      <c r="A207" s="34" t="s">
        <v>362</v>
      </c>
      <c r="B207">
        <v>1</v>
      </c>
      <c r="C207">
        <v>3</v>
      </c>
      <c r="D207">
        <v>6</v>
      </c>
      <c r="E207">
        <f>VLOOKUP(A207,Elements!$A$2:$B$435,2,0)</f>
        <v>65</v>
      </c>
      <c r="F207" t="str">
        <f t="shared" si="3"/>
        <v>3-6-65</v>
      </c>
      <c r="G207">
        <v>205</v>
      </c>
      <c r="H207" s="34" t="s">
        <v>362</v>
      </c>
    </row>
    <row r="208" spans="1:8">
      <c r="A208" s="34" t="s">
        <v>286</v>
      </c>
      <c r="B208">
        <v>1</v>
      </c>
      <c r="C208">
        <v>3</v>
      </c>
      <c r="D208">
        <v>6</v>
      </c>
      <c r="E208">
        <f>VLOOKUP(A208,Elements!$A$2:$B$435,2,0)</f>
        <v>66</v>
      </c>
      <c r="F208" t="str">
        <f t="shared" si="3"/>
        <v>3-6-66</v>
      </c>
      <c r="G208">
        <v>206</v>
      </c>
      <c r="H208" s="34" t="s">
        <v>286</v>
      </c>
    </row>
    <row r="209" spans="1:8">
      <c r="A209" t="s">
        <v>288</v>
      </c>
      <c r="B209">
        <v>1</v>
      </c>
      <c r="C209">
        <v>3</v>
      </c>
      <c r="D209">
        <v>6</v>
      </c>
      <c r="E209">
        <f>VLOOKUP(A209,Elements!$A$2:$B$435,2,0)</f>
        <v>67</v>
      </c>
      <c r="F209" t="str">
        <f t="shared" si="3"/>
        <v>3-6-67</v>
      </c>
      <c r="G209">
        <v>207</v>
      </c>
      <c r="H209" t="s">
        <v>288</v>
      </c>
    </row>
    <row r="210" spans="1:8">
      <c r="A210" s="34" t="s">
        <v>104</v>
      </c>
      <c r="B210">
        <v>1</v>
      </c>
      <c r="C210">
        <v>3</v>
      </c>
      <c r="D210">
        <v>6</v>
      </c>
      <c r="E210">
        <f>VLOOKUP(A210,Elements!$A$2:$B$435,2,0)</f>
        <v>68</v>
      </c>
      <c r="F210" t="str">
        <f t="shared" si="3"/>
        <v>3-6-68</v>
      </c>
      <c r="G210">
        <v>208</v>
      </c>
      <c r="H210" s="34" t="s">
        <v>104</v>
      </c>
    </row>
    <row r="211" spans="1:8">
      <c r="A211" s="34" t="s">
        <v>105</v>
      </c>
      <c r="B211">
        <v>1</v>
      </c>
      <c r="C211">
        <v>3</v>
      </c>
      <c r="D211">
        <v>6</v>
      </c>
      <c r="E211">
        <f>VLOOKUP(A211,Elements!$A$2:$B$435,2,0)</f>
        <v>69</v>
      </c>
      <c r="F211" t="str">
        <f t="shared" si="3"/>
        <v>3-6-69</v>
      </c>
      <c r="G211">
        <v>209</v>
      </c>
      <c r="H211" s="34" t="s">
        <v>105</v>
      </c>
    </row>
    <row r="212" spans="1:8">
      <c r="A212" s="34" t="s">
        <v>106</v>
      </c>
      <c r="B212">
        <v>1</v>
      </c>
      <c r="C212">
        <v>3</v>
      </c>
      <c r="D212">
        <v>6</v>
      </c>
      <c r="E212">
        <f>VLOOKUP(A212,Elements!$A$2:$B$435,2,0)</f>
        <v>70</v>
      </c>
      <c r="F212" t="str">
        <f t="shared" si="3"/>
        <v>3-6-70</v>
      </c>
      <c r="G212">
        <v>210</v>
      </c>
      <c r="H212" s="34" t="s">
        <v>106</v>
      </c>
    </row>
    <row r="213" spans="1:8">
      <c r="A213" s="34" t="s">
        <v>526</v>
      </c>
      <c r="B213">
        <v>1</v>
      </c>
      <c r="C213">
        <v>3</v>
      </c>
      <c r="D213">
        <v>7</v>
      </c>
      <c r="E213">
        <f>VLOOKUP(A213,Elements!$A$2:$B$435,2,0)</f>
        <v>71</v>
      </c>
      <c r="F213" t="str">
        <f t="shared" si="3"/>
        <v>3-7-71</v>
      </c>
      <c r="G213">
        <v>211</v>
      </c>
      <c r="H213" s="34" t="s">
        <v>526</v>
      </c>
    </row>
    <row r="214" spans="1:8">
      <c r="A214" s="34" t="s">
        <v>47</v>
      </c>
      <c r="B214">
        <v>1</v>
      </c>
      <c r="C214">
        <v>3</v>
      </c>
      <c r="D214">
        <v>7</v>
      </c>
      <c r="E214">
        <f>VLOOKUP(A214,Elements!$A$2:$B$435,2,0)</f>
        <v>10</v>
      </c>
      <c r="F214" t="str">
        <f t="shared" si="3"/>
        <v>3-7-10</v>
      </c>
      <c r="G214">
        <v>212</v>
      </c>
      <c r="H214" s="34" t="s">
        <v>47</v>
      </c>
    </row>
    <row r="215" spans="1:8">
      <c r="A215" s="34" t="s">
        <v>108</v>
      </c>
      <c r="B215">
        <v>1</v>
      </c>
      <c r="C215">
        <v>3</v>
      </c>
      <c r="D215">
        <v>7</v>
      </c>
      <c r="E215">
        <f>VLOOKUP(A215,Elements!$A$2:$B$435,2,0)</f>
        <v>72</v>
      </c>
      <c r="F215" t="str">
        <f t="shared" si="3"/>
        <v>3-7-72</v>
      </c>
      <c r="G215">
        <v>213</v>
      </c>
      <c r="H215" s="34" t="s">
        <v>108</v>
      </c>
    </row>
    <row r="216" spans="1:8">
      <c r="A216" s="34" t="s">
        <v>353</v>
      </c>
      <c r="B216">
        <v>1</v>
      </c>
      <c r="C216">
        <v>3</v>
      </c>
      <c r="D216">
        <v>7</v>
      </c>
      <c r="E216">
        <f>VLOOKUP(A216,Elements!$A$2:$B$435,2,0)</f>
        <v>73</v>
      </c>
      <c r="F216" t="str">
        <f t="shared" si="3"/>
        <v>3-7-73</v>
      </c>
      <c r="G216">
        <v>214</v>
      </c>
      <c r="H216" s="34" t="s">
        <v>353</v>
      </c>
    </row>
    <row r="217" spans="1:8">
      <c r="A217" s="34" t="s">
        <v>109</v>
      </c>
      <c r="B217">
        <v>1</v>
      </c>
      <c r="C217">
        <v>3</v>
      </c>
      <c r="D217">
        <v>7</v>
      </c>
      <c r="E217">
        <f>VLOOKUP(A217,Elements!$A$2:$B$435,2,0)</f>
        <v>74</v>
      </c>
      <c r="F217" t="str">
        <f t="shared" si="3"/>
        <v>3-7-74</v>
      </c>
      <c r="G217">
        <v>215</v>
      </c>
      <c r="H217" s="34" t="s">
        <v>109</v>
      </c>
    </row>
    <row r="218" spans="1:8">
      <c r="A218" s="34" t="s">
        <v>355</v>
      </c>
      <c r="B218">
        <v>1</v>
      </c>
      <c r="C218">
        <v>3</v>
      </c>
      <c r="D218">
        <v>7</v>
      </c>
      <c r="E218">
        <f>VLOOKUP(A218,Elements!$A$2:$B$435,2,0)</f>
        <v>75</v>
      </c>
      <c r="F218" t="str">
        <f t="shared" si="3"/>
        <v>3-7-75</v>
      </c>
      <c r="G218">
        <v>216</v>
      </c>
      <c r="H218" s="34" t="s">
        <v>355</v>
      </c>
    </row>
    <row r="219" spans="1:8">
      <c r="A219" s="34" t="s">
        <v>110</v>
      </c>
      <c r="B219">
        <v>1</v>
      </c>
      <c r="C219">
        <v>3</v>
      </c>
      <c r="D219">
        <v>7</v>
      </c>
      <c r="E219">
        <f>VLOOKUP(A219,Elements!$A$2:$B$435,2,0)</f>
        <v>76</v>
      </c>
      <c r="F219" t="str">
        <f t="shared" si="3"/>
        <v>3-7-76</v>
      </c>
      <c r="G219">
        <v>217</v>
      </c>
      <c r="H219" s="34" t="s">
        <v>110</v>
      </c>
    </row>
    <row r="220" spans="1:8">
      <c r="A220" s="34" t="s">
        <v>111</v>
      </c>
      <c r="B220">
        <v>1</v>
      </c>
      <c r="C220">
        <v>3</v>
      </c>
      <c r="D220">
        <v>7</v>
      </c>
      <c r="E220">
        <f>VLOOKUP(A220,Elements!$A$2:$B$435,2,0)</f>
        <v>77</v>
      </c>
      <c r="F220" t="str">
        <f t="shared" si="3"/>
        <v>3-7-77</v>
      </c>
      <c r="G220">
        <v>218</v>
      </c>
      <c r="H220" s="34" t="s">
        <v>111</v>
      </c>
    </row>
    <row r="221" spans="1:8">
      <c r="A221" s="34" t="s">
        <v>112</v>
      </c>
      <c r="B221">
        <v>1</v>
      </c>
      <c r="C221">
        <v>3</v>
      </c>
      <c r="D221">
        <v>7</v>
      </c>
      <c r="E221">
        <f>VLOOKUP(A221,Elements!$A$2:$B$435,2,0)</f>
        <v>78</v>
      </c>
      <c r="F221" t="str">
        <f t="shared" si="3"/>
        <v>3-7-78</v>
      </c>
      <c r="G221">
        <v>219</v>
      </c>
      <c r="H221" s="34" t="s">
        <v>112</v>
      </c>
    </row>
    <row r="222" spans="1:8">
      <c r="A222" s="34" t="s">
        <v>113</v>
      </c>
      <c r="B222">
        <v>1</v>
      </c>
      <c r="C222">
        <v>3</v>
      </c>
      <c r="D222">
        <v>7</v>
      </c>
      <c r="E222">
        <f>VLOOKUP(A222,Elements!$A$2:$B$435,2,0)</f>
        <v>79</v>
      </c>
      <c r="F222" t="str">
        <f t="shared" si="3"/>
        <v>3-7-79</v>
      </c>
      <c r="G222">
        <v>220</v>
      </c>
      <c r="H222" s="34" t="s">
        <v>113</v>
      </c>
    </row>
    <row r="223" spans="1:8">
      <c r="A223" s="34" t="s">
        <v>114</v>
      </c>
      <c r="B223">
        <v>1</v>
      </c>
      <c r="C223">
        <v>3</v>
      </c>
      <c r="D223">
        <v>7</v>
      </c>
      <c r="E223">
        <f>VLOOKUP(A223,Elements!$A$2:$B$435,2,0)</f>
        <v>80</v>
      </c>
      <c r="F223" t="str">
        <f t="shared" si="3"/>
        <v>3-7-80</v>
      </c>
      <c r="G223">
        <v>221</v>
      </c>
      <c r="H223" s="34" t="s">
        <v>114</v>
      </c>
    </row>
    <row r="224" spans="1:8">
      <c r="A224" s="34" t="s">
        <v>115</v>
      </c>
      <c r="B224">
        <v>1</v>
      </c>
      <c r="C224">
        <v>3</v>
      </c>
      <c r="D224">
        <v>7</v>
      </c>
      <c r="E224">
        <f>VLOOKUP(A224,Elements!$A$2:$B$435,2,0)</f>
        <v>81</v>
      </c>
      <c r="F224" t="str">
        <f t="shared" si="3"/>
        <v>3-7-81</v>
      </c>
      <c r="G224">
        <v>222</v>
      </c>
      <c r="H224" s="34" t="s">
        <v>115</v>
      </c>
    </row>
    <row r="225" spans="1:8">
      <c r="A225" s="34" t="s">
        <v>116</v>
      </c>
      <c r="B225">
        <v>1</v>
      </c>
      <c r="C225">
        <v>3</v>
      </c>
      <c r="D225">
        <v>7</v>
      </c>
      <c r="E225">
        <f>VLOOKUP(A225,Elements!$A$2:$B$435,2,0)</f>
        <v>82</v>
      </c>
      <c r="F225" t="str">
        <f t="shared" si="3"/>
        <v>3-7-82</v>
      </c>
      <c r="G225">
        <v>223</v>
      </c>
      <c r="H225" s="34" t="s">
        <v>116</v>
      </c>
    </row>
    <row r="226" spans="1:8">
      <c r="A226" s="34" t="s">
        <v>117</v>
      </c>
      <c r="B226">
        <v>1</v>
      </c>
      <c r="C226">
        <v>3</v>
      </c>
      <c r="D226">
        <v>8</v>
      </c>
      <c r="E226">
        <f>VLOOKUP(A226,Elements!$A$2:$B$435,2,0)</f>
        <v>83</v>
      </c>
      <c r="F226" t="str">
        <f t="shared" si="3"/>
        <v>3-8-83</v>
      </c>
      <c r="G226">
        <v>224</v>
      </c>
      <c r="H226" s="34" t="s">
        <v>117</v>
      </c>
    </row>
    <row r="227" spans="1:8">
      <c r="A227" s="34" t="s">
        <v>118</v>
      </c>
      <c r="B227">
        <v>1</v>
      </c>
      <c r="C227">
        <v>3</v>
      </c>
      <c r="D227">
        <v>8</v>
      </c>
      <c r="E227">
        <f>VLOOKUP(A227,Elements!$A$2:$B$435,2,0)</f>
        <v>84</v>
      </c>
      <c r="F227" t="str">
        <f t="shared" si="3"/>
        <v>3-8-84</v>
      </c>
      <c r="G227">
        <v>225</v>
      </c>
      <c r="H227" s="34" t="s">
        <v>118</v>
      </c>
    </row>
    <row r="228" spans="1:8">
      <c r="A228" s="34" t="s">
        <v>119</v>
      </c>
      <c r="B228">
        <v>1</v>
      </c>
      <c r="C228">
        <v>3</v>
      </c>
      <c r="D228">
        <v>8</v>
      </c>
      <c r="E228">
        <f>VLOOKUP(A228,Elements!$A$2:$B$435,2,0)</f>
        <v>85</v>
      </c>
      <c r="F228" t="str">
        <f t="shared" si="3"/>
        <v>3-8-85</v>
      </c>
      <c r="G228">
        <v>226</v>
      </c>
      <c r="H228" s="34" t="s">
        <v>119</v>
      </c>
    </row>
    <row r="229" spans="1:8">
      <c r="A229" s="34" t="s">
        <v>531</v>
      </c>
      <c r="B229">
        <v>1</v>
      </c>
      <c r="C229">
        <v>3</v>
      </c>
      <c r="D229">
        <v>9</v>
      </c>
      <c r="E229">
        <f>VLOOKUP(A229,Elements!$A$2:$B$435,2,0)</f>
        <v>86</v>
      </c>
      <c r="F229" t="str">
        <f t="shared" si="3"/>
        <v>3-9-86</v>
      </c>
      <c r="G229">
        <v>227</v>
      </c>
      <c r="H229" s="34" t="s">
        <v>531</v>
      </c>
    </row>
    <row r="230" spans="1:8">
      <c r="A230" s="34" t="s">
        <v>121</v>
      </c>
      <c r="B230">
        <v>1</v>
      </c>
      <c r="C230">
        <v>3</v>
      </c>
      <c r="D230">
        <v>9</v>
      </c>
      <c r="E230">
        <f>VLOOKUP(A230,Elements!$A$2:$B$435,2,0)</f>
        <v>87</v>
      </c>
      <c r="F230" t="str">
        <f t="shared" si="3"/>
        <v>3-9-87</v>
      </c>
      <c r="G230">
        <v>228</v>
      </c>
      <c r="H230" s="34" t="s">
        <v>121</v>
      </c>
    </row>
    <row r="231" spans="1:8">
      <c r="A231" s="34" t="s">
        <v>122</v>
      </c>
      <c r="B231">
        <v>1</v>
      </c>
      <c r="C231">
        <v>3</v>
      </c>
      <c r="D231">
        <v>9</v>
      </c>
      <c r="E231">
        <f>VLOOKUP(A231,Elements!$A$2:$B$435,2,0)</f>
        <v>88</v>
      </c>
      <c r="F231" t="str">
        <f t="shared" si="3"/>
        <v>3-9-88</v>
      </c>
      <c r="G231">
        <v>229</v>
      </c>
      <c r="H231" s="34" t="s">
        <v>122</v>
      </c>
    </row>
    <row r="232" spans="1:8">
      <c r="A232" s="34" t="s">
        <v>123</v>
      </c>
      <c r="B232">
        <v>1</v>
      </c>
      <c r="C232">
        <v>3</v>
      </c>
      <c r="D232">
        <v>9</v>
      </c>
      <c r="E232">
        <f>VLOOKUP(A232,Elements!$A$2:$B$435,2,0)</f>
        <v>89</v>
      </c>
      <c r="F232" t="str">
        <f t="shared" si="3"/>
        <v>3-9-89</v>
      </c>
      <c r="G232">
        <v>230</v>
      </c>
      <c r="H232" s="34" t="s">
        <v>123</v>
      </c>
    </row>
    <row r="233" spans="1:8">
      <c r="A233" s="34" t="s">
        <v>124</v>
      </c>
      <c r="B233">
        <v>1</v>
      </c>
      <c r="C233">
        <v>3</v>
      </c>
      <c r="D233">
        <v>9</v>
      </c>
      <c r="E233">
        <f>VLOOKUP(A233,Elements!$A$2:$B$435,2,0)</f>
        <v>90</v>
      </c>
      <c r="F233" t="str">
        <f t="shared" si="3"/>
        <v>3-9-90</v>
      </c>
      <c r="G233">
        <v>231</v>
      </c>
      <c r="H233" s="34" t="s">
        <v>124</v>
      </c>
    </row>
    <row r="234" spans="1:8">
      <c r="A234" s="34" t="s">
        <v>530</v>
      </c>
      <c r="B234">
        <v>1</v>
      </c>
      <c r="C234">
        <v>3</v>
      </c>
      <c r="D234">
        <v>9</v>
      </c>
      <c r="E234">
        <f>VLOOKUP(A234,Elements!$A$2:$B$435,2,0)</f>
        <v>91</v>
      </c>
      <c r="F234" t="str">
        <f t="shared" si="3"/>
        <v>3-9-91</v>
      </c>
      <c r="G234">
        <v>232</v>
      </c>
      <c r="H234" s="34" t="s">
        <v>530</v>
      </c>
    </row>
    <row r="235" spans="1:8">
      <c r="A235" s="34" t="s">
        <v>126</v>
      </c>
      <c r="B235">
        <v>1</v>
      </c>
      <c r="C235">
        <v>3</v>
      </c>
      <c r="D235">
        <v>9</v>
      </c>
      <c r="E235">
        <f>VLOOKUP(A235,Elements!$A$2:$B$435,2,0)</f>
        <v>92</v>
      </c>
      <c r="F235" t="str">
        <f t="shared" si="3"/>
        <v>3-9-92</v>
      </c>
      <c r="G235">
        <v>233</v>
      </c>
      <c r="H235" s="34" t="s">
        <v>126</v>
      </c>
    </row>
    <row r="236" spans="1:8">
      <c r="A236" s="34" t="s">
        <v>127</v>
      </c>
      <c r="B236">
        <v>1</v>
      </c>
      <c r="C236">
        <v>3</v>
      </c>
      <c r="D236">
        <v>9</v>
      </c>
      <c r="E236">
        <f>VLOOKUP(A236,Elements!$A$2:$B$435,2,0)</f>
        <v>93</v>
      </c>
      <c r="F236" t="str">
        <f t="shared" si="3"/>
        <v>3-9-93</v>
      </c>
      <c r="G236">
        <v>234</v>
      </c>
      <c r="H236" s="34" t="s">
        <v>127</v>
      </c>
    </row>
    <row r="237" spans="1:8">
      <c r="A237" s="34" t="s">
        <v>128</v>
      </c>
      <c r="B237">
        <v>1</v>
      </c>
      <c r="C237">
        <v>3</v>
      </c>
      <c r="D237">
        <v>9</v>
      </c>
      <c r="E237">
        <f>VLOOKUP(A237,Elements!$A$2:$B$435,2,0)</f>
        <v>94</v>
      </c>
      <c r="F237" t="str">
        <f t="shared" si="3"/>
        <v>3-9-94</v>
      </c>
      <c r="G237">
        <v>235</v>
      </c>
      <c r="H237" s="34" t="s">
        <v>128</v>
      </c>
    </row>
    <row r="238" spans="1:8">
      <c r="A238" s="34" t="s">
        <v>129</v>
      </c>
      <c r="B238">
        <v>1</v>
      </c>
      <c r="C238">
        <v>3</v>
      </c>
      <c r="D238">
        <v>9</v>
      </c>
      <c r="E238">
        <f>VLOOKUP(A238,Elements!$A$2:$B$435,2,0)</f>
        <v>95</v>
      </c>
      <c r="F238" t="str">
        <f t="shared" si="3"/>
        <v>3-9-95</v>
      </c>
      <c r="G238">
        <v>236</v>
      </c>
      <c r="H238" s="34" t="s">
        <v>129</v>
      </c>
    </row>
    <row r="239" spans="1:8">
      <c r="A239" s="34" t="s">
        <v>515</v>
      </c>
      <c r="B239">
        <v>1</v>
      </c>
      <c r="C239">
        <v>3</v>
      </c>
      <c r="D239">
        <v>10</v>
      </c>
      <c r="E239">
        <f>VLOOKUP(A239,Elements!$A$2:$B$435,2,0)</f>
        <v>96</v>
      </c>
      <c r="F239" t="str">
        <f t="shared" si="3"/>
        <v>3-10-96</v>
      </c>
      <c r="G239">
        <v>237</v>
      </c>
      <c r="H239" s="34" t="s">
        <v>515</v>
      </c>
    </row>
    <row r="240" spans="1:8">
      <c r="A240" s="34" t="s">
        <v>131</v>
      </c>
      <c r="B240">
        <v>1</v>
      </c>
      <c r="C240">
        <v>3</v>
      </c>
      <c r="D240">
        <v>10</v>
      </c>
      <c r="E240">
        <f>VLOOKUP(A240,Elements!$A$2:$B$435,2,0)</f>
        <v>97</v>
      </c>
      <c r="F240" t="str">
        <f t="shared" si="3"/>
        <v>3-10-97</v>
      </c>
      <c r="G240">
        <v>238</v>
      </c>
      <c r="H240" s="34" t="s">
        <v>131</v>
      </c>
    </row>
    <row r="241" spans="1:8">
      <c r="A241" s="34" t="s">
        <v>132</v>
      </c>
      <c r="B241">
        <v>1</v>
      </c>
      <c r="C241">
        <v>3</v>
      </c>
      <c r="D241">
        <v>10</v>
      </c>
      <c r="E241">
        <f>VLOOKUP(A241,Elements!$A$2:$B$435,2,0)</f>
        <v>98</v>
      </c>
      <c r="F241" t="str">
        <f t="shared" si="3"/>
        <v>3-10-98</v>
      </c>
      <c r="G241">
        <v>239</v>
      </c>
      <c r="H241" s="34" t="s">
        <v>132</v>
      </c>
    </row>
    <row r="242" spans="1:8">
      <c r="A242" s="34" t="s">
        <v>133</v>
      </c>
      <c r="B242">
        <v>1</v>
      </c>
      <c r="C242">
        <v>3</v>
      </c>
      <c r="D242">
        <v>10</v>
      </c>
      <c r="E242">
        <f>VLOOKUP(A242,Elements!$A$2:$B$435,2,0)</f>
        <v>99</v>
      </c>
      <c r="F242" t="str">
        <f t="shared" si="3"/>
        <v>3-10-99</v>
      </c>
      <c r="G242">
        <v>240</v>
      </c>
      <c r="H242" s="34" t="s">
        <v>133</v>
      </c>
    </row>
    <row r="243" spans="1:8">
      <c r="A243" s="34" t="s">
        <v>518</v>
      </c>
      <c r="B243">
        <v>1</v>
      </c>
      <c r="C243">
        <v>3</v>
      </c>
      <c r="D243">
        <v>10</v>
      </c>
      <c r="E243">
        <f>VLOOKUP(A243,Elements!$A$2:$B$435,2,0)</f>
        <v>100</v>
      </c>
      <c r="F243" t="str">
        <f t="shared" si="3"/>
        <v>3-10-100</v>
      </c>
      <c r="G243">
        <v>241</v>
      </c>
      <c r="H243" s="34" t="s">
        <v>518</v>
      </c>
    </row>
    <row r="244" spans="1:8">
      <c r="A244" s="34" t="s">
        <v>135</v>
      </c>
      <c r="B244">
        <v>1</v>
      </c>
      <c r="C244">
        <v>3</v>
      </c>
      <c r="D244">
        <v>10</v>
      </c>
      <c r="E244">
        <f>VLOOKUP(A244,Elements!$A$2:$B$435,2,0)</f>
        <v>101</v>
      </c>
      <c r="F244" t="str">
        <f t="shared" si="3"/>
        <v>3-10-101</v>
      </c>
      <c r="G244">
        <v>242</v>
      </c>
      <c r="H244" s="34" t="s">
        <v>135</v>
      </c>
    </row>
    <row r="245" spans="1:8">
      <c r="A245" s="34" t="s">
        <v>136</v>
      </c>
      <c r="B245">
        <v>1</v>
      </c>
      <c r="C245">
        <v>3</v>
      </c>
      <c r="D245">
        <v>10</v>
      </c>
      <c r="E245">
        <f>VLOOKUP(A245,Elements!$A$2:$B$435,2,0)</f>
        <v>102</v>
      </c>
      <c r="F245" t="str">
        <f t="shared" si="3"/>
        <v>3-10-102</v>
      </c>
      <c r="G245">
        <v>243</v>
      </c>
      <c r="H245" s="34" t="s">
        <v>136</v>
      </c>
    </row>
    <row r="246" spans="1:8">
      <c r="A246" s="36" t="s">
        <v>137</v>
      </c>
      <c r="B246">
        <v>2</v>
      </c>
      <c r="C246">
        <v>4</v>
      </c>
      <c r="D246">
        <v>11</v>
      </c>
      <c r="E246">
        <f>VLOOKUP(A246,Elements!$A$2:$B$435,2,0)</f>
        <v>103</v>
      </c>
      <c r="F246" t="str">
        <f t="shared" si="3"/>
        <v>4-11-103</v>
      </c>
      <c r="G246">
        <v>244</v>
      </c>
      <c r="H246" s="36" t="s">
        <v>137</v>
      </c>
    </row>
    <row r="247" spans="1:8">
      <c r="A247" s="36" t="s">
        <v>138</v>
      </c>
      <c r="B247">
        <v>2</v>
      </c>
      <c r="C247">
        <v>4</v>
      </c>
      <c r="D247">
        <v>11</v>
      </c>
      <c r="E247">
        <f>VLOOKUP(A247,Elements!$A$2:$B$435,2,0)</f>
        <v>104</v>
      </c>
      <c r="F247" t="str">
        <f t="shared" si="3"/>
        <v>4-11-104</v>
      </c>
      <c r="G247">
        <v>245</v>
      </c>
      <c r="H247" s="36" t="s">
        <v>138</v>
      </c>
    </row>
    <row r="248" spans="1:8">
      <c r="A248" s="36" t="s">
        <v>139</v>
      </c>
      <c r="B248">
        <v>2</v>
      </c>
      <c r="C248">
        <v>4</v>
      </c>
      <c r="D248">
        <v>11</v>
      </c>
      <c r="E248">
        <f>VLOOKUP(A248,Elements!$A$2:$B$435,2,0)</f>
        <v>105</v>
      </c>
      <c r="F248" t="str">
        <f t="shared" si="3"/>
        <v>4-11-105</v>
      </c>
      <c r="G248">
        <v>246</v>
      </c>
      <c r="H248" s="36" t="s">
        <v>139</v>
      </c>
    </row>
    <row r="249" spans="1:8">
      <c r="A249" s="36" t="s">
        <v>140</v>
      </c>
      <c r="B249">
        <v>2</v>
      </c>
      <c r="C249">
        <v>4</v>
      </c>
      <c r="D249">
        <v>11</v>
      </c>
      <c r="E249">
        <f>VLOOKUP(A249,Elements!$A$2:$B$435,2,0)</f>
        <v>106</v>
      </c>
      <c r="F249" t="str">
        <f t="shared" si="3"/>
        <v>4-11-106</v>
      </c>
      <c r="G249">
        <v>247</v>
      </c>
      <c r="H249" s="36" t="s">
        <v>140</v>
      </c>
    </row>
    <row r="250" spans="1:8">
      <c r="A250" s="36" t="s">
        <v>141</v>
      </c>
      <c r="B250">
        <v>2</v>
      </c>
      <c r="C250">
        <v>4</v>
      </c>
      <c r="D250">
        <v>11</v>
      </c>
      <c r="E250">
        <f>VLOOKUP(A250,Elements!$A$2:$B$435,2,0)</f>
        <v>107</v>
      </c>
      <c r="F250" t="str">
        <f t="shared" si="3"/>
        <v>4-11-107</v>
      </c>
      <c r="G250">
        <v>248</v>
      </c>
      <c r="H250" s="36" t="s">
        <v>141</v>
      </c>
    </row>
    <row r="251" spans="1:8">
      <c r="A251" s="36" t="s">
        <v>142</v>
      </c>
      <c r="B251">
        <v>2</v>
      </c>
      <c r="C251">
        <v>4</v>
      </c>
      <c r="D251">
        <v>11</v>
      </c>
      <c r="E251">
        <f>VLOOKUP(A251,Elements!$A$2:$B$435,2,0)</f>
        <v>108</v>
      </c>
      <c r="F251" t="str">
        <f t="shared" si="3"/>
        <v>4-11-108</v>
      </c>
      <c r="G251">
        <v>249</v>
      </c>
      <c r="H251" s="36" t="s">
        <v>142</v>
      </c>
    </row>
    <row r="252" spans="1:8">
      <c r="A252" s="36" t="s">
        <v>143</v>
      </c>
      <c r="B252">
        <v>2</v>
      </c>
      <c r="C252">
        <v>4</v>
      </c>
      <c r="D252">
        <v>11</v>
      </c>
      <c r="E252">
        <f>VLOOKUP(A252,Elements!$A$2:$B$435,2,0)</f>
        <v>109</v>
      </c>
      <c r="F252" t="str">
        <f t="shared" si="3"/>
        <v>4-11-109</v>
      </c>
      <c r="G252">
        <v>250</v>
      </c>
      <c r="H252" s="36" t="s">
        <v>143</v>
      </c>
    </row>
    <row r="253" spans="1:8">
      <c r="A253" s="36" t="s">
        <v>145</v>
      </c>
      <c r="B253">
        <v>2</v>
      </c>
      <c r="C253">
        <v>4</v>
      </c>
      <c r="D253">
        <v>11</v>
      </c>
      <c r="E253">
        <f>VLOOKUP(A253,Elements!$A$2:$B$435,2,0)</f>
        <v>110</v>
      </c>
      <c r="F253" t="str">
        <f t="shared" si="3"/>
        <v>4-11-110</v>
      </c>
      <c r="G253">
        <v>251</v>
      </c>
      <c r="H253" s="36" t="s">
        <v>145</v>
      </c>
    </row>
    <row r="254" spans="1:8">
      <c r="A254" s="36" t="s">
        <v>146</v>
      </c>
      <c r="B254">
        <v>2</v>
      </c>
      <c r="C254">
        <v>4</v>
      </c>
      <c r="D254">
        <v>11</v>
      </c>
      <c r="E254">
        <f>VLOOKUP(A254,Elements!$A$2:$B$435,2,0)</f>
        <v>111</v>
      </c>
      <c r="F254" t="str">
        <f t="shared" si="3"/>
        <v>4-11-111</v>
      </c>
      <c r="G254">
        <v>252</v>
      </c>
      <c r="H254" s="36" t="s">
        <v>146</v>
      </c>
    </row>
    <row r="255" spans="1:8">
      <c r="A255" s="36" t="s">
        <v>147</v>
      </c>
      <c r="B255">
        <v>2</v>
      </c>
      <c r="C255">
        <v>4</v>
      </c>
      <c r="D255">
        <v>11</v>
      </c>
      <c r="E255">
        <f>VLOOKUP(A255,Elements!$A$2:$B$435,2,0)</f>
        <v>112</v>
      </c>
      <c r="F255" t="str">
        <f t="shared" si="3"/>
        <v>4-11-112</v>
      </c>
      <c r="G255">
        <v>253</v>
      </c>
      <c r="H255" s="36" t="s">
        <v>147</v>
      </c>
    </row>
    <row r="256" spans="1:8">
      <c r="A256" s="36" t="s">
        <v>148</v>
      </c>
      <c r="B256">
        <v>2</v>
      </c>
      <c r="C256">
        <v>4</v>
      </c>
      <c r="D256">
        <v>11</v>
      </c>
      <c r="E256">
        <f>VLOOKUP(A256,Elements!$A$2:$B$435,2,0)</f>
        <v>113</v>
      </c>
      <c r="F256" t="str">
        <f t="shared" si="3"/>
        <v>4-11-113</v>
      </c>
      <c r="G256">
        <v>254</v>
      </c>
      <c r="H256" s="36" t="s">
        <v>148</v>
      </c>
    </row>
    <row r="257" spans="1:8">
      <c r="A257" s="36" t="s">
        <v>149</v>
      </c>
      <c r="B257">
        <v>2</v>
      </c>
      <c r="C257">
        <v>4</v>
      </c>
      <c r="D257">
        <v>11</v>
      </c>
      <c r="E257">
        <f>VLOOKUP(A257,Elements!$A$2:$B$435,2,0)</f>
        <v>114</v>
      </c>
      <c r="F257" t="str">
        <f t="shared" si="3"/>
        <v>4-11-114</v>
      </c>
      <c r="G257">
        <v>255</v>
      </c>
      <c r="H257" s="36" t="s">
        <v>149</v>
      </c>
    </row>
    <row r="258" spans="1:8">
      <c r="A258" s="36" t="s">
        <v>150</v>
      </c>
      <c r="B258">
        <v>2</v>
      </c>
      <c r="C258">
        <v>4</v>
      </c>
      <c r="D258">
        <v>11</v>
      </c>
      <c r="E258">
        <f>VLOOKUP(A258,Elements!$A$2:$B$435,2,0)</f>
        <v>115</v>
      </c>
      <c r="F258" t="str">
        <f t="shared" si="3"/>
        <v>4-11-115</v>
      </c>
      <c r="G258">
        <v>256</v>
      </c>
      <c r="H258" s="36" t="s">
        <v>150</v>
      </c>
    </row>
    <row r="259" spans="1:8">
      <c r="A259" s="36" t="s">
        <v>151</v>
      </c>
      <c r="B259">
        <v>2</v>
      </c>
      <c r="C259">
        <v>4</v>
      </c>
      <c r="D259">
        <v>12</v>
      </c>
      <c r="E259">
        <f>VLOOKUP(A259,Elements!$A$2:$B$435,2,0)</f>
        <v>116</v>
      </c>
      <c r="F259" t="str">
        <f t="shared" ref="F259:F322" si="4">_xlfn.CONCAT(C259,"-",D259,"-",E259)</f>
        <v>4-12-116</v>
      </c>
      <c r="G259">
        <v>257</v>
      </c>
      <c r="H259" s="36" t="s">
        <v>151</v>
      </c>
    </row>
    <row r="260" spans="1:8">
      <c r="A260" s="36" t="s">
        <v>152</v>
      </c>
      <c r="B260">
        <v>2</v>
      </c>
      <c r="C260">
        <v>4</v>
      </c>
      <c r="D260">
        <v>12</v>
      </c>
      <c r="E260">
        <f>VLOOKUP(A260,Elements!$A$2:$B$435,2,0)</f>
        <v>117</v>
      </c>
      <c r="F260" t="str">
        <f t="shared" si="4"/>
        <v>4-12-117</v>
      </c>
      <c r="G260">
        <v>258</v>
      </c>
      <c r="H260" s="36" t="s">
        <v>152</v>
      </c>
    </row>
    <row r="261" spans="1:8">
      <c r="A261" s="36" t="s">
        <v>153</v>
      </c>
      <c r="B261">
        <v>2</v>
      </c>
      <c r="C261">
        <v>4</v>
      </c>
      <c r="D261">
        <v>12</v>
      </c>
      <c r="E261">
        <f>VLOOKUP(A261,Elements!$A$2:$B$435,2,0)</f>
        <v>118</v>
      </c>
      <c r="F261" t="str">
        <f t="shared" si="4"/>
        <v>4-12-118</v>
      </c>
      <c r="G261">
        <v>259</v>
      </c>
      <c r="H261" s="36" t="s">
        <v>153</v>
      </c>
    </row>
    <row r="262" spans="1:8">
      <c r="A262" s="36" t="s">
        <v>154</v>
      </c>
      <c r="B262">
        <v>2</v>
      </c>
      <c r="C262">
        <v>4</v>
      </c>
      <c r="D262">
        <v>12</v>
      </c>
      <c r="E262">
        <f>VLOOKUP(A262,Elements!$A$2:$B$435,2,0)</f>
        <v>119</v>
      </c>
      <c r="F262" t="str">
        <f t="shared" si="4"/>
        <v>4-12-119</v>
      </c>
      <c r="G262">
        <v>260</v>
      </c>
      <c r="H262" s="36" t="s">
        <v>154</v>
      </c>
    </row>
    <row r="263" spans="1:8">
      <c r="A263" s="36" t="s">
        <v>155</v>
      </c>
      <c r="B263">
        <v>2</v>
      </c>
      <c r="C263">
        <v>4</v>
      </c>
      <c r="D263">
        <v>12</v>
      </c>
      <c r="E263">
        <f>VLOOKUP(A263,Elements!$A$2:$B$435,2,0)</f>
        <v>120</v>
      </c>
      <c r="F263" t="str">
        <f t="shared" si="4"/>
        <v>4-12-120</v>
      </c>
      <c r="G263">
        <v>261</v>
      </c>
      <c r="H263" s="36" t="s">
        <v>155</v>
      </c>
    </row>
    <row r="264" spans="1:8">
      <c r="A264" s="36" t="s">
        <v>156</v>
      </c>
      <c r="B264">
        <v>2</v>
      </c>
      <c r="C264">
        <v>4</v>
      </c>
      <c r="D264">
        <v>12</v>
      </c>
      <c r="E264">
        <f>VLOOKUP(A264,Elements!$A$2:$B$435,2,0)</f>
        <v>121</v>
      </c>
      <c r="F264" t="str">
        <f t="shared" si="4"/>
        <v>4-12-121</v>
      </c>
      <c r="G264">
        <v>262</v>
      </c>
      <c r="H264" s="36" t="s">
        <v>156</v>
      </c>
    </row>
    <row r="265" spans="1:8">
      <c r="A265" s="36" t="s">
        <v>157</v>
      </c>
      <c r="B265">
        <v>2</v>
      </c>
      <c r="C265">
        <v>4</v>
      </c>
      <c r="D265">
        <v>12</v>
      </c>
      <c r="E265">
        <f>VLOOKUP(A265,Elements!$A$2:$B$435,2,0)</f>
        <v>122</v>
      </c>
      <c r="F265" t="str">
        <f t="shared" si="4"/>
        <v>4-12-122</v>
      </c>
      <c r="G265">
        <v>263</v>
      </c>
      <c r="H265" s="36" t="s">
        <v>157</v>
      </c>
    </row>
    <row r="266" spans="1:8">
      <c r="A266" s="36" t="s">
        <v>158</v>
      </c>
      <c r="B266">
        <v>2</v>
      </c>
      <c r="C266">
        <v>4</v>
      </c>
      <c r="D266">
        <v>13</v>
      </c>
      <c r="E266">
        <f>VLOOKUP(A266,Elements!$A$2:$B$435,2,0)</f>
        <v>123</v>
      </c>
      <c r="F266" t="str">
        <f t="shared" si="4"/>
        <v>4-13-123</v>
      </c>
      <c r="G266">
        <v>264</v>
      </c>
      <c r="H266" s="36" t="s">
        <v>158</v>
      </c>
    </row>
    <row r="267" spans="1:8">
      <c r="A267" s="36" t="s">
        <v>159</v>
      </c>
      <c r="B267">
        <v>2</v>
      </c>
      <c r="C267">
        <v>4</v>
      </c>
      <c r="D267">
        <v>13</v>
      </c>
      <c r="E267">
        <f>VLOOKUP(A267,Elements!$A$2:$B$435,2,0)</f>
        <v>124</v>
      </c>
      <c r="F267" t="str">
        <f t="shared" si="4"/>
        <v>4-13-124</v>
      </c>
      <c r="G267">
        <v>265</v>
      </c>
      <c r="H267" s="36" t="s">
        <v>159</v>
      </c>
    </row>
    <row r="268" spans="1:8">
      <c r="A268" s="36" t="s">
        <v>160</v>
      </c>
      <c r="B268">
        <v>2</v>
      </c>
      <c r="C268">
        <v>4</v>
      </c>
      <c r="D268">
        <v>13</v>
      </c>
      <c r="E268">
        <f>VLOOKUP(A268,Elements!$A$2:$B$435,2,0)</f>
        <v>125</v>
      </c>
      <c r="F268" t="str">
        <f t="shared" si="4"/>
        <v>4-13-125</v>
      </c>
      <c r="G268">
        <v>266</v>
      </c>
      <c r="H268" s="36" t="s">
        <v>160</v>
      </c>
    </row>
    <row r="269" spans="1:8">
      <c r="A269" s="36" t="s">
        <v>161</v>
      </c>
      <c r="B269">
        <v>2</v>
      </c>
      <c r="C269">
        <v>4</v>
      </c>
      <c r="D269">
        <v>13</v>
      </c>
      <c r="E269">
        <f>VLOOKUP(A269,Elements!$A$2:$B$435,2,0)</f>
        <v>126</v>
      </c>
      <c r="F269" t="str">
        <f t="shared" si="4"/>
        <v>4-13-126</v>
      </c>
      <c r="G269">
        <v>267</v>
      </c>
      <c r="H269" s="36" t="s">
        <v>161</v>
      </c>
    </row>
    <row r="270" spans="1:8">
      <c r="A270" s="36" t="s">
        <v>162</v>
      </c>
      <c r="B270">
        <v>2</v>
      </c>
      <c r="C270">
        <v>4</v>
      </c>
      <c r="D270">
        <v>13</v>
      </c>
      <c r="E270">
        <f>VLOOKUP(A270,Elements!$A$2:$B$435,2,0)</f>
        <v>127</v>
      </c>
      <c r="F270" t="str">
        <f t="shared" si="4"/>
        <v>4-13-127</v>
      </c>
      <c r="G270">
        <v>268</v>
      </c>
      <c r="H270" s="36" t="s">
        <v>162</v>
      </c>
    </row>
    <row r="271" spans="1:8">
      <c r="A271" s="36" t="s">
        <v>94</v>
      </c>
      <c r="B271">
        <v>2</v>
      </c>
      <c r="C271">
        <v>4</v>
      </c>
      <c r="D271">
        <v>13</v>
      </c>
      <c r="E271">
        <f>VLOOKUP(A271,Elements!$A$2:$B$435,2,0)</f>
        <v>56</v>
      </c>
      <c r="F271" t="str">
        <f t="shared" si="4"/>
        <v>4-13-56</v>
      </c>
      <c r="G271">
        <v>269</v>
      </c>
      <c r="H271" s="36" t="s">
        <v>94</v>
      </c>
    </row>
    <row r="272" spans="1:8">
      <c r="A272" s="36" t="s">
        <v>163</v>
      </c>
      <c r="B272">
        <v>2</v>
      </c>
      <c r="C272">
        <v>4</v>
      </c>
      <c r="D272">
        <v>13</v>
      </c>
      <c r="E272">
        <f>VLOOKUP(A272,Elements!$A$2:$B$435,2,0)</f>
        <v>128</v>
      </c>
      <c r="F272" t="str">
        <f t="shared" si="4"/>
        <v>4-13-128</v>
      </c>
      <c r="G272">
        <v>270</v>
      </c>
      <c r="H272" s="36" t="s">
        <v>163</v>
      </c>
    </row>
    <row r="273" spans="1:8">
      <c r="A273" s="36" t="s">
        <v>164</v>
      </c>
      <c r="B273">
        <v>2</v>
      </c>
      <c r="C273">
        <v>4</v>
      </c>
      <c r="D273">
        <v>13</v>
      </c>
      <c r="E273">
        <f>VLOOKUP(A273,Elements!$A$2:$B$435,2,0)</f>
        <v>129</v>
      </c>
      <c r="F273" t="str">
        <f t="shared" si="4"/>
        <v>4-13-129</v>
      </c>
      <c r="G273">
        <v>271</v>
      </c>
      <c r="H273" s="36" t="s">
        <v>164</v>
      </c>
    </row>
    <row r="274" spans="1:8">
      <c r="A274" s="36" t="s">
        <v>93</v>
      </c>
      <c r="B274">
        <v>2</v>
      </c>
      <c r="C274">
        <v>4</v>
      </c>
      <c r="D274">
        <v>13</v>
      </c>
      <c r="E274">
        <f>VLOOKUP(A274,Elements!$A$2:$B$435,2,0)</f>
        <v>55</v>
      </c>
      <c r="F274" t="str">
        <f t="shared" si="4"/>
        <v>4-13-55</v>
      </c>
      <c r="G274">
        <v>272</v>
      </c>
      <c r="H274" s="36" t="s">
        <v>93</v>
      </c>
    </row>
    <row r="275" spans="1:8">
      <c r="A275" s="36" t="s">
        <v>165</v>
      </c>
      <c r="B275">
        <v>2</v>
      </c>
      <c r="C275">
        <v>4</v>
      </c>
      <c r="D275">
        <v>13</v>
      </c>
      <c r="E275">
        <f>VLOOKUP(A275,Elements!$A$2:$B$435,2,0)</f>
        <v>130</v>
      </c>
      <c r="F275" t="str">
        <f t="shared" si="4"/>
        <v>4-13-130</v>
      </c>
      <c r="G275">
        <v>273</v>
      </c>
      <c r="H275" s="36" t="s">
        <v>165</v>
      </c>
    </row>
    <row r="276" spans="1:8">
      <c r="A276" t="s">
        <v>379</v>
      </c>
      <c r="B276">
        <v>2</v>
      </c>
      <c r="C276">
        <v>4</v>
      </c>
      <c r="D276">
        <v>13</v>
      </c>
      <c r="E276">
        <f>VLOOKUP(A276,Elements!$A$2:$B$435,2,0)</f>
        <v>131</v>
      </c>
      <c r="F276" t="str">
        <f t="shared" si="4"/>
        <v>4-13-131</v>
      </c>
      <c r="G276">
        <v>274</v>
      </c>
      <c r="H276" t="s">
        <v>379</v>
      </c>
    </row>
    <row r="277" spans="1:8">
      <c r="A277" s="36" t="s">
        <v>167</v>
      </c>
      <c r="B277">
        <v>2</v>
      </c>
      <c r="C277">
        <v>4</v>
      </c>
      <c r="D277">
        <v>14</v>
      </c>
      <c r="E277">
        <f>VLOOKUP(A277,Elements!$A$2:$B$435,2,0)</f>
        <v>132</v>
      </c>
      <c r="F277" t="str">
        <f t="shared" si="4"/>
        <v>4-14-132</v>
      </c>
      <c r="G277">
        <v>275</v>
      </c>
      <c r="H277" s="36" t="s">
        <v>167</v>
      </c>
    </row>
    <row r="278" spans="1:8">
      <c r="A278" s="36" t="s">
        <v>168</v>
      </c>
      <c r="B278">
        <v>2</v>
      </c>
      <c r="C278">
        <v>4</v>
      </c>
      <c r="D278">
        <v>14</v>
      </c>
      <c r="E278">
        <f>VLOOKUP(A278,Elements!$A$2:$B$435,2,0)</f>
        <v>133</v>
      </c>
      <c r="F278" t="str">
        <f t="shared" si="4"/>
        <v>4-14-133</v>
      </c>
      <c r="G278">
        <v>276</v>
      </c>
      <c r="H278" s="36" t="s">
        <v>168</v>
      </c>
    </row>
    <row r="279" spans="1:8">
      <c r="A279" s="36" t="s">
        <v>169</v>
      </c>
      <c r="B279">
        <v>2</v>
      </c>
      <c r="C279">
        <v>4</v>
      </c>
      <c r="D279">
        <v>14</v>
      </c>
      <c r="E279">
        <f>VLOOKUP(A279,Elements!$A$2:$B$435,2,0)</f>
        <v>134</v>
      </c>
      <c r="F279" t="str">
        <f t="shared" si="4"/>
        <v>4-14-134</v>
      </c>
      <c r="G279">
        <v>277</v>
      </c>
      <c r="H279" s="36" t="s">
        <v>169</v>
      </c>
    </row>
    <row r="280" spans="1:8">
      <c r="A280" s="36" t="s">
        <v>170</v>
      </c>
      <c r="B280">
        <v>2</v>
      </c>
      <c r="C280">
        <v>4</v>
      </c>
      <c r="D280">
        <v>14</v>
      </c>
      <c r="E280">
        <f>VLOOKUP(A280,Elements!$A$2:$B$435,2,0)</f>
        <v>135</v>
      </c>
      <c r="F280" t="str">
        <f t="shared" si="4"/>
        <v>4-14-135</v>
      </c>
      <c r="G280">
        <v>278</v>
      </c>
      <c r="H280" s="36" t="s">
        <v>170</v>
      </c>
    </row>
    <row r="281" spans="1:8">
      <c r="A281" s="36" t="s">
        <v>171</v>
      </c>
      <c r="B281">
        <v>2</v>
      </c>
      <c r="C281">
        <v>4</v>
      </c>
      <c r="D281">
        <v>14</v>
      </c>
      <c r="E281">
        <f>VLOOKUP(A281,Elements!$A$2:$B$435,2,0)</f>
        <v>136</v>
      </c>
      <c r="F281" t="str">
        <f t="shared" si="4"/>
        <v>4-14-136</v>
      </c>
      <c r="G281">
        <v>279</v>
      </c>
      <c r="H281" s="36" t="s">
        <v>171</v>
      </c>
    </row>
    <row r="282" spans="1:8">
      <c r="A282" s="36" t="s">
        <v>172</v>
      </c>
      <c r="B282">
        <v>2</v>
      </c>
      <c r="C282">
        <v>4</v>
      </c>
      <c r="D282">
        <v>14</v>
      </c>
      <c r="E282">
        <f>VLOOKUP(A282,Elements!$A$2:$B$435,2,0)</f>
        <v>137</v>
      </c>
      <c r="F282" t="str">
        <f t="shared" si="4"/>
        <v>4-14-137</v>
      </c>
      <c r="G282">
        <v>280</v>
      </c>
      <c r="H282" s="36" t="s">
        <v>172</v>
      </c>
    </row>
    <row r="283" spans="1:8">
      <c r="A283" s="36" t="s">
        <v>173</v>
      </c>
      <c r="B283">
        <v>2</v>
      </c>
      <c r="C283">
        <v>4</v>
      </c>
      <c r="D283">
        <v>14</v>
      </c>
      <c r="E283">
        <f>VLOOKUP(A283,Elements!$A$2:$B$435,2,0)</f>
        <v>138</v>
      </c>
      <c r="F283" t="str">
        <f t="shared" si="4"/>
        <v>4-14-138</v>
      </c>
      <c r="G283">
        <v>281</v>
      </c>
      <c r="H283" s="36" t="s">
        <v>173</v>
      </c>
    </row>
    <row r="284" spans="1:8">
      <c r="A284" s="36" t="s">
        <v>174</v>
      </c>
      <c r="B284">
        <v>2</v>
      </c>
      <c r="C284">
        <v>4</v>
      </c>
      <c r="D284">
        <v>14</v>
      </c>
      <c r="E284">
        <f>VLOOKUP(A284,Elements!$A$2:$B$435,2,0)</f>
        <v>139</v>
      </c>
      <c r="F284" t="str">
        <f t="shared" si="4"/>
        <v>4-14-139</v>
      </c>
      <c r="G284">
        <v>282</v>
      </c>
      <c r="H284" s="36" t="s">
        <v>174</v>
      </c>
    </row>
    <row r="285" spans="1:8">
      <c r="A285" s="36" t="s">
        <v>175</v>
      </c>
      <c r="B285">
        <v>2</v>
      </c>
      <c r="C285">
        <v>4</v>
      </c>
      <c r="D285">
        <v>14</v>
      </c>
      <c r="E285">
        <f>VLOOKUP(A285,Elements!$A$2:$B$435,2,0)</f>
        <v>140</v>
      </c>
      <c r="F285" t="str">
        <f t="shared" si="4"/>
        <v>4-14-140</v>
      </c>
      <c r="G285">
        <v>283</v>
      </c>
      <c r="H285" s="36" t="s">
        <v>175</v>
      </c>
    </row>
    <row r="286" spans="1:8">
      <c r="A286" s="36" t="s">
        <v>176</v>
      </c>
      <c r="B286">
        <v>2</v>
      </c>
      <c r="C286">
        <v>4</v>
      </c>
      <c r="D286">
        <v>14</v>
      </c>
      <c r="E286">
        <f>VLOOKUP(A286,Elements!$A$2:$B$435,2,0)</f>
        <v>141</v>
      </c>
      <c r="F286" t="str">
        <f t="shared" si="4"/>
        <v>4-14-141</v>
      </c>
      <c r="G286">
        <v>284</v>
      </c>
      <c r="H286" s="36" t="s">
        <v>176</v>
      </c>
    </row>
    <row r="287" spans="1:8">
      <c r="A287" s="36" t="s">
        <v>177</v>
      </c>
      <c r="B287">
        <v>2</v>
      </c>
      <c r="C287">
        <v>4</v>
      </c>
      <c r="D287">
        <v>14</v>
      </c>
      <c r="E287">
        <f>VLOOKUP(A287,Elements!$A$2:$B$435,2,0)</f>
        <v>142</v>
      </c>
      <c r="F287" t="str">
        <f t="shared" si="4"/>
        <v>4-14-142</v>
      </c>
      <c r="G287">
        <v>285</v>
      </c>
      <c r="H287" s="36" t="s">
        <v>177</v>
      </c>
    </row>
    <row r="288" spans="1:8">
      <c r="A288" s="36" t="s">
        <v>178</v>
      </c>
      <c r="B288">
        <v>2</v>
      </c>
      <c r="C288">
        <v>4</v>
      </c>
      <c r="D288">
        <v>14</v>
      </c>
      <c r="E288">
        <f>VLOOKUP(A288,Elements!$A$2:$B$435,2,0)</f>
        <v>143</v>
      </c>
      <c r="F288" t="str">
        <f t="shared" si="4"/>
        <v>4-14-143</v>
      </c>
      <c r="G288">
        <v>286</v>
      </c>
      <c r="H288" s="36" t="s">
        <v>178</v>
      </c>
    </row>
    <row r="289" spans="1:8">
      <c r="A289" s="36" t="s">
        <v>179</v>
      </c>
      <c r="B289">
        <v>2</v>
      </c>
      <c r="C289">
        <v>4</v>
      </c>
      <c r="D289">
        <v>14</v>
      </c>
      <c r="E289">
        <f>VLOOKUP(A289,Elements!$A$2:$B$435,2,0)</f>
        <v>144</v>
      </c>
      <c r="F289" t="str">
        <f t="shared" si="4"/>
        <v>4-14-144</v>
      </c>
      <c r="G289">
        <v>287</v>
      </c>
      <c r="H289" s="36" t="s">
        <v>179</v>
      </c>
    </row>
    <row r="290" spans="1:8">
      <c r="A290" s="36" t="s">
        <v>180</v>
      </c>
      <c r="B290">
        <v>2</v>
      </c>
      <c r="C290">
        <v>4</v>
      </c>
      <c r="D290">
        <v>14</v>
      </c>
      <c r="E290">
        <f>VLOOKUP(A290,Elements!$A$2:$B$435,2,0)</f>
        <v>145</v>
      </c>
      <c r="F290" t="str">
        <f t="shared" si="4"/>
        <v>4-14-145</v>
      </c>
      <c r="G290">
        <v>288</v>
      </c>
      <c r="H290" s="36" t="s">
        <v>180</v>
      </c>
    </row>
    <row r="291" spans="1:8">
      <c r="A291" s="36" t="s">
        <v>181</v>
      </c>
      <c r="B291">
        <v>2</v>
      </c>
      <c r="C291">
        <v>4</v>
      </c>
      <c r="D291">
        <v>14</v>
      </c>
      <c r="E291">
        <f>VLOOKUP(A291,Elements!$A$2:$B$435,2,0)</f>
        <v>146</v>
      </c>
      <c r="F291" t="str">
        <f t="shared" si="4"/>
        <v>4-14-146</v>
      </c>
      <c r="G291">
        <v>289</v>
      </c>
      <c r="H291" s="36" t="s">
        <v>181</v>
      </c>
    </row>
    <row r="292" spans="1:8">
      <c r="A292" s="36" t="s">
        <v>183</v>
      </c>
      <c r="B292">
        <v>2</v>
      </c>
      <c r="C292">
        <v>4</v>
      </c>
      <c r="D292">
        <v>15</v>
      </c>
      <c r="E292">
        <f>VLOOKUP(A292,Elements!$A$2:$B$435,2,0)</f>
        <v>147</v>
      </c>
      <c r="F292" t="str">
        <f t="shared" si="4"/>
        <v>4-15-147</v>
      </c>
      <c r="G292">
        <v>290</v>
      </c>
      <c r="H292" s="36" t="s">
        <v>183</v>
      </c>
    </row>
    <row r="293" spans="1:8">
      <c r="A293" s="36" t="s">
        <v>184</v>
      </c>
      <c r="B293">
        <v>2</v>
      </c>
      <c r="C293">
        <v>4</v>
      </c>
      <c r="D293">
        <v>15</v>
      </c>
      <c r="E293">
        <f>VLOOKUP(A293,Elements!$A$2:$B$435,2,0)</f>
        <v>148</v>
      </c>
      <c r="F293" t="str">
        <f t="shared" si="4"/>
        <v>4-15-148</v>
      </c>
      <c r="G293">
        <v>291</v>
      </c>
      <c r="H293" s="36" t="s">
        <v>184</v>
      </c>
    </row>
    <row r="294" spans="1:8">
      <c r="A294" s="36" t="s">
        <v>150</v>
      </c>
      <c r="B294">
        <v>2</v>
      </c>
      <c r="C294">
        <v>4</v>
      </c>
      <c r="D294">
        <v>15</v>
      </c>
      <c r="E294">
        <f>VLOOKUP(A294,Elements!$A$2:$B$435,2,0)</f>
        <v>115</v>
      </c>
      <c r="F294" t="str">
        <f t="shared" si="4"/>
        <v>4-15-115</v>
      </c>
      <c r="G294">
        <v>292</v>
      </c>
      <c r="H294" s="36" t="s">
        <v>150</v>
      </c>
    </row>
    <row r="295" spans="1:8">
      <c r="A295" s="36" t="s">
        <v>185</v>
      </c>
      <c r="B295">
        <v>2</v>
      </c>
      <c r="C295">
        <v>4</v>
      </c>
      <c r="D295">
        <v>15</v>
      </c>
      <c r="E295">
        <f>VLOOKUP(A295,Elements!$A$2:$B$435,2,0)</f>
        <v>149</v>
      </c>
      <c r="F295" t="str">
        <f t="shared" si="4"/>
        <v>4-15-149</v>
      </c>
      <c r="G295">
        <v>293</v>
      </c>
      <c r="H295" s="36" t="s">
        <v>185</v>
      </c>
    </row>
    <row r="296" spans="1:8">
      <c r="A296" s="36" t="s">
        <v>186</v>
      </c>
      <c r="B296">
        <v>2</v>
      </c>
      <c r="C296">
        <v>4</v>
      </c>
      <c r="D296">
        <v>15</v>
      </c>
      <c r="E296">
        <f>VLOOKUP(A296,Elements!$A$2:$B$435,2,0)</f>
        <v>150</v>
      </c>
      <c r="F296" t="str">
        <f t="shared" si="4"/>
        <v>4-15-150</v>
      </c>
      <c r="G296">
        <v>294</v>
      </c>
      <c r="H296" s="36" t="s">
        <v>186</v>
      </c>
    </row>
    <row r="297" spans="1:8">
      <c r="A297" s="36" t="s">
        <v>187</v>
      </c>
      <c r="B297">
        <v>2</v>
      </c>
      <c r="C297">
        <v>4</v>
      </c>
      <c r="D297">
        <v>15</v>
      </c>
      <c r="E297">
        <f>VLOOKUP(A297,Elements!$A$2:$B$435,2,0)</f>
        <v>151</v>
      </c>
      <c r="F297" t="str">
        <f t="shared" si="4"/>
        <v>4-15-151</v>
      </c>
      <c r="G297">
        <v>295</v>
      </c>
      <c r="H297" s="36" t="s">
        <v>187</v>
      </c>
    </row>
    <row r="298" spans="1:8">
      <c r="A298" s="36" t="s">
        <v>188</v>
      </c>
      <c r="B298">
        <v>2</v>
      </c>
      <c r="C298">
        <v>4</v>
      </c>
      <c r="D298">
        <v>15</v>
      </c>
      <c r="E298">
        <f>VLOOKUP(A298,Elements!$A$2:$B$435,2,0)</f>
        <v>152</v>
      </c>
      <c r="F298" t="str">
        <f t="shared" si="4"/>
        <v>4-15-152</v>
      </c>
      <c r="G298">
        <v>296</v>
      </c>
      <c r="H298" s="36" t="s">
        <v>188</v>
      </c>
    </row>
    <row r="299" spans="1:8">
      <c r="A299" s="36" t="s">
        <v>189</v>
      </c>
      <c r="B299">
        <v>2</v>
      </c>
      <c r="C299">
        <v>4</v>
      </c>
      <c r="D299">
        <v>15</v>
      </c>
      <c r="E299">
        <f>VLOOKUP(A299,Elements!$A$2:$B$435,2,0)</f>
        <v>153</v>
      </c>
      <c r="F299" t="str">
        <f t="shared" si="4"/>
        <v>4-15-153</v>
      </c>
      <c r="G299">
        <v>297</v>
      </c>
      <c r="H299" s="36" t="s">
        <v>189</v>
      </c>
    </row>
    <row r="300" spans="1:8">
      <c r="A300" s="36" t="s">
        <v>190</v>
      </c>
      <c r="B300">
        <v>2</v>
      </c>
      <c r="C300">
        <v>4</v>
      </c>
      <c r="D300">
        <v>15</v>
      </c>
      <c r="E300">
        <f>VLOOKUP(A300,Elements!$A$2:$B$435,2,0)</f>
        <v>154</v>
      </c>
      <c r="F300" t="str">
        <f t="shared" si="4"/>
        <v>4-15-154</v>
      </c>
      <c r="G300">
        <v>298</v>
      </c>
      <c r="H300" s="36" t="s">
        <v>190</v>
      </c>
    </row>
    <row r="301" spans="1:8">
      <c r="A301" s="36" t="s">
        <v>191</v>
      </c>
      <c r="B301">
        <v>2</v>
      </c>
      <c r="C301">
        <v>4</v>
      </c>
      <c r="D301">
        <v>15</v>
      </c>
      <c r="E301">
        <f>VLOOKUP(A301,Elements!$A$2:$B$435,2,0)</f>
        <v>155</v>
      </c>
      <c r="F301" t="str">
        <f t="shared" si="4"/>
        <v>4-15-155</v>
      </c>
      <c r="G301">
        <v>299</v>
      </c>
      <c r="H301" s="36" t="s">
        <v>191</v>
      </c>
    </row>
    <row r="302" spans="1:8">
      <c r="A302" s="36" t="s">
        <v>192</v>
      </c>
      <c r="B302">
        <v>2</v>
      </c>
      <c r="C302">
        <v>4</v>
      </c>
      <c r="D302">
        <v>15</v>
      </c>
      <c r="E302">
        <f>VLOOKUP(A302,Elements!$A$2:$B$435,2,0)</f>
        <v>156</v>
      </c>
      <c r="F302" t="str">
        <f t="shared" si="4"/>
        <v>4-15-156</v>
      </c>
      <c r="G302">
        <v>300</v>
      </c>
      <c r="H302" s="36" t="s">
        <v>192</v>
      </c>
    </row>
    <row r="303" spans="1:8">
      <c r="A303" s="36" t="s">
        <v>193</v>
      </c>
      <c r="B303">
        <v>2</v>
      </c>
      <c r="C303">
        <v>4</v>
      </c>
      <c r="D303">
        <v>15</v>
      </c>
      <c r="E303">
        <f>VLOOKUP(A303,Elements!$A$2:$B$435,2,0)</f>
        <v>157</v>
      </c>
      <c r="F303" t="str">
        <f t="shared" si="4"/>
        <v>4-15-157</v>
      </c>
      <c r="G303">
        <v>301</v>
      </c>
      <c r="H303" s="36" t="s">
        <v>193</v>
      </c>
    </row>
    <row r="304" spans="1:8">
      <c r="A304" s="36" t="s">
        <v>194</v>
      </c>
      <c r="B304">
        <v>2</v>
      </c>
      <c r="C304">
        <v>4</v>
      </c>
      <c r="D304">
        <v>15</v>
      </c>
      <c r="E304">
        <f>VLOOKUP(A304,Elements!$A$2:$B$435,2,0)</f>
        <v>158</v>
      </c>
      <c r="F304" t="str">
        <f t="shared" si="4"/>
        <v>4-15-158</v>
      </c>
      <c r="G304">
        <v>302</v>
      </c>
      <c r="H304" s="36" t="s">
        <v>194</v>
      </c>
    </row>
    <row r="305" spans="1:8">
      <c r="A305" s="36" t="s">
        <v>195</v>
      </c>
      <c r="B305">
        <v>2</v>
      </c>
      <c r="C305">
        <v>4</v>
      </c>
      <c r="D305">
        <v>15</v>
      </c>
      <c r="E305">
        <f>VLOOKUP(A305,Elements!$A$2:$B$435,2,0)</f>
        <v>159</v>
      </c>
      <c r="F305" t="str">
        <f t="shared" si="4"/>
        <v>4-15-159</v>
      </c>
      <c r="G305">
        <v>303</v>
      </c>
      <c r="H305" s="36" t="s">
        <v>195</v>
      </c>
    </row>
    <row r="306" spans="1:8">
      <c r="A306" s="36" t="s">
        <v>196</v>
      </c>
      <c r="B306">
        <v>2</v>
      </c>
      <c r="C306">
        <v>4</v>
      </c>
      <c r="D306">
        <v>15</v>
      </c>
      <c r="E306">
        <f>VLOOKUP(A306,Elements!$A$2:$B$435,2,0)</f>
        <v>160</v>
      </c>
      <c r="F306" t="str">
        <f t="shared" si="4"/>
        <v>4-15-160</v>
      </c>
      <c r="G306">
        <v>304</v>
      </c>
      <c r="H306" s="36" t="s">
        <v>196</v>
      </c>
    </row>
    <row r="307" spans="1:8">
      <c r="A307" s="36" t="s">
        <v>135</v>
      </c>
      <c r="B307">
        <v>2</v>
      </c>
      <c r="C307">
        <v>4</v>
      </c>
      <c r="D307">
        <v>15</v>
      </c>
      <c r="E307">
        <f>VLOOKUP(A307,Elements!$A$2:$B$435,2,0)</f>
        <v>101</v>
      </c>
      <c r="F307" t="str">
        <f t="shared" si="4"/>
        <v>4-15-101</v>
      </c>
      <c r="G307">
        <v>305</v>
      </c>
      <c r="H307" s="36" t="s">
        <v>135</v>
      </c>
    </row>
    <row r="308" spans="1:8">
      <c r="A308" t="s">
        <v>399</v>
      </c>
      <c r="B308">
        <v>2</v>
      </c>
      <c r="C308">
        <v>4</v>
      </c>
      <c r="D308">
        <v>15</v>
      </c>
      <c r="E308">
        <f>VLOOKUP(A308,Elements!$A$2:$B$435,2,0)</f>
        <v>161</v>
      </c>
      <c r="F308" t="str">
        <f t="shared" si="4"/>
        <v>4-15-161</v>
      </c>
      <c r="G308">
        <v>306</v>
      </c>
      <c r="H308" t="s">
        <v>399</v>
      </c>
    </row>
    <row r="309" spans="1:8">
      <c r="A309" s="36" t="s">
        <v>198</v>
      </c>
      <c r="B309">
        <v>2</v>
      </c>
      <c r="C309">
        <v>4</v>
      </c>
      <c r="D309">
        <v>15</v>
      </c>
      <c r="E309">
        <f>VLOOKUP(A309,Elements!$A$2:$B$435,2,0)</f>
        <v>162</v>
      </c>
      <c r="F309" t="str">
        <f t="shared" si="4"/>
        <v>4-15-162</v>
      </c>
      <c r="G309">
        <v>307</v>
      </c>
      <c r="H309" s="36" t="s">
        <v>198</v>
      </c>
    </row>
    <row r="310" spans="1:8">
      <c r="A310" s="36" t="s">
        <v>199</v>
      </c>
      <c r="B310">
        <v>2</v>
      </c>
      <c r="C310">
        <v>4</v>
      </c>
      <c r="D310">
        <v>15</v>
      </c>
      <c r="E310">
        <f>VLOOKUP(A310,Elements!$A$2:$B$435,2,0)</f>
        <v>163</v>
      </c>
      <c r="F310" t="str">
        <f t="shared" si="4"/>
        <v>4-15-163</v>
      </c>
      <c r="G310">
        <v>308</v>
      </c>
      <c r="H310" s="36" t="s">
        <v>199</v>
      </c>
    </row>
    <row r="311" spans="1:8">
      <c r="A311" s="36" t="s">
        <v>200</v>
      </c>
      <c r="B311">
        <v>2</v>
      </c>
      <c r="C311">
        <v>4</v>
      </c>
      <c r="D311">
        <v>15</v>
      </c>
      <c r="E311">
        <f>VLOOKUP(A311,Elements!$A$2:$B$435,2,0)</f>
        <v>164</v>
      </c>
      <c r="F311" t="str">
        <f t="shared" si="4"/>
        <v>4-15-164</v>
      </c>
      <c r="G311">
        <v>309</v>
      </c>
      <c r="H311" s="36" t="s">
        <v>200</v>
      </c>
    </row>
    <row r="312" spans="1:8">
      <c r="A312" s="36" t="s">
        <v>148</v>
      </c>
      <c r="B312">
        <v>2</v>
      </c>
      <c r="C312">
        <v>4</v>
      </c>
      <c r="D312">
        <v>15</v>
      </c>
      <c r="E312">
        <f>VLOOKUP(A312,Elements!$A$2:$B$435,2,0)</f>
        <v>113</v>
      </c>
      <c r="F312" t="str">
        <f t="shared" si="4"/>
        <v>4-15-113</v>
      </c>
      <c r="G312">
        <v>310</v>
      </c>
      <c r="H312" s="36" t="s">
        <v>148</v>
      </c>
    </row>
    <row r="313" spans="1:8">
      <c r="A313" s="36" t="s">
        <v>168</v>
      </c>
      <c r="B313">
        <v>2</v>
      </c>
      <c r="C313">
        <v>4</v>
      </c>
      <c r="D313">
        <v>15</v>
      </c>
      <c r="E313">
        <f>VLOOKUP(A313,Elements!$A$2:$B$435,2,0)</f>
        <v>133</v>
      </c>
      <c r="F313" t="str">
        <f t="shared" si="4"/>
        <v>4-15-133</v>
      </c>
      <c r="G313">
        <v>311</v>
      </c>
      <c r="H313" s="36" t="s">
        <v>168</v>
      </c>
    </row>
    <row r="314" spans="1:8">
      <c r="A314" s="36" t="s">
        <v>201</v>
      </c>
      <c r="B314">
        <v>2</v>
      </c>
      <c r="C314">
        <v>4</v>
      </c>
      <c r="D314">
        <v>15</v>
      </c>
      <c r="E314">
        <f>VLOOKUP(A314,Elements!$A$2:$B$435,2,0)</f>
        <v>165</v>
      </c>
      <c r="F314" t="str">
        <f t="shared" si="4"/>
        <v>4-15-165</v>
      </c>
      <c r="G314">
        <v>312</v>
      </c>
      <c r="H314" s="36" t="s">
        <v>201</v>
      </c>
    </row>
    <row r="315" spans="1:8">
      <c r="A315" s="36" t="s">
        <v>202</v>
      </c>
      <c r="B315">
        <v>2</v>
      </c>
      <c r="C315">
        <v>4</v>
      </c>
      <c r="D315">
        <v>15</v>
      </c>
      <c r="E315">
        <f>VLOOKUP(A315,Elements!$A$2:$B$435,2,0)</f>
        <v>166</v>
      </c>
      <c r="F315" t="str">
        <f t="shared" si="4"/>
        <v>4-15-166</v>
      </c>
      <c r="G315">
        <v>313</v>
      </c>
      <c r="H315" s="36" t="s">
        <v>202</v>
      </c>
    </row>
    <row r="316" spans="1:8">
      <c r="A316" s="36" t="s">
        <v>203</v>
      </c>
      <c r="B316">
        <v>2</v>
      </c>
      <c r="C316">
        <v>4</v>
      </c>
      <c r="D316">
        <v>15</v>
      </c>
      <c r="E316">
        <f>VLOOKUP(A316,Elements!$A$2:$B$435,2,0)</f>
        <v>167</v>
      </c>
      <c r="F316" t="str">
        <f t="shared" si="4"/>
        <v>4-15-167</v>
      </c>
      <c r="G316">
        <v>314</v>
      </c>
      <c r="H316" s="36" t="s">
        <v>203</v>
      </c>
    </row>
    <row r="317" spans="1:8">
      <c r="A317" s="36" t="s">
        <v>204</v>
      </c>
      <c r="B317">
        <v>2</v>
      </c>
      <c r="C317">
        <v>4</v>
      </c>
      <c r="D317">
        <v>15</v>
      </c>
      <c r="E317">
        <f>VLOOKUP(A317,Elements!$A$2:$B$435,2,0)</f>
        <v>168</v>
      </c>
      <c r="F317" t="str">
        <f t="shared" si="4"/>
        <v>4-15-168</v>
      </c>
      <c r="G317">
        <v>315</v>
      </c>
      <c r="H317" s="36" t="s">
        <v>204</v>
      </c>
    </row>
    <row r="318" spans="1:8">
      <c r="A318" s="36" t="s">
        <v>205</v>
      </c>
      <c r="B318">
        <v>2</v>
      </c>
      <c r="C318">
        <v>4</v>
      </c>
      <c r="D318">
        <v>15</v>
      </c>
      <c r="E318">
        <f>VLOOKUP(A318,Elements!$A$2:$B$435,2,0)</f>
        <v>169</v>
      </c>
      <c r="F318" t="str">
        <f t="shared" si="4"/>
        <v>4-15-169</v>
      </c>
      <c r="G318">
        <v>316</v>
      </c>
      <c r="H318" s="36" t="s">
        <v>205</v>
      </c>
    </row>
    <row r="319" spans="1:8">
      <c r="A319" s="36" t="s">
        <v>206</v>
      </c>
      <c r="B319">
        <v>2</v>
      </c>
      <c r="C319">
        <v>4</v>
      </c>
      <c r="D319">
        <v>15</v>
      </c>
      <c r="E319">
        <f>VLOOKUP(A319,Elements!$A$2:$B$435,2,0)</f>
        <v>170</v>
      </c>
      <c r="F319" t="str">
        <f t="shared" si="4"/>
        <v>4-15-170</v>
      </c>
      <c r="G319">
        <v>317</v>
      </c>
      <c r="H319" s="36" t="s">
        <v>206</v>
      </c>
    </row>
    <row r="320" spans="1:8">
      <c r="A320" s="36" t="s">
        <v>207</v>
      </c>
      <c r="B320">
        <v>2</v>
      </c>
      <c r="C320">
        <v>4</v>
      </c>
      <c r="D320">
        <v>15</v>
      </c>
      <c r="E320">
        <f>VLOOKUP(A320,Elements!$A$2:$B$435,2,0)</f>
        <v>171</v>
      </c>
      <c r="F320" t="str">
        <f t="shared" si="4"/>
        <v>4-15-171</v>
      </c>
      <c r="G320">
        <v>318</v>
      </c>
      <c r="H320" s="36" t="s">
        <v>207</v>
      </c>
    </row>
    <row r="321" spans="1:8">
      <c r="A321" s="36" t="s">
        <v>209</v>
      </c>
      <c r="B321">
        <v>2</v>
      </c>
      <c r="C321">
        <v>4</v>
      </c>
      <c r="D321">
        <v>15</v>
      </c>
      <c r="E321">
        <f>VLOOKUP(A321,Elements!$A$2:$B$435,2,0)</f>
        <v>172</v>
      </c>
      <c r="F321" t="str">
        <f t="shared" si="4"/>
        <v>4-15-172</v>
      </c>
      <c r="G321">
        <v>319</v>
      </c>
      <c r="H321" s="36" t="s">
        <v>209</v>
      </c>
    </row>
    <row r="322" spans="1:8">
      <c r="A322" s="36" t="s">
        <v>210</v>
      </c>
      <c r="B322">
        <v>2</v>
      </c>
      <c r="C322">
        <v>4</v>
      </c>
      <c r="D322">
        <v>15</v>
      </c>
      <c r="E322">
        <f>VLOOKUP(A322,Elements!$A$2:$B$435,2,0)</f>
        <v>173</v>
      </c>
      <c r="F322" t="str">
        <f t="shared" si="4"/>
        <v>4-15-173</v>
      </c>
      <c r="G322">
        <v>320</v>
      </c>
      <c r="H322" s="36" t="s">
        <v>210</v>
      </c>
    </row>
    <row r="323" spans="1:8">
      <c r="A323" s="36" t="s">
        <v>211</v>
      </c>
      <c r="B323">
        <v>2</v>
      </c>
      <c r="C323">
        <v>4</v>
      </c>
      <c r="D323">
        <v>15</v>
      </c>
      <c r="E323">
        <f>VLOOKUP(A323,Elements!$A$2:$B$435,2,0)</f>
        <v>174</v>
      </c>
      <c r="F323" t="str">
        <f t="shared" ref="F323:F386" si="5">_xlfn.CONCAT(C323,"-",D323,"-",E323)</f>
        <v>4-15-174</v>
      </c>
      <c r="G323">
        <v>321</v>
      </c>
      <c r="H323" s="36" t="s">
        <v>211</v>
      </c>
    </row>
    <row r="324" spans="1:8">
      <c r="A324" s="36" t="s">
        <v>213</v>
      </c>
      <c r="B324">
        <v>2</v>
      </c>
      <c r="C324">
        <v>4</v>
      </c>
      <c r="D324">
        <v>15</v>
      </c>
      <c r="E324">
        <f>VLOOKUP(A324,Elements!$A$2:$B$435,2,0)</f>
        <v>175</v>
      </c>
      <c r="F324" t="str">
        <f t="shared" si="5"/>
        <v>4-15-175</v>
      </c>
      <c r="G324">
        <v>322</v>
      </c>
      <c r="H324" s="36" t="s">
        <v>213</v>
      </c>
    </row>
    <row r="325" spans="1:8">
      <c r="A325" s="36" t="s">
        <v>214</v>
      </c>
      <c r="B325">
        <v>2</v>
      </c>
      <c r="C325">
        <v>4</v>
      </c>
      <c r="D325">
        <v>15</v>
      </c>
      <c r="E325">
        <f>VLOOKUP(A325,Elements!$A$2:$B$435,2,0)</f>
        <v>176</v>
      </c>
      <c r="F325" t="str">
        <f t="shared" si="5"/>
        <v>4-15-176</v>
      </c>
      <c r="G325">
        <v>323</v>
      </c>
      <c r="H325" s="36" t="s">
        <v>214</v>
      </c>
    </row>
    <row r="326" spans="1:8">
      <c r="A326" s="36" t="s">
        <v>216</v>
      </c>
      <c r="B326">
        <v>2</v>
      </c>
      <c r="C326">
        <v>4</v>
      </c>
      <c r="D326">
        <v>15</v>
      </c>
      <c r="E326">
        <f>VLOOKUP(A326,Elements!$A$2:$B$435,2,0)</f>
        <v>177</v>
      </c>
      <c r="F326" t="str">
        <f t="shared" si="5"/>
        <v>4-15-177</v>
      </c>
      <c r="G326">
        <v>324</v>
      </c>
      <c r="H326" s="36" t="s">
        <v>216</v>
      </c>
    </row>
    <row r="327" spans="1:8">
      <c r="A327" s="36" t="s">
        <v>217</v>
      </c>
      <c r="B327">
        <v>2</v>
      </c>
      <c r="C327">
        <v>4</v>
      </c>
      <c r="D327">
        <v>15</v>
      </c>
      <c r="E327">
        <f>VLOOKUP(A327,Elements!$A$2:$B$435,2,0)</f>
        <v>178</v>
      </c>
      <c r="F327" t="str">
        <f t="shared" si="5"/>
        <v>4-15-178</v>
      </c>
      <c r="G327">
        <v>325</v>
      </c>
      <c r="H327" s="36" t="s">
        <v>217</v>
      </c>
    </row>
    <row r="328" spans="1:8">
      <c r="A328" s="36" t="s">
        <v>218</v>
      </c>
      <c r="B328">
        <v>2</v>
      </c>
      <c r="C328">
        <v>4</v>
      </c>
      <c r="D328">
        <v>15</v>
      </c>
      <c r="E328">
        <f>VLOOKUP(A328,Elements!$A$2:$B$435,2,0)</f>
        <v>179</v>
      </c>
      <c r="F328" t="str">
        <f t="shared" si="5"/>
        <v>4-15-179</v>
      </c>
      <c r="G328">
        <v>326</v>
      </c>
      <c r="H328" s="36" t="s">
        <v>218</v>
      </c>
    </row>
    <row r="329" spans="1:8">
      <c r="A329" s="36" t="s">
        <v>219</v>
      </c>
      <c r="B329">
        <v>2</v>
      </c>
      <c r="C329">
        <v>4</v>
      </c>
      <c r="D329">
        <v>15</v>
      </c>
      <c r="E329">
        <f>VLOOKUP(A329,Elements!$A$2:$B$435,2,0)</f>
        <v>180</v>
      </c>
      <c r="F329" t="str">
        <f t="shared" si="5"/>
        <v>4-15-180</v>
      </c>
      <c r="G329">
        <v>327</v>
      </c>
      <c r="H329" s="36" t="s">
        <v>219</v>
      </c>
    </row>
    <row r="330" spans="1:8">
      <c r="A330" s="36" t="s">
        <v>220</v>
      </c>
      <c r="B330">
        <v>2</v>
      </c>
      <c r="C330">
        <v>4</v>
      </c>
      <c r="D330">
        <v>15</v>
      </c>
      <c r="E330">
        <f>VLOOKUP(A330,Elements!$A$2:$B$435,2,0)</f>
        <v>181</v>
      </c>
      <c r="F330" t="str">
        <f t="shared" si="5"/>
        <v>4-15-181</v>
      </c>
      <c r="G330">
        <v>328</v>
      </c>
      <c r="H330" s="36" t="s">
        <v>220</v>
      </c>
    </row>
    <row r="331" spans="1:8">
      <c r="A331" s="36" t="s">
        <v>221</v>
      </c>
      <c r="B331">
        <v>2</v>
      </c>
      <c r="C331">
        <v>4</v>
      </c>
      <c r="D331">
        <v>15</v>
      </c>
      <c r="E331">
        <f>VLOOKUP(A331,Elements!$A$2:$B$435,2,0)</f>
        <v>182</v>
      </c>
      <c r="F331" t="str">
        <f t="shared" si="5"/>
        <v>4-15-182</v>
      </c>
      <c r="G331">
        <v>329</v>
      </c>
      <c r="H331" s="36" t="s">
        <v>221</v>
      </c>
    </row>
    <row r="332" spans="1:8">
      <c r="A332" s="36" t="s">
        <v>222</v>
      </c>
      <c r="B332">
        <v>2</v>
      </c>
      <c r="C332">
        <v>4</v>
      </c>
      <c r="D332">
        <v>15</v>
      </c>
      <c r="E332">
        <f>VLOOKUP(A332,Elements!$A$2:$B$435,2,0)</f>
        <v>183</v>
      </c>
      <c r="F332" t="str">
        <f t="shared" si="5"/>
        <v>4-15-183</v>
      </c>
      <c r="G332">
        <v>330</v>
      </c>
      <c r="H332" s="36" t="s">
        <v>222</v>
      </c>
    </row>
    <row r="333" spans="1:8">
      <c r="A333" s="36" t="s">
        <v>223</v>
      </c>
      <c r="B333">
        <v>2</v>
      </c>
      <c r="C333">
        <v>4</v>
      </c>
      <c r="D333">
        <v>15</v>
      </c>
      <c r="E333">
        <f>VLOOKUP(A333,Elements!$A$2:$B$435,2,0)</f>
        <v>184</v>
      </c>
      <c r="F333" t="str">
        <f t="shared" si="5"/>
        <v>4-15-184</v>
      </c>
      <c r="G333">
        <v>331</v>
      </c>
      <c r="H333" s="36" t="s">
        <v>223</v>
      </c>
    </row>
    <row r="334" spans="1:8">
      <c r="A334" s="36" t="s">
        <v>224</v>
      </c>
      <c r="B334">
        <v>2</v>
      </c>
      <c r="C334">
        <v>4</v>
      </c>
      <c r="D334">
        <v>15</v>
      </c>
      <c r="E334">
        <f>VLOOKUP(A334,Elements!$A$2:$B$435,2,0)</f>
        <v>185</v>
      </c>
      <c r="F334" t="str">
        <f t="shared" si="5"/>
        <v>4-15-185</v>
      </c>
      <c r="G334">
        <v>332</v>
      </c>
      <c r="H334" s="36" t="s">
        <v>224</v>
      </c>
    </row>
    <row r="335" spans="1:8">
      <c r="A335" s="36" t="s">
        <v>225</v>
      </c>
      <c r="B335">
        <v>2</v>
      </c>
      <c r="C335">
        <v>4</v>
      </c>
      <c r="D335">
        <v>15</v>
      </c>
      <c r="E335">
        <f>VLOOKUP(A335,Elements!$A$2:$B$435,2,0)</f>
        <v>186</v>
      </c>
      <c r="F335" t="str">
        <f t="shared" si="5"/>
        <v>4-15-186</v>
      </c>
      <c r="G335">
        <v>333</v>
      </c>
      <c r="H335" s="36" t="s">
        <v>225</v>
      </c>
    </row>
    <row r="336" spans="1:8">
      <c r="A336" s="36" t="s">
        <v>226</v>
      </c>
      <c r="B336">
        <v>2</v>
      </c>
      <c r="C336">
        <v>4</v>
      </c>
      <c r="D336">
        <v>16</v>
      </c>
      <c r="E336">
        <f>VLOOKUP(A336,Elements!$A$2:$B$435,2,0)</f>
        <v>187</v>
      </c>
      <c r="F336" t="str">
        <f t="shared" si="5"/>
        <v>4-16-187</v>
      </c>
      <c r="G336">
        <v>334</v>
      </c>
      <c r="H336" s="36" t="s">
        <v>226</v>
      </c>
    </row>
    <row r="337" spans="1:8">
      <c r="A337" s="36" t="s">
        <v>227</v>
      </c>
      <c r="B337">
        <v>2</v>
      </c>
      <c r="C337">
        <v>4</v>
      </c>
      <c r="D337">
        <v>16</v>
      </c>
      <c r="E337">
        <f>VLOOKUP(A337,Elements!$A$2:$B$435,2,0)</f>
        <v>188</v>
      </c>
      <c r="F337" t="str">
        <f t="shared" si="5"/>
        <v>4-16-188</v>
      </c>
      <c r="G337">
        <v>335</v>
      </c>
      <c r="H337" s="36" t="s">
        <v>227</v>
      </c>
    </row>
    <row r="338" spans="1:8">
      <c r="A338" s="36" t="s">
        <v>228</v>
      </c>
      <c r="B338">
        <v>2</v>
      </c>
      <c r="C338">
        <v>4</v>
      </c>
      <c r="D338">
        <v>16</v>
      </c>
      <c r="E338">
        <f>VLOOKUP(A338,Elements!$A$2:$B$435,2,0)</f>
        <v>189</v>
      </c>
      <c r="F338" t="str">
        <f t="shared" si="5"/>
        <v>4-16-189</v>
      </c>
      <c r="G338">
        <v>336</v>
      </c>
      <c r="H338" s="36" t="s">
        <v>228</v>
      </c>
    </row>
    <row r="339" spans="1:8">
      <c r="A339" s="36" t="s">
        <v>229</v>
      </c>
      <c r="B339">
        <v>2</v>
      </c>
      <c r="C339">
        <v>4</v>
      </c>
      <c r="D339">
        <v>16</v>
      </c>
      <c r="E339">
        <f>VLOOKUP(A339,Elements!$A$2:$B$435,2,0)</f>
        <v>190</v>
      </c>
      <c r="F339" t="str">
        <f t="shared" si="5"/>
        <v>4-16-190</v>
      </c>
      <c r="G339">
        <v>337</v>
      </c>
      <c r="H339" s="36" t="s">
        <v>229</v>
      </c>
    </row>
    <row r="340" spans="1:8">
      <c r="A340" s="36" t="s">
        <v>230</v>
      </c>
      <c r="B340">
        <v>2</v>
      </c>
      <c r="C340">
        <v>4</v>
      </c>
      <c r="D340">
        <v>16</v>
      </c>
      <c r="E340">
        <f>VLOOKUP(A340,Elements!$A$2:$B$435,2,0)</f>
        <v>191</v>
      </c>
      <c r="F340" t="str">
        <f t="shared" si="5"/>
        <v>4-16-191</v>
      </c>
      <c r="G340">
        <v>338</v>
      </c>
      <c r="H340" s="36" t="s">
        <v>230</v>
      </c>
    </row>
    <row r="341" spans="1:8">
      <c r="A341" s="36" t="s">
        <v>231</v>
      </c>
      <c r="B341">
        <v>2</v>
      </c>
      <c r="C341">
        <v>4</v>
      </c>
      <c r="D341">
        <v>16</v>
      </c>
      <c r="E341">
        <f>VLOOKUP(A341,Elements!$A$2:$B$435,2,0)</f>
        <v>192</v>
      </c>
      <c r="F341" t="str">
        <f t="shared" si="5"/>
        <v>4-16-192</v>
      </c>
      <c r="G341">
        <v>339</v>
      </c>
      <c r="H341" s="36" t="s">
        <v>231</v>
      </c>
    </row>
    <row r="342" spans="1:8">
      <c r="A342" s="36" t="s">
        <v>232</v>
      </c>
      <c r="B342">
        <v>2</v>
      </c>
      <c r="C342">
        <v>4</v>
      </c>
      <c r="D342">
        <v>16</v>
      </c>
      <c r="E342">
        <f>VLOOKUP(A342,Elements!$A$2:$B$435,2,0)</f>
        <v>193</v>
      </c>
      <c r="F342" t="str">
        <f t="shared" si="5"/>
        <v>4-16-193</v>
      </c>
      <c r="G342">
        <v>340</v>
      </c>
      <c r="H342" s="36" t="s">
        <v>232</v>
      </c>
    </row>
    <row r="343" spans="1:8">
      <c r="A343" s="36" t="s">
        <v>233</v>
      </c>
      <c r="B343">
        <v>2</v>
      </c>
      <c r="C343">
        <v>4</v>
      </c>
      <c r="D343">
        <v>16</v>
      </c>
      <c r="E343">
        <f>VLOOKUP(A343,Elements!$A$2:$B$435,2,0)</f>
        <v>194</v>
      </c>
      <c r="F343" t="str">
        <f t="shared" si="5"/>
        <v>4-16-194</v>
      </c>
      <c r="G343">
        <v>341</v>
      </c>
      <c r="H343" s="36" t="s">
        <v>233</v>
      </c>
    </row>
    <row r="344" spans="1:8">
      <c r="A344" s="36" t="s">
        <v>234</v>
      </c>
      <c r="B344">
        <v>2</v>
      </c>
      <c r="C344">
        <v>4</v>
      </c>
      <c r="D344">
        <v>16</v>
      </c>
      <c r="E344">
        <f>VLOOKUP(A344,Elements!$A$2:$B$435,2,0)</f>
        <v>195</v>
      </c>
      <c r="F344" t="str">
        <f t="shared" si="5"/>
        <v>4-16-195</v>
      </c>
      <c r="G344">
        <v>342</v>
      </c>
      <c r="H344" s="36" t="s">
        <v>234</v>
      </c>
    </row>
    <row r="345" spans="1:8">
      <c r="A345" s="36" t="s">
        <v>235</v>
      </c>
      <c r="B345">
        <v>2</v>
      </c>
      <c r="C345">
        <v>4</v>
      </c>
      <c r="D345">
        <v>16</v>
      </c>
      <c r="E345">
        <f>VLOOKUP(A345,Elements!$A$2:$B$435,2,0)</f>
        <v>196</v>
      </c>
      <c r="F345" t="str">
        <f t="shared" si="5"/>
        <v>4-16-196</v>
      </c>
      <c r="G345">
        <v>343</v>
      </c>
      <c r="H345" s="36" t="s">
        <v>235</v>
      </c>
    </row>
    <row r="346" spans="1:8">
      <c r="A346" s="36" t="s">
        <v>236</v>
      </c>
      <c r="B346">
        <v>2</v>
      </c>
      <c r="C346">
        <v>4</v>
      </c>
      <c r="D346">
        <v>16</v>
      </c>
      <c r="E346">
        <f>VLOOKUP(A346,Elements!$A$2:$B$435,2,0)</f>
        <v>197</v>
      </c>
      <c r="F346" t="str">
        <f t="shared" si="5"/>
        <v>4-16-197</v>
      </c>
      <c r="G346">
        <v>344</v>
      </c>
      <c r="H346" s="36" t="s">
        <v>236</v>
      </c>
    </row>
    <row r="347" spans="1:8">
      <c r="A347" s="36" t="s">
        <v>237</v>
      </c>
      <c r="B347">
        <v>2</v>
      </c>
      <c r="C347">
        <v>4</v>
      </c>
      <c r="D347">
        <v>16</v>
      </c>
      <c r="E347">
        <f>VLOOKUP(A347,Elements!$A$2:$B$435,2,0)</f>
        <v>198</v>
      </c>
      <c r="F347" t="str">
        <f t="shared" si="5"/>
        <v>4-16-198</v>
      </c>
      <c r="G347">
        <v>345</v>
      </c>
      <c r="H347" s="36" t="s">
        <v>237</v>
      </c>
    </row>
    <row r="348" spans="1:8">
      <c r="A348" s="36" t="s">
        <v>238</v>
      </c>
      <c r="B348">
        <v>2</v>
      </c>
      <c r="C348">
        <v>4</v>
      </c>
      <c r="D348">
        <v>16</v>
      </c>
      <c r="E348">
        <f>VLOOKUP(A348,Elements!$A$2:$B$435,2,0)</f>
        <v>199</v>
      </c>
      <c r="F348" t="str">
        <f t="shared" si="5"/>
        <v>4-16-199</v>
      </c>
      <c r="G348">
        <v>346</v>
      </c>
      <c r="H348" s="36" t="s">
        <v>238</v>
      </c>
    </row>
    <row r="349" spans="1:8">
      <c r="A349" s="36" t="s">
        <v>239</v>
      </c>
      <c r="B349">
        <v>2</v>
      </c>
      <c r="C349">
        <v>4</v>
      </c>
      <c r="D349">
        <v>16</v>
      </c>
      <c r="E349">
        <f>VLOOKUP(A349,Elements!$A$2:$B$435,2,0)</f>
        <v>200</v>
      </c>
      <c r="F349" t="str">
        <f t="shared" si="5"/>
        <v>4-16-200</v>
      </c>
      <c r="G349">
        <v>347</v>
      </c>
      <c r="H349" s="36" t="s">
        <v>239</v>
      </c>
    </row>
    <row r="350" spans="1:8">
      <c r="A350" s="36" t="s">
        <v>240</v>
      </c>
      <c r="B350">
        <v>2</v>
      </c>
      <c r="C350">
        <v>4</v>
      </c>
      <c r="D350">
        <v>16</v>
      </c>
      <c r="E350">
        <f>VLOOKUP(A350,Elements!$A$2:$B$435,2,0)</f>
        <v>201</v>
      </c>
      <c r="F350" t="str">
        <f t="shared" si="5"/>
        <v>4-16-201</v>
      </c>
      <c r="G350">
        <v>348</v>
      </c>
      <c r="H350" s="36" t="s">
        <v>240</v>
      </c>
    </row>
    <row r="351" spans="1:8">
      <c r="A351" s="36" t="s">
        <v>241</v>
      </c>
      <c r="B351">
        <v>2</v>
      </c>
      <c r="C351">
        <v>4</v>
      </c>
      <c r="D351">
        <v>16</v>
      </c>
      <c r="E351">
        <f>VLOOKUP(A351,Elements!$A$2:$B$435,2,0)</f>
        <v>202</v>
      </c>
      <c r="F351" t="str">
        <f t="shared" si="5"/>
        <v>4-16-202</v>
      </c>
      <c r="G351">
        <v>349</v>
      </c>
      <c r="H351" s="36" t="s">
        <v>241</v>
      </c>
    </row>
    <row r="352" spans="1:8">
      <c r="A352" s="36" t="s">
        <v>243</v>
      </c>
      <c r="B352">
        <v>2</v>
      </c>
      <c r="C352">
        <v>4</v>
      </c>
      <c r="D352">
        <v>17</v>
      </c>
      <c r="E352">
        <f>VLOOKUP(A352,Elements!$A$2:$B$435,2,0)</f>
        <v>203</v>
      </c>
      <c r="F352" t="str">
        <f t="shared" si="5"/>
        <v>4-17-203</v>
      </c>
      <c r="G352">
        <v>350</v>
      </c>
      <c r="H352" s="36" t="s">
        <v>243</v>
      </c>
    </row>
    <row r="353" spans="1:8">
      <c r="A353" s="36" t="s">
        <v>244</v>
      </c>
      <c r="B353">
        <v>2</v>
      </c>
      <c r="C353">
        <v>4</v>
      </c>
      <c r="D353">
        <v>17</v>
      </c>
      <c r="E353">
        <f>VLOOKUP(A353,Elements!$A$2:$B$435,2,0)</f>
        <v>204</v>
      </c>
      <c r="F353" t="str">
        <f t="shared" si="5"/>
        <v>4-17-204</v>
      </c>
      <c r="G353">
        <v>351</v>
      </c>
      <c r="H353" s="36" t="s">
        <v>244</v>
      </c>
    </row>
    <row r="354" spans="1:8">
      <c r="A354" s="36" t="s">
        <v>245</v>
      </c>
      <c r="B354">
        <v>2</v>
      </c>
      <c r="C354">
        <v>4</v>
      </c>
      <c r="D354">
        <v>17</v>
      </c>
      <c r="E354">
        <f>VLOOKUP(A354,Elements!$A$2:$B$435,2,0)</f>
        <v>205</v>
      </c>
      <c r="F354" t="str">
        <f t="shared" si="5"/>
        <v>4-17-205</v>
      </c>
      <c r="G354">
        <v>352</v>
      </c>
      <c r="H354" s="36" t="s">
        <v>245</v>
      </c>
    </row>
    <row r="355" spans="1:8">
      <c r="A355" s="36" t="s">
        <v>150</v>
      </c>
      <c r="B355">
        <v>2</v>
      </c>
      <c r="C355">
        <v>4</v>
      </c>
      <c r="D355">
        <v>17</v>
      </c>
      <c r="E355">
        <f>VLOOKUP(A355,Elements!$A$2:$B$435,2,0)</f>
        <v>115</v>
      </c>
      <c r="F355" t="str">
        <f t="shared" si="5"/>
        <v>4-17-115</v>
      </c>
      <c r="G355">
        <v>353</v>
      </c>
      <c r="H355" s="36" t="s">
        <v>150</v>
      </c>
    </row>
    <row r="356" spans="1:8">
      <c r="A356" s="36" t="s">
        <v>246</v>
      </c>
      <c r="B356">
        <v>2</v>
      </c>
      <c r="C356">
        <v>4</v>
      </c>
      <c r="D356">
        <v>17</v>
      </c>
      <c r="E356">
        <f>VLOOKUP(A356,Elements!$A$2:$B$435,2,0)</f>
        <v>206</v>
      </c>
      <c r="F356" t="str">
        <f t="shared" si="5"/>
        <v>4-17-206</v>
      </c>
      <c r="G356">
        <v>354</v>
      </c>
      <c r="H356" s="36" t="s">
        <v>246</v>
      </c>
    </row>
    <row r="357" spans="1:8">
      <c r="A357" s="36" t="s">
        <v>247</v>
      </c>
      <c r="B357">
        <v>2</v>
      </c>
      <c r="C357">
        <v>4</v>
      </c>
      <c r="D357">
        <v>17</v>
      </c>
      <c r="E357">
        <f>VLOOKUP(A357,Elements!$A$2:$B$435,2,0)</f>
        <v>207</v>
      </c>
      <c r="F357" t="str">
        <f t="shared" si="5"/>
        <v>4-17-207</v>
      </c>
      <c r="G357">
        <v>355</v>
      </c>
      <c r="H357" s="36" t="s">
        <v>247</v>
      </c>
    </row>
    <row r="358" spans="1:8">
      <c r="A358" s="36" t="s">
        <v>248</v>
      </c>
      <c r="B358">
        <v>2</v>
      </c>
      <c r="C358">
        <v>4</v>
      </c>
      <c r="D358">
        <v>17</v>
      </c>
      <c r="E358">
        <f>VLOOKUP(A358,Elements!$A$2:$B$435,2,0)</f>
        <v>208</v>
      </c>
      <c r="F358" t="str">
        <f t="shared" si="5"/>
        <v>4-17-208</v>
      </c>
      <c r="G358">
        <v>356</v>
      </c>
      <c r="H358" s="36" t="s">
        <v>248</v>
      </c>
    </row>
    <row r="359" spans="1:8">
      <c r="A359" s="36" t="s">
        <v>249</v>
      </c>
      <c r="B359">
        <v>2</v>
      </c>
      <c r="C359">
        <v>4</v>
      </c>
      <c r="D359">
        <v>17</v>
      </c>
      <c r="E359">
        <f>VLOOKUP(A359,Elements!$A$2:$B$435,2,0)</f>
        <v>209</v>
      </c>
      <c r="F359" t="str">
        <f t="shared" si="5"/>
        <v>4-17-209</v>
      </c>
      <c r="G359">
        <v>357</v>
      </c>
      <c r="H359" s="36" t="s">
        <v>249</v>
      </c>
    </row>
    <row r="360" spans="1:8">
      <c r="A360" s="36" t="s">
        <v>250</v>
      </c>
      <c r="B360">
        <v>2</v>
      </c>
      <c r="C360">
        <v>4</v>
      </c>
      <c r="D360">
        <v>17</v>
      </c>
      <c r="E360">
        <f>VLOOKUP(A360,Elements!$A$2:$B$435,2,0)</f>
        <v>210</v>
      </c>
      <c r="F360" t="str">
        <f t="shared" si="5"/>
        <v>4-17-210</v>
      </c>
      <c r="G360">
        <v>358</v>
      </c>
      <c r="H360" s="36" t="s">
        <v>250</v>
      </c>
    </row>
    <row r="361" spans="1:8">
      <c r="A361" s="36" t="s">
        <v>253</v>
      </c>
      <c r="B361">
        <v>2</v>
      </c>
      <c r="C361">
        <v>4</v>
      </c>
      <c r="D361">
        <v>18</v>
      </c>
      <c r="E361">
        <f>VLOOKUP(A361,Elements!$A$2:$B$435,2,0)</f>
        <v>211</v>
      </c>
      <c r="F361" t="str">
        <f t="shared" si="5"/>
        <v>4-18-211</v>
      </c>
      <c r="G361">
        <v>359</v>
      </c>
      <c r="H361" s="36" t="s">
        <v>253</v>
      </c>
    </row>
    <row r="362" spans="1:8">
      <c r="A362" s="36" t="s">
        <v>254</v>
      </c>
      <c r="B362">
        <v>2</v>
      </c>
      <c r="C362">
        <v>4</v>
      </c>
      <c r="D362">
        <v>18</v>
      </c>
      <c r="E362">
        <f>VLOOKUP(A362,Elements!$A$2:$B$435,2,0)</f>
        <v>212</v>
      </c>
      <c r="F362" t="str">
        <f t="shared" si="5"/>
        <v>4-18-212</v>
      </c>
      <c r="G362">
        <v>360</v>
      </c>
      <c r="H362" s="36" t="s">
        <v>254</v>
      </c>
    </row>
    <row r="363" spans="1:8">
      <c r="A363" s="36" t="s">
        <v>163</v>
      </c>
      <c r="B363">
        <v>2</v>
      </c>
      <c r="C363">
        <v>4</v>
      </c>
      <c r="D363">
        <v>18</v>
      </c>
      <c r="E363">
        <f>VLOOKUP(A363,Elements!$A$2:$B$435,2,0)</f>
        <v>128</v>
      </c>
      <c r="F363" t="str">
        <f t="shared" si="5"/>
        <v>4-18-128</v>
      </c>
      <c r="G363">
        <v>361</v>
      </c>
      <c r="H363" s="36" t="s">
        <v>163</v>
      </c>
    </row>
    <row r="364" spans="1:8">
      <c r="A364" t="s">
        <v>430</v>
      </c>
      <c r="B364">
        <v>2</v>
      </c>
      <c r="C364">
        <v>4</v>
      </c>
      <c r="D364">
        <v>18</v>
      </c>
      <c r="E364">
        <f>VLOOKUP(A364,Elements!$A$2:$B$435,2,0)</f>
        <v>367</v>
      </c>
      <c r="F364" t="str">
        <f t="shared" si="5"/>
        <v>4-18-367</v>
      </c>
      <c r="G364">
        <v>362</v>
      </c>
      <c r="H364" t="s">
        <v>430</v>
      </c>
    </row>
    <row r="365" spans="1:8">
      <c r="A365" s="36" t="s">
        <v>256</v>
      </c>
      <c r="B365">
        <v>2</v>
      </c>
      <c r="C365">
        <v>4</v>
      </c>
      <c r="D365">
        <v>18</v>
      </c>
      <c r="E365">
        <f>VLOOKUP(A365,Elements!$A$2:$B$435,2,0)</f>
        <v>213</v>
      </c>
      <c r="F365" t="str">
        <f t="shared" si="5"/>
        <v>4-18-213</v>
      </c>
      <c r="G365">
        <v>363</v>
      </c>
      <c r="H365" s="36" t="s">
        <v>256</v>
      </c>
    </row>
    <row r="366" spans="1:8">
      <c r="A366" t="s">
        <v>233</v>
      </c>
      <c r="B366">
        <v>2</v>
      </c>
      <c r="C366">
        <v>4</v>
      </c>
      <c r="D366">
        <v>18</v>
      </c>
      <c r="E366">
        <f>VLOOKUP(A366,Elements!$A$2:$B$435,2,0)</f>
        <v>194</v>
      </c>
      <c r="F366" t="str">
        <f t="shared" si="5"/>
        <v>4-18-194</v>
      </c>
      <c r="G366">
        <v>364</v>
      </c>
      <c r="H366" t="s">
        <v>233</v>
      </c>
    </row>
    <row r="367" spans="1:8">
      <c r="A367" s="36" t="s">
        <v>257</v>
      </c>
      <c r="B367">
        <v>2</v>
      </c>
      <c r="C367">
        <v>4</v>
      </c>
      <c r="D367">
        <v>18</v>
      </c>
      <c r="E367">
        <f>VLOOKUP(A367,Elements!$A$2:$B$435,2,0)</f>
        <v>214</v>
      </c>
      <c r="F367" t="str">
        <f t="shared" si="5"/>
        <v>4-18-214</v>
      </c>
      <c r="G367">
        <v>365</v>
      </c>
      <c r="H367" s="36" t="s">
        <v>257</v>
      </c>
    </row>
    <row r="368" spans="1:8">
      <c r="A368" s="36" t="s">
        <v>258</v>
      </c>
      <c r="B368">
        <v>2</v>
      </c>
      <c r="C368">
        <v>4</v>
      </c>
      <c r="D368">
        <v>18</v>
      </c>
      <c r="E368">
        <f>VLOOKUP(A368,Elements!$A$2:$B$435,2,0)</f>
        <v>215</v>
      </c>
      <c r="F368" t="str">
        <f t="shared" si="5"/>
        <v>4-18-215</v>
      </c>
      <c r="G368">
        <v>366</v>
      </c>
      <c r="H368" s="36" t="s">
        <v>258</v>
      </c>
    </row>
    <row r="369" spans="1:8">
      <c r="A369" s="36" t="s">
        <v>259</v>
      </c>
      <c r="B369">
        <v>2</v>
      </c>
      <c r="C369">
        <v>4</v>
      </c>
      <c r="D369">
        <v>18</v>
      </c>
      <c r="E369">
        <f>VLOOKUP(A369,Elements!$A$2:$B$435,2,0)</f>
        <v>216</v>
      </c>
      <c r="F369" t="str">
        <f t="shared" si="5"/>
        <v>4-18-216</v>
      </c>
      <c r="G369">
        <v>367</v>
      </c>
      <c r="H369" s="36" t="s">
        <v>259</v>
      </c>
    </row>
    <row r="370" spans="1:8">
      <c r="A370" s="36" t="s">
        <v>260</v>
      </c>
      <c r="B370">
        <v>2</v>
      </c>
      <c r="C370">
        <v>4</v>
      </c>
      <c r="D370">
        <v>18</v>
      </c>
      <c r="E370">
        <f>VLOOKUP(A370,Elements!$A$2:$B$435,2,0)</f>
        <v>217</v>
      </c>
      <c r="F370" t="str">
        <f t="shared" si="5"/>
        <v>4-18-217</v>
      </c>
      <c r="G370">
        <v>368</v>
      </c>
      <c r="H370" s="36" t="s">
        <v>260</v>
      </c>
    </row>
    <row r="371" spans="1:8">
      <c r="A371" s="36" t="s">
        <v>262</v>
      </c>
      <c r="B371">
        <v>2</v>
      </c>
      <c r="C371">
        <v>4</v>
      </c>
      <c r="D371">
        <v>18</v>
      </c>
      <c r="E371">
        <f>VLOOKUP(A371,Elements!$A$2:$B$435,2,0)</f>
        <v>218</v>
      </c>
      <c r="F371" t="str">
        <f t="shared" si="5"/>
        <v>4-18-218</v>
      </c>
      <c r="G371">
        <v>369</v>
      </c>
      <c r="H371" s="36" t="s">
        <v>262</v>
      </c>
    </row>
    <row r="372" spans="1:8">
      <c r="A372" s="36" t="s">
        <v>263</v>
      </c>
      <c r="B372">
        <v>2</v>
      </c>
      <c r="C372">
        <v>4</v>
      </c>
      <c r="D372">
        <v>18</v>
      </c>
      <c r="E372">
        <f>VLOOKUP(A372,Elements!$A$2:$B$435,2,0)</f>
        <v>219</v>
      </c>
      <c r="F372" t="str">
        <f t="shared" si="5"/>
        <v>4-18-219</v>
      </c>
      <c r="G372">
        <v>370</v>
      </c>
      <c r="H372" s="36" t="s">
        <v>263</v>
      </c>
    </row>
    <row r="373" spans="1:8">
      <c r="A373" s="36" t="s">
        <v>264</v>
      </c>
      <c r="B373">
        <v>2</v>
      </c>
      <c r="C373">
        <v>4</v>
      </c>
      <c r="D373">
        <v>18</v>
      </c>
      <c r="E373">
        <f>VLOOKUP(A373,Elements!$A$2:$B$435,2,0)</f>
        <v>220</v>
      </c>
      <c r="F373" t="str">
        <f t="shared" si="5"/>
        <v>4-18-220</v>
      </c>
      <c r="G373">
        <v>371</v>
      </c>
      <c r="H373" s="36" t="s">
        <v>264</v>
      </c>
    </row>
    <row r="374" spans="1:8">
      <c r="A374" s="36" t="s">
        <v>265</v>
      </c>
      <c r="B374">
        <v>2</v>
      </c>
      <c r="C374">
        <v>4</v>
      </c>
      <c r="D374">
        <v>18</v>
      </c>
      <c r="E374">
        <f>VLOOKUP(A374,Elements!$A$2:$B$435,2,0)</f>
        <v>221</v>
      </c>
      <c r="F374" t="str">
        <f t="shared" si="5"/>
        <v>4-18-221</v>
      </c>
      <c r="G374">
        <v>372</v>
      </c>
      <c r="H374" s="36" t="s">
        <v>265</v>
      </c>
    </row>
    <row r="375" spans="1:8">
      <c r="A375" s="36" t="s">
        <v>267</v>
      </c>
      <c r="B375">
        <v>2</v>
      </c>
      <c r="C375">
        <v>4</v>
      </c>
      <c r="D375">
        <v>18</v>
      </c>
      <c r="E375">
        <f>VLOOKUP(A375,Elements!$A$2:$B$435,2,0)</f>
        <v>222</v>
      </c>
      <c r="F375" t="str">
        <f t="shared" si="5"/>
        <v>4-18-222</v>
      </c>
      <c r="G375">
        <v>373</v>
      </c>
      <c r="H375" s="36" t="s">
        <v>267</v>
      </c>
    </row>
    <row r="376" spans="1:8">
      <c r="A376" s="36" t="s">
        <v>268</v>
      </c>
      <c r="B376">
        <v>2</v>
      </c>
      <c r="C376">
        <v>4</v>
      </c>
      <c r="D376">
        <v>18</v>
      </c>
      <c r="E376">
        <f>VLOOKUP(A376,Elements!$A$2:$B$435,2,0)</f>
        <v>223</v>
      </c>
      <c r="F376" t="str">
        <f t="shared" si="5"/>
        <v>4-18-223</v>
      </c>
      <c r="G376">
        <v>374</v>
      </c>
      <c r="H376" s="36" t="s">
        <v>268</v>
      </c>
    </row>
    <row r="377" spans="1:8">
      <c r="A377" s="36" t="s">
        <v>269</v>
      </c>
      <c r="B377">
        <v>2</v>
      </c>
      <c r="C377">
        <v>4</v>
      </c>
      <c r="D377">
        <v>18</v>
      </c>
      <c r="E377">
        <f>VLOOKUP(A377,Elements!$A$2:$B$435,2,0)</f>
        <v>224</v>
      </c>
      <c r="F377" t="str">
        <f t="shared" si="5"/>
        <v>4-18-224</v>
      </c>
      <c r="G377">
        <v>375</v>
      </c>
      <c r="H377" s="36" t="s">
        <v>269</v>
      </c>
    </row>
    <row r="378" spans="1:8">
      <c r="A378" s="36" t="s">
        <v>270</v>
      </c>
      <c r="B378">
        <v>2</v>
      </c>
      <c r="C378">
        <v>4</v>
      </c>
      <c r="D378">
        <v>7</v>
      </c>
      <c r="E378">
        <f>VLOOKUP(A378,Elements!$A$2:$B$435,2,0)</f>
        <v>225</v>
      </c>
      <c r="F378" t="str">
        <f t="shared" si="5"/>
        <v>4-7-225</v>
      </c>
      <c r="G378">
        <v>376</v>
      </c>
      <c r="H378" s="36" t="s">
        <v>270</v>
      </c>
    </row>
    <row r="379" spans="1:8">
      <c r="A379" t="s">
        <v>351</v>
      </c>
      <c r="B379">
        <v>2</v>
      </c>
      <c r="C379">
        <v>4</v>
      </c>
      <c r="D379">
        <v>7</v>
      </c>
      <c r="E379">
        <f>VLOOKUP(A379,Elements!$A$2:$B$435,2,0)</f>
        <v>226</v>
      </c>
      <c r="F379" t="str">
        <f t="shared" si="5"/>
        <v>4-7-226</v>
      </c>
      <c r="G379">
        <v>377</v>
      </c>
      <c r="H379" t="s">
        <v>351</v>
      </c>
    </row>
    <row r="380" spans="1:8">
      <c r="A380" s="36" t="s">
        <v>47</v>
      </c>
      <c r="B380">
        <v>2</v>
      </c>
      <c r="C380">
        <v>4</v>
      </c>
      <c r="D380">
        <v>7</v>
      </c>
      <c r="E380">
        <f>VLOOKUP(A380,Elements!$A$2:$B$435,2,0)</f>
        <v>10</v>
      </c>
      <c r="F380" t="str">
        <f t="shared" si="5"/>
        <v>4-7-10</v>
      </c>
      <c r="G380">
        <v>378</v>
      </c>
      <c r="H380" s="36" t="s">
        <v>47</v>
      </c>
    </row>
    <row r="381" spans="1:8">
      <c r="A381" s="36" t="s">
        <v>272</v>
      </c>
      <c r="B381">
        <v>2</v>
      </c>
      <c r="C381">
        <v>4</v>
      </c>
      <c r="D381">
        <v>7</v>
      </c>
      <c r="E381">
        <f>VLOOKUP(A381,Elements!$A$2:$B$435,2,0)</f>
        <v>227</v>
      </c>
      <c r="F381" t="str">
        <f t="shared" si="5"/>
        <v>4-7-227</v>
      </c>
      <c r="G381">
        <v>379</v>
      </c>
      <c r="H381" s="36" t="s">
        <v>272</v>
      </c>
    </row>
    <row r="382" spans="1:8">
      <c r="A382" s="36" t="s">
        <v>273</v>
      </c>
      <c r="B382">
        <v>2</v>
      </c>
      <c r="C382">
        <v>4</v>
      </c>
      <c r="D382">
        <v>7</v>
      </c>
      <c r="E382">
        <f>VLOOKUP(A382,Elements!$A$2:$B$435,2,0)</f>
        <v>228</v>
      </c>
      <c r="F382" t="str">
        <f t="shared" si="5"/>
        <v>4-7-228</v>
      </c>
      <c r="G382">
        <v>380</v>
      </c>
      <c r="H382" s="36" t="s">
        <v>273</v>
      </c>
    </row>
    <row r="383" spans="1:8">
      <c r="A383" s="36" t="s">
        <v>274</v>
      </c>
      <c r="B383">
        <v>2</v>
      </c>
      <c r="C383">
        <v>4</v>
      </c>
      <c r="D383">
        <v>7</v>
      </c>
      <c r="E383">
        <f>VLOOKUP(A383,Elements!$A$2:$B$435,2,0)</f>
        <v>229</v>
      </c>
      <c r="F383" t="str">
        <f t="shared" si="5"/>
        <v>4-7-229</v>
      </c>
      <c r="G383">
        <v>381</v>
      </c>
      <c r="H383" s="36" t="s">
        <v>274</v>
      </c>
    </row>
    <row r="384" spans="1:8">
      <c r="A384" s="36" t="s">
        <v>112</v>
      </c>
      <c r="B384">
        <v>2</v>
      </c>
      <c r="C384">
        <v>4</v>
      </c>
      <c r="D384">
        <v>7</v>
      </c>
      <c r="E384">
        <f>VLOOKUP(A384,Elements!$A$2:$B$435,2,0)</f>
        <v>78</v>
      </c>
      <c r="F384" t="str">
        <f t="shared" si="5"/>
        <v>4-7-78</v>
      </c>
      <c r="G384">
        <v>382</v>
      </c>
      <c r="H384" s="36" t="s">
        <v>112</v>
      </c>
    </row>
    <row r="385" spans="1:8">
      <c r="A385" s="36" t="s">
        <v>275</v>
      </c>
      <c r="B385">
        <v>2</v>
      </c>
      <c r="C385">
        <v>4</v>
      </c>
      <c r="D385">
        <v>7</v>
      </c>
      <c r="E385">
        <f>VLOOKUP(A385,Elements!$A$2:$B$435,2,0)</f>
        <v>230</v>
      </c>
      <c r="F385" t="str">
        <f t="shared" si="5"/>
        <v>4-7-230</v>
      </c>
      <c r="G385">
        <v>383</v>
      </c>
      <c r="H385" s="36" t="s">
        <v>275</v>
      </c>
    </row>
    <row r="386" spans="1:8">
      <c r="A386" s="36" t="s">
        <v>115</v>
      </c>
      <c r="B386">
        <v>2</v>
      </c>
      <c r="C386">
        <v>4</v>
      </c>
      <c r="D386">
        <v>7</v>
      </c>
      <c r="E386">
        <f>VLOOKUP(A386,Elements!$A$2:$B$435,2,0)</f>
        <v>81</v>
      </c>
      <c r="F386" t="str">
        <f t="shared" si="5"/>
        <v>4-7-81</v>
      </c>
      <c r="G386">
        <v>384</v>
      </c>
      <c r="H386" s="36" t="s">
        <v>115</v>
      </c>
    </row>
    <row r="387" spans="1:8">
      <c r="A387" s="36" t="s">
        <v>116</v>
      </c>
      <c r="B387">
        <v>2</v>
      </c>
      <c r="C387">
        <v>4</v>
      </c>
      <c r="D387">
        <v>7</v>
      </c>
      <c r="E387">
        <f>VLOOKUP(A387,Elements!$A$2:$B$435,2,0)</f>
        <v>82</v>
      </c>
      <c r="F387" t="str">
        <f t="shared" ref="F387:F450" si="6">_xlfn.CONCAT(C387,"-",D387,"-",E387)</f>
        <v>4-7-82</v>
      </c>
      <c r="G387">
        <v>385</v>
      </c>
      <c r="H387" s="36" t="s">
        <v>116</v>
      </c>
    </row>
    <row r="388" spans="1:8">
      <c r="A388" s="36" t="s">
        <v>276</v>
      </c>
      <c r="B388">
        <v>2</v>
      </c>
      <c r="C388">
        <v>4</v>
      </c>
      <c r="D388">
        <v>7</v>
      </c>
      <c r="E388">
        <f>VLOOKUP(A388,Elements!$A$2:$B$435,2,0)</f>
        <v>231</v>
      </c>
      <c r="F388" t="str">
        <f t="shared" si="6"/>
        <v>4-7-231</v>
      </c>
      <c r="G388">
        <v>386</v>
      </c>
      <c r="H388" s="36" t="s">
        <v>276</v>
      </c>
    </row>
    <row r="389" spans="1:8">
      <c r="A389" s="36" t="s">
        <v>277</v>
      </c>
      <c r="B389">
        <v>2</v>
      </c>
      <c r="C389">
        <v>4</v>
      </c>
      <c r="D389">
        <v>7</v>
      </c>
      <c r="E389">
        <f>VLOOKUP(A389,Elements!$A$2:$B$435,2,0)</f>
        <v>232</v>
      </c>
      <c r="F389" t="str">
        <f t="shared" si="6"/>
        <v>4-7-232</v>
      </c>
      <c r="G389">
        <v>387</v>
      </c>
      <c r="H389" s="36" t="s">
        <v>277</v>
      </c>
    </row>
    <row r="390" spans="1:8">
      <c r="A390" s="36" t="s">
        <v>278</v>
      </c>
      <c r="B390">
        <v>2</v>
      </c>
      <c r="C390">
        <v>4</v>
      </c>
      <c r="D390">
        <v>7</v>
      </c>
      <c r="E390">
        <f>VLOOKUP(A390,Elements!$A$2:$B$435,2,0)</f>
        <v>233</v>
      </c>
      <c r="F390" t="str">
        <f t="shared" si="6"/>
        <v>4-7-233</v>
      </c>
      <c r="G390">
        <v>388</v>
      </c>
      <c r="H390" s="36" t="s">
        <v>278</v>
      </c>
    </row>
    <row r="391" spans="1:8">
      <c r="A391" s="36" t="s">
        <v>279</v>
      </c>
      <c r="B391">
        <v>2</v>
      </c>
      <c r="C391">
        <v>4</v>
      </c>
      <c r="D391">
        <v>7</v>
      </c>
      <c r="E391">
        <f>VLOOKUP(A391,Elements!$A$2:$B$435,2,0)</f>
        <v>234</v>
      </c>
      <c r="F391" t="str">
        <f t="shared" si="6"/>
        <v>4-7-234</v>
      </c>
      <c r="G391">
        <v>389</v>
      </c>
      <c r="H391" s="36" t="s">
        <v>279</v>
      </c>
    </row>
    <row r="392" spans="1:8">
      <c r="A392" s="36" t="s">
        <v>280</v>
      </c>
      <c r="B392">
        <v>2</v>
      </c>
      <c r="C392">
        <v>4</v>
      </c>
      <c r="D392">
        <v>6</v>
      </c>
      <c r="E392">
        <f>VLOOKUP(A392,Elements!$A$2:$B$435,2,0)</f>
        <v>235</v>
      </c>
      <c r="F392" t="str">
        <f t="shared" si="6"/>
        <v>4-6-235</v>
      </c>
      <c r="G392">
        <v>390</v>
      </c>
      <c r="H392" s="36" t="s">
        <v>280</v>
      </c>
    </row>
    <row r="393" spans="1:8">
      <c r="A393" s="36" t="s">
        <v>281</v>
      </c>
      <c r="B393">
        <v>2</v>
      </c>
      <c r="C393">
        <v>4</v>
      </c>
      <c r="D393">
        <v>6</v>
      </c>
      <c r="E393">
        <f>VLOOKUP(A393,Elements!$A$2:$B$435,2,0)</f>
        <v>236</v>
      </c>
      <c r="F393" t="str">
        <f t="shared" si="6"/>
        <v>4-6-236</v>
      </c>
      <c r="G393">
        <v>391</v>
      </c>
      <c r="H393" s="36" t="s">
        <v>281</v>
      </c>
    </row>
    <row r="394" spans="1:8">
      <c r="A394" s="36" t="s">
        <v>282</v>
      </c>
      <c r="B394">
        <v>2</v>
      </c>
      <c r="C394">
        <v>4</v>
      </c>
      <c r="D394">
        <v>6</v>
      </c>
      <c r="E394">
        <f>VLOOKUP(A394,Elements!$A$2:$B$435,2,0)</f>
        <v>237</v>
      </c>
      <c r="F394" t="str">
        <f t="shared" si="6"/>
        <v>4-6-237</v>
      </c>
      <c r="G394">
        <v>392</v>
      </c>
      <c r="H394" s="36" t="s">
        <v>282</v>
      </c>
    </row>
    <row r="395" spans="1:8">
      <c r="A395" s="36" t="s">
        <v>283</v>
      </c>
      <c r="B395">
        <v>2</v>
      </c>
      <c r="C395">
        <v>4</v>
      </c>
      <c r="D395">
        <v>6</v>
      </c>
      <c r="E395">
        <f>VLOOKUP(A395,Elements!$A$2:$B$435,2,0)</f>
        <v>238</v>
      </c>
      <c r="F395" t="str">
        <f t="shared" si="6"/>
        <v>4-6-238</v>
      </c>
      <c r="G395">
        <v>393</v>
      </c>
      <c r="H395" s="36" t="s">
        <v>283</v>
      </c>
    </row>
    <row r="396" spans="1:8">
      <c r="A396" s="36" t="s">
        <v>284</v>
      </c>
      <c r="B396">
        <v>2</v>
      </c>
      <c r="C396">
        <v>4</v>
      </c>
      <c r="D396">
        <v>6</v>
      </c>
      <c r="E396">
        <f>VLOOKUP(A396,Elements!$A$2:$B$435,2,0)</f>
        <v>239</v>
      </c>
      <c r="F396" t="str">
        <f t="shared" si="6"/>
        <v>4-6-239</v>
      </c>
      <c r="G396">
        <v>394</v>
      </c>
      <c r="H396" s="36" t="s">
        <v>284</v>
      </c>
    </row>
    <row r="397" spans="1:8">
      <c r="A397" s="36" t="s">
        <v>285</v>
      </c>
      <c r="B397">
        <v>2</v>
      </c>
      <c r="C397">
        <v>4</v>
      </c>
      <c r="D397">
        <v>6</v>
      </c>
      <c r="E397">
        <f>VLOOKUP(A397,Elements!$A$2:$B$435,2,0)</f>
        <v>240</v>
      </c>
      <c r="F397" t="str">
        <f t="shared" si="6"/>
        <v>4-6-240</v>
      </c>
      <c r="G397">
        <v>395</v>
      </c>
      <c r="H397" s="36" t="s">
        <v>285</v>
      </c>
    </row>
    <row r="398" spans="1:8">
      <c r="A398" s="36" t="s">
        <v>286</v>
      </c>
      <c r="B398">
        <v>2</v>
      </c>
      <c r="C398">
        <v>4</v>
      </c>
      <c r="D398">
        <v>6</v>
      </c>
      <c r="E398">
        <f>VLOOKUP(A398,Elements!$A$2:$B$435,2,0)</f>
        <v>66</v>
      </c>
      <c r="F398" t="str">
        <f t="shared" si="6"/>
        <v>4-6-66</v>
      </c>
      <c r="G398">
        <v>396</v>
      </c>
      <c r="H398" s="36" t="s">
        <v>286</v>
      </c>
    </row>
    <row r="399" spans="1:8">
      <c r="A399" s="36" t="s">
        <v>287</v>
      </c>
      <c r="B399">
        <v>2</v>
      </c>
      <c r="C399">
        <v>4</v>
      </c>
      <c r="D399">
        <v>6</v>
      </c>
      <c r="E399">
        <f>VLOOKUP(A399,Elements!$A$2:$B$435,2,0)</f>
        <v>241</v>
      </c>
      <c r="F399" t="str">
        <f t="shared" si="6"/>
        <v>4-6-241</v>
      </c>
      <c r="G399">
        <v>397</v>
      </c>
      <c r="H399" s="36" t="s">
        <v>287</v>
      </c>
    </row>
    <row r="400" spans="1:8">
      <c r="A400" s="36" t="s">
        <v>288</v>
      </c>
      <c r="B400">
        <v>2</v>
      </c>
      <c r="C400">
        <v>4</v>
      </c>
      <c r="D400">
        <v>6</v>
      </c>
      <c r="E400">
        <f>VLOOKUP(A400,Elements!$A$2:$B$435,2,0)</f>
        <v>67</v>
      </c>
      <c r="F400" t="str">
        <f t="shared" si="6"/>
        <v>4-6-67</v>
      </c>
      <c r="G400">
        <v>398</v>
      </c>
      <c r="H400" s="36" t="s">
        <v>288</v>
      </c>
    </row>
    <row r="401" spans="1:8">
      <c r="A401" s="36" t="s">
        <v>289</v>
      </c>
      <c r="B401">
        <v>2</v>
      </c>
      <c r="C401">
        <v>4</v>
      </c>
      <c r="D401">
        <v>6</v>
      </c>
      <c r="E401">
        <f>VLOOKUP(A401,Elements!$A$2:$B$435,2,0)</f>
        <v>242</v>
      </c>
      <c r="F401" t="str">
        <f t="shared" si="6"/>
        <v>4-6-242</v>
      </c>
      <c r="G401">
        <v>399</v>
      </c>
      <c r="H401" s="36" t="s">
        <v>289</v>
      </c>
    </row>
    <row r="402" spans="1:8">
      <c r="A402" s="36" t="s">
        <v>290</v>
      </c>
      <c r="B402">
        <v>2</v>
      </c>
      <c r="C402">
        <v>4</v>
      </c>
      <c r="D402">
        <v>6</v>
      </c>
      <c r="E402">
        <f>VLOOKUP(A402,Elements!$A$2:$B$435,2,0)</f>
        <v>243</v>
      </c>
      <c r="F402" t="str">
        <f t="shared" si="6"/>
        <v>4-6-243</v>
      </c>
      <c r="G402">
        <v>400</v>
      </c>
      <c r="H402" s="36" t="s">
        <v>290</v>
      </c>
    </row>
    <row r="403" spans="1:8">
      <c r="A403" s="36" t="s">
        <v>105</v>
      </c>
      <c r="B403">
        <v>2</v>
      </c>
      <c r="C403">
        <v>4</v>
      </c>
      <c r="D403">
        <v>6</v>
      </c>
      <c r="E403">
        <f>VLOOKUP(A403,Elements!$A$2:$B$435,2,0)</f>
        <v>69</v>
      </c>
      <c r="F403" t="str">
        <f t="shared" si="6"/>
        <v>4-6-69</v>
      </c>
      <c r="G403">
        <v>401</v>
      </c>
      <c r="H403" s="36" t="s">
        <v>105</v>
      </c>
    </row>
    <row r="404" spans="1:8">
      <c r="A404" s="36" t="s">
        <v>117</v>
      </c>
      <c r="B404">
        <v>2</v>
      </c>
      <c r="C404">
        <v>4</v>
      </c>
      <c r="D404">
        <v>8</v>
      </c>
      <c r="E404">
        <f>VLOOKUP(A404,Elements!$A$2:$B$435,2,0)</f>
        <v>83</v>
      </c>
      <c r="F404" t="str">
        <f t="shared" si="6"/>
        <v>4-8-83</v>
      </c>
      <c r="G404">
        <v>402</v>
      </c>
      <c r="H404" s="36" t="s">
        <v>117</v>
      </c>
    </row>
    <row r="405" spans="1:8">
      <c r="A405" s="36" t="s">
        <v>291</v>
      </c>
      <c r="B405">
        <v>2</v>
      </c>
      <c r="C405">
        <v>4</v>
      </c>
      <c r="D405">
        <v>8</v>
      </c>
      <c r="E405">
        <f>VLOOKUP(A405,Elements!$A$2:$B$435,2,0)</f>
        <v>244</v>
      </c>
      <c r="F405" t="str">
        <f t="shared" si="6"/>
        <v>4-8-244</v>
      </c>
      <c r="G405">
        <v>403</v>
      </c>
      <c r="H405" s="36" t="s">
        <v>291</v>
      </c>
    </row>
    <row r="406" spans="1:8">
      <c r="A406" s="36" t="s">
        <v>292</v>
      </c>
      <c r="B406">
        <v>2</v>
      </c>
      <c r="C406">
        <v>4</v>
      </c>
      <c r="D406">
        <v>8</v>
      </c>
      <c r="E406">
        <f>VLOOKUP(A406,Elements!$A$2:$B$435,2,0)</f>
        <v>245</v>
      </c>
      <c r="F406" t="str">
        <f t="shared" si="6"/>
        <v>4-8-245</v>
      </c>
      <c r="G406">
        <v>404</v>
      </c>
      <c r="H406" s="36" t="s">
        <v>292</v>
      </c>
    </row>
    <row r="407" spans="1:8">
      <c r="A407" s="36" t="s">
        <v>293</v>
      </c>
      <c r="B407">
        <v>2</v>
      </c>
      <c r="C407">
        <v>4</v>
      </c>
      <c r="D407">
        <v>8</v>
      </c>
      <c r="E407">
        <f>VLOOKUP(A407,Elements!$A$2:$B$435,2,0)</f>
        <v>246</v>
      </c>
      <c r="F407" t="str">
        <f t="shared" si="6"/>
        <v>4-8-246</v>
      </c>
      <c r="G407">
        <v>405</v>
      </c>
      <c r="H407" s="36" t="s">
        <v>293</v>
      </c>
    </row>
    <row r="408" spans="1:8">
      <c r="A408" s="36" t="s">
        <v>294</v>
      </c>
      <c r="B408">
        <v>2</v>
      </c>
      <c r="C408">
        <v>4</v>
      </c>
      <c r="D408">
        <v>8</v>
      </c>
      <c r="E408">
        <f>VLOOKUP(A408,Elements!$A$2:$B$435,2,0)</f>
        <v>247</v>
      </c>
      <c r="F408" t="str">
        <f t="shared" si="6"/>
        <v>4-8-247</v>
      </c>
      <c r="G408">
        <v>406</v>
      </c>
      <c r="H408" s="36" t="s">
        <v>294</v>
      </c>
    </row>
    <row r="409" spans="1:8">
      <c r="A409" s="138" t="s">
        <v>118</v>
      </c>
      <c r="B409">
        <v>2</v>
      </c>
      <c r="C409">
        <v>4</v>
      </c>
      <c r="D409">
        <v>8</v>
      </c>
      <c r="E409">
        <f>VLOOKUP(A409,Elements!$A$2:$B$435,2,0)</f>
        <v>84</v>
      </c>
      <c r="F409" t="str">
        <f t="shared" si="6"/>
        <v>4-8-84</v>
      </c>
      <c r="G409">
        <v>407</v>
      </c>
      <c r="H409" s="138" t="s">
        <v>118</v>
      </c>
    </row>
    <row r="410" spans="1:8">
      <c r="A410" s="36" t="s">
        <v>119</v>
      </c>
      <c r="B410">
        <v>2</v>
      </c>
      <c r="C410">
        <v>4</v>
      </c>
      <c r="D410">
        <v>8</v>
      </c>
      <c r="E410">
        <f>VLOOKUP(A410,Elements!$A$2:$B$435,2,0)</f>
        <v>85</v>
      </c>
      <c r="F410" t="str">
        <f t="shared" si="6"/>
        <v>4-8-85</v>
      </c>
      <c r="G410">
        <v>408</v>
      </c>
      <c r="H410" s="36" t="s">
        <v>119</v>
      </c>
    </row>
    <row r="411" spans="1:8">
      <c r="A411" s="27" t="s">
        <v>299</v>
      </c>
      <c r="B411">
        <v>2</v>
      </c>
      <c r="C411">
        <v>5</v>
      </c>
      <c r="D411">
        <v>19</v>
      </c>
      <c r="E411">
        <f>VLOOKUP(A411,Elements!$A$2:$B$435,2,0)</f>
        <v>248</v>
      </c>
      <c r="F411" t="str">
        <f t="shared" si="6"/>
        <v>5-19-248</v>
      </c>
      <c r="G411">
        <v>409</v>
      </c>
      <c r="H411" s="27" t="s">
        <v>299</v>
      </c>
    </row>
    <row r="412" spans="1:8">
      <c r="A412" s="27" t="s">
        <v>300</v>
      </c>
      <c r="B412">
        <v>2</v>
      </c>
      <c r="C412">
        <v>5</v>
      </c>
      <c r="D412">
        <v>19</v>
      </c>
      <c r="E412">
        <f>VLOOKUP(A412,Elements!$A$2:$B$435,2,0)</f>
        <v>249</v>
      </c>
      <c r="F412" t="str">
        <f t="shared" si="6"/>
        <v>5-19-249</v>
      </c>
      <c r="G412">
        <v>410</v>
      </c>
      <c r="H412" s="27" t="s">
        <v>300</v>
      </c>
    </row>
    <row r="413" spans="1:8">
      <c r="A413" s="27" t="s">
        <v>301</v>
      </c>
      <c r="B413">
        <v>2</v>
      </c>
      <c r="C413">
        <v>5</v>
      </c>
      <c r="D413">
        <v>19</v>
      </c>
      <c r="E413">
        <f>VLOOKUP(A413,Elements!$A$2:$B$435,2,0)</f>
        <v>250</v>
      </c>
      <c r="F413" t="str">
        <f t="shared" si="6"/>
        <v>5-19-250</v>
      </c>
      <c r="G413">
        <v>411</v>
      </c>
      <c r="H413" s="27" t="s">
        <v>301</v>
      </c>
    </row>
    <row r="414" spans="1:8">
      <c r="A414" s="27" t="s">
        <v>302</v>
      </c>
      <c r="B414">
        <v>2</v>
      </c>
      <c r="C414">
        <v>5</v>
      </c>
      <c r="D414">
        <v>19</v>
      </c>
      <c r="E414">
        <f>VLOOKUP(A414,Elements!$A$2:$B$435,2,0)</f>
        <v>251</v>
      </c>
      <c r="F414" t="str">
        <f t="shared" si="6"/>
        <v>5-19-251</v>
      </c>
      <c r="G414">
        <v>412</v>
      </c>
      <c r="H414" s="27" t="s">
        <v>302</v>
      </c>
    </row>
    <row r="415" spans="1:8">
      <c r="A415" s="27" t="s">
        <v>303</v>
      </c>
      <c r="B415">
        <v>2</v>
      </c>
      <c r="C415">
        <v>5</v>
      </c>
      <c r="D415">
        <v>19</v>
      </c>
      <c r="E415">
        <f>VLOOKUP(A415,Elements!$A$2:$B$435,2,0)</f>
        <v>252</v>
      </c>
      <c r="F415" t="str">
        <f t="shared" si="6"/>
        <v>5-19-252</v>
      </c>
      <c r="G415">
        <v>413</v>
      </c>
      <c r="H415" s="27" t="s">
        <v>303</v>
      </c>
    </row>
    <row r="416" spans="1:8">
      <c r="A416" s="27" t="s">
        <v>304</v>
      </c>
      <c r="B416">
        <v>2</v>
      </c>
      <c r="C416">
        <v>5</v>
      </c>
      <c r="D416">
        <v>19</v>
      </c>
      <c r="E416">
        <f>VLOOKUP(A416,Elements!$A$2:$B$435,2,0)</f>
        <v>253</v>
      </c>
      <c r="F416" t="str">
        <f t="shared" si="6"/>
        <v>5-19-253</v>
      </c>
      <c r="G416">
        <v>414</v>
      </c>
      <c r="H416" s="27" t="s">
        <v>304</v>
      </c>
    </row>
    <row r="417" spans="1:8">
      <c r="A417" s="27" t="s">
        <v>149</v>
      </c>
      <c r="B417">
        <v>2</v>
      </c>
      <c r="C417">
        <v>5</v>
      </c>
      <c r="D417">
        <v>19</v>
      </c>
      <c r="E417">
        <f>VLOOKUP(A417,Elements!$A$2:$B$435,2,0)</f>
        <v>114</v>
      </c>
      <c r="F417" t="str">
        <f t="shared" si="6"/>
        <v>5-19-114</v>
      </c>
      <c r="G417">
        <v>415</v>
      </c>
      <c r="H417" s="27" t="s">
        <v>149</v>
      </c>
    </row>
    <row r="418" spans="1:8">
      <c r="A418" s="27" t="s">
        <v>305</v>
      </c>
      <c r="B418">
        <v>2</v>
      </c>
      <c r="C418">
        <v>5</v>
      </c>
      <c r="D418">
        <v>19</v>
      </c>
      <c r="E418">
        <f>VLOOKUP(A418,Elements!$A$2:$B$435,2,0)</f>
        <v>254</v>
      </c>
      <c r="F418" t="str">
        <f t="shared" si="6"/>
        <v>5-19-254</v>
      </c>
      <c r="G418">
        <v>416</v>
      </c>
      <c r="H418" s="27" t="s">
        <v>305</v>
      </c>
    </row>
    <row r="419" spans="1:8">
      <c r="A419" s="27" t="s">
        <v>306</v>
      </c>
      <c r="B419">
        <v>2</v>
      </c>
      <c r="C419">
        <v>5</v>
      </c>
      <c r="D419">
        <v>20</v>
      </c>
      <c r="E419">
        <f>VLOOKUP(A419,Elements!$A$2:$B$435,2,0)</f>
        <v>255</v>
      </c>
      <c r="F419" t="str">
        <f t="shared" si="6"/>
        <v>5-20-255</v>
      </c>
      <c r="G419">
        <v>417</v>
      </c>
      <c r="H419" s="27" t="s">
        <v>306</v>
      </c>
    </row>
    <row r="420" spans="1:8">
      <c r="A420" s="27" t="s">
        <v>307</v>
      </c>
      <c r="B420">
        <v>2</v>
      </c>
      <c r="C420">
        <v>5</v>
      </c>
      <c r="D420">
        <v>20</v>
      </c>
      <c r="E420">
        <f>VLOOKUP(A420,Elements!$A$2:$B$435,2,0)</f>
        <v>256</v>
      </c>
      <c r="F420" t="str">
        <f t="shared" si="6"/>
        <v>5-20-256</v>
      </c>
      <c r="G420">
        <v>418</v>
      </c>
      <c r="H420" s="27" t="s">
        <v>307</v>
      </c>
    </row>
    <row r="421" spans="1:8">
      <c r="A421" s="27" t="s">
        <v>308</v>
      </c>
      <c r="B421">
        <v>2</v>
      </c>
      <c r="C421">
        <v>5</v>
      </c>
      <c r="D421">
        <v>20</v>
      </c>
      <c r="E421">
        <f>VLOOKUP(A421,Elements!$A$2:$B$435,2,0)</f>
        <v>257</v>
      </c>
      <c r="F421" t="str">
        <f t="shared" si="6"/>
        <v>5-20-257</v>
      </c>
      <c r="G421">
        <v>419</v>
      </c>
      <c r="H421" s="27" t="s">
        <v>308</v>
      </c>
    </row>
    <row r="422" spans="1:8">
      <c r="A422" s="27" t="s">
        <v>309</v>
      </c>
      <c r="B422">
        <v>2</v>
      </c>
      <c r="C422">
        <v>5</v>
      </c>
      <c r="D422">
        <v>20</v>
      </c>
      <c r="E422">
        <f>VLOOKUP(A422,Elements!$A$2:$B$435,2,0)</f>
        <v>258</v>
      </c>
      <c r="F422" t="str">
        <f t="shared" si="6"/>
        <v>5-20-258</v>
      </c>
      <c r="G422">
        <v>420</v>
      </c>
      <c r="H422" s="27" t="s">
        <v>309</v>
      </c>
    </row>
    <row r="423" spans="1:8">
      <c r="A423" s="27" t="s">
        <v>310</v>
      </c>
      <c r="B423">
        <v>2</v>
      </c>
      <c r="C423">
        <v>5</v>
      </c>
      <c r="D423">
        <v>20</v>
      </c>
      <c r="E423">
        <f>VLOOKUP(A423,Elements!$A$2:$B$435,2,0)</f>
        <v>259</v>
      </c>
      <c r="F423" t="str">
        <f t="shared" si="6"/>
        <v>5-20-259</v>
      </c>
      <c r="G423">
        <v>421</v>
      </c>
      <c r="H423" s="27" t="s">
        <v>310</v>
      </c>
    </row>
    <row r="424" spans="1:8">
      <c r="A424" s="27" t="s">
        <v>311</v>
      </c>
      <c r="B424">
        <v>2</v>
      </c>
      <c r="C424">
        <v>5</v>
      </c>
      <c r="D424">
        <v>20</v>
      </c>
      <c r="E424">
        <f>VLOOKUP(A424,Elements!$A$2:$B$435,2,0)</f>
        <v>260</v>
      </c>
      <c r="F424" t="str">
        <f t="shared" si="6"/>
        <v>5-20-260</v>
      </c>
      <c r="G424">
        <v>422</v>
      </c>
      <c r="H424" s="27" t="s">
        <v>311</v>
      </c>
    </row>
    <row r="425" spans="1:8">
      <c r="A425" s="27" t="s">
        <v>519</v>
      </c>
      <c r="B425">
        <v>2</v>
      </c>
      <c r="C425">
        <v>5</v>
      </c>
      <c r="D425">
        <v>20</v>
      </c>
      <c r="E425">
        <f>VLOOKUP(A425,Elements!$A$2:$B$435,2,0)</f>
        <v>261</v>
      </c>
      <c r="F425" t="str">
        <f t="shared" si="6"/>
        <v>5-20-261</v>
      </c>
      <c r="G425">
        <v>423</v>
      </c>
      <c r="H425" s="27" t="s">
        <v>519</v>
      </c>
    </row>
    <row r="426" spans="1:8">
      <c r="A426" s="27" t="s">
        <v>313</v>
      </c>
      <c r="B426">
        <v>2</v>
      </c>
      <c r="C426">
        <v>5</v>
      </c>
      <c r="D426">
        <v>20</v>
      </c>
      <c r="E426">
        <f>VLOOKUP(A426,Elements!$A$2:$B$435,2,0)</f>
        <v>262</v>
      </c>
      <c r="F426" t="str">
        <f t="shared" si="6"/>
        <v>5-20-262</v>
      </c>
      <c r="G426">
        <v>424</v>
      </c>
      <c r="H426" s="27" t="s">
        <v>313</v>
      </c>
    </row>
    <row r="427" spans="1:8">
      <c r="A427" s="27" t="s">
        <v>314</v>
      </c>
      <c r="B427">
        <v>2</v>
      </c>
      <c r="C427">
        <v>5</v>
      </c>
      <c r="D427">
        <v>20</v>
      </c>
      <c r="E427">
        <f>VLOOKUP(A427,Elements!$A$2:$B$435,2,0)</f>
        <v>263</v>
      </c>
      <c r="F427" t="str">
        <f t="shared" si="6"/>
        <v>5-20-263</v>
      </c>
      <c r="G427">
        <v>425</v>
      </c>
      <c r="H427" s="27" t="s">
        <v>314</v>
      </c>
    </row>
    <row r="428" spans="1:8">
      <c r="A428" s="27" t="s">
        <v>315</v>
      </c>
      <c r="B428">
        <v>2</v>
      </c>
      <c r="C428">
        <v>5</v>
      </c>
      <c r="D428">
        <v>20</v>
      </c>
      <c r="E428">
        <f>VLOOKUP(A428,Elements!$A$2:$B$435,2,0)</f>
        <v>264</v>
      </c>
      <c r="F428" t="str">
        <f t="shared" si="6"/>
        <v>5-20-264</v>
      </c>
      <c r="G428">
        <v>426</v>
      </c>
      <c r="H428" s="27" t="s">
        <v>315</v>
      </c>
    </row>
    <row r="429" spans="1:8">
      <c r="A429" s="27" t="s">
        <v>316</v>
      </c>
      <c r="B429">
        <v>2</v>
      </c>
      <c r="C429">
        <v>5</v>
      </c>
      <c r="D429">
        <v>20</v>
      </c>
      <c r="E429">
        <f>VLOOKUP(A429,Elements!$A$2:$B$435,2,0)</f>
        <v>265</v>
      </c>
      <c r="F429" t="str">
        <f t="shared" si="6"/>
        <v>5-20-265</v>
      </c>
      <c r="G429">
        <v>427</v>
      </c>
      <c r="H429" s="27" t="s">
        <v>316</v>
      </c>
    </row>
    <row r="430" spans="1:8">
      <c r="A430" s="27" t="s">
        <v>135</v>
      </c>
      <c r="B430">
        <v>2</v>
      </c>
      <c r="C430">
        <v>5</v>
      </c>
      <c r="D430">
        <v>20</v>
      </c>
      <c r="E430">
        <f>VLOOKUP(A430,Elements!$A$2:$B$435,2,0)</f>
        <v>101</v>
      </c>
      <c r="F430" t="str">
        <f t="shared" si="6"/>
        <v>5-20-101</v>
      </c>
      <c r="G430">
        <v>428</v>
      </c>
      <c r="H430" s="27" t="s">
        <v>135</v>
      </c>
    </row>
    <row r="431" spans="1:8">
      <c r="A431" s="27" t="s">
        <v>317</v>
      </c>
      <c r="B431">
        <v>2</v>
      </c>
      <c r="C431">
        <v>5</v>
      </c>
      <c r="D431">
        <v>20</v>
      </c>
      <c r="E431">
        <f>VLOOKUP(A431,Elements!$A$2:$B$435,2,0)</f>
        <v>266</v>
      </c>
      <c r="F431" t="str">
        <f t="shared" si="6"/>
        <v>5-20-266</v>
      </c>
      <c r="G431">
        <v>429</v>
      </c>
      <c r="H431" s="27" t="s">
        <v>317</v>
      </c>
    </row>
    <row r="432" spans="1:8">
      <c r="A432" s="27" t="s">
        <v>177</v>
      </c>
      <c r="B432">
        <v>2</v>
      </c>
      <c r="C432">
        <v>5</v>
      </c>
      <c r="D432">
        <v>20</v>
      </c>
      <c r="E432">
        <f>VLOOKUP(A432,Elements!$A$2:$B$435,2,0)</f>
        <v>142</v>
      </c>
      <c r="F432" t="str">
        <f t="shared" si="6"/>
        <v>5-20-142</v>
      </c>
      <c r="G432">
        <v>430</v>
      </c>
      <c r="H432" s="27" t="s">
        <v>177</v>
      </c>
    </row>
    <row r="433" spans="1:8">
      <c r="A433" s="27" t="s">
        <v>318</v>
      </c>
      <c r="B433">
        <v>2</v>
      </c>
      <c r="C433">
        <v>5</v>
      </c>
      <c r="D433">
        <v>20</v>
      </c>
      <c r="E433">
        <f>VLOOKUP(A433,Elements!$A$2:$B$435,2,0)</f>
        <v>267</v>
      </c>
      <c r="F433" t="str">
        <f t="shared" si="6"/>
        <v>5-20-267</v>
      </c>
      <c r="G433">
        <v>431</v>
      </c>
      <c r="H433" s="27" t="s">
        <v>318</v>
      </c>
    </row>
    <row r="434" spans="1:8">
      <c r="A434" s="27" t="s">
        <v>319</v>
      </c>
      <c r="B434">
        <v>2</v>
      </c>
      <c r="C434">
        <v>5</v>
      </c>
      <c r="D434">
        <v>20</v>
      </c>
      <c r="E434">
        <f>VLOOKUP(A434,Elements!$A$2:$B$435,2,0)</f>
        <v>268</v>
      </c>
      <c r="F434" t="str">
        <f t="shared" si="6"/>
        <v>5-20-268</v>
      </c>
      <c r="G434">
        <v>432</v>
      </c>
      <c r="H434" s="27" t="s">
        <v>319</v>
      </c>
    </row>
    <row r="435" spans="1:8">
      <c r="A435" s="27" t="s">
        <v>320</v>
      </c>
      <c r="B435">
        <v>2</v>
      </c>
      <c r="C435">
        <v>5</v>
      </c>
      <c r="D435">
        <v>20</v>
      </c>
      <c r="E435">
        <f>VLOOKUP(A435,Elements!$A$2:$B$435,2,0)</f>
        <v>269</v>
      </c>
      <c r="F435" t="str">
        <f t="shared" si="6"/>
        <v>5-20-269</v>
      </c>
      <c r="G435">
        <v>433</v>
      </c>
      <c r="H435" s="27" t="s">
        <v>320</v>
      </c>
    </row>
    <row r="436" spans="1:8">
      <c r="A436" s="27" t="s">
        <v>321</v>
      </c>
      <c r="B436">
        <v>2</v>
      </c>
      <c r="C436">
        <v>5</v>
      </c>
      <c r="D436">
        <v>20</v>
      </c>
      <c r="E436">
        <f>VLOOKUP(A436,Elements!$A$2:$B$435,2,0)</f>
        <v>270</v>
      </c>
      <c r="F436" t="str">
        <f t="shared" si="6"/>
        <v>5-20-270</v>
      </c>
      <c r="G436">
        <v>434</v>
      </c>
      <c r="H436" s="27" t="s">
        <v>321</v>
      </c>
    </row>
    <row r="437" spans="1:8">
      <c r="A437" s="27" t="s">
        <v>322</v>
      </c>
      <c r="B437">
        <v>2</v>
      </c>
      <c r="C437">
        <v>5</v>
      </c>
      <c r="D437">
        <v>20</v>
      </c>
      <c r="E437">
        <f>VLOOKUP(A437,Elements!$A$2:$B$435,2,0)</f>
        <v>271</v>
      </c>
      <c r="F437" t="str">
        <f t="shared" si="6"/>
        <v>5-20-271</v>
      </c>
      <c r="G437">
        <v>435</v>
      </c>
      <c r="H437" s="27" t="s">
        <v>322</v>
      </c>
    </row>
    <row r="438" spans="1:8">
      <c r="A438" s="27" t="s">
        <v>323</v>
      </c>
      <c r="B438">
        <v>2</v>
      </c>
      <c r="C438">
        <v>5</v>
      </c>
      <c r="D438">
        <v>20</v>
      </c>
      <c r="E438">
        <f>VLOOKUP(A438,Elements!$A$2:$B$435,2,0)</f>
        <v>272</v>
      </c>
      <c r="F438" t="str">
        <f t="shared" si="6"/>
        <v>5-20-272</v>
      </c>
      <c r="G438">
        <v>436</v>
      </c>
      <c r="H438" s="27" t="s">
        <v>323</v>
      </c>
    </row>
    <row r="439" spans="1:8">
      <c r="A439" s="27" t="s">
        <v>324</v>
      </c>
      <c r="B439">
        <v>2</v>
      </c>
      <c r="C439">
        <v>5</v>
      </c>
      <c r="D439">
        <v>20</v>
      </c>
      <c r="E439">
        <f>VLOOKUP(A439,Elements!$A$2:$B$435,2,0)</f>
        <v>273</v>
      </c>
      <c r="F439" t="str">
        <f t="shared" si="6"/>
        <v>5-20-273</v>
      </c>
      <c r="G439">
        <v>437</v>
      </c>
      <c r="H439" s="27" t="s">
        <v>324</v>
      </c>
    </row>
    <row r="440" spans="1:8">
      <c r="A440" s="27" t="s">
        <v>325</v>
      </c>
      <c r="B440">
        <v>2</v>
      </c>
      <c r="C440">
        <v>5</v>
      </c>
      <c r="D440">
        <v>20</v>
      </c>
      <c r="E440">
        <f>VLOOKUP(A440,Elements!$A$2:$B$435,2,0)</f>
        <v>274</v>
      </c>
      <c r="F440" t="str">
        <f t="shared" si="6"/>
        <v>5-20-274</v>
      </c>
      <c r="G440">
        <v>438</v>
      </c>
      <c r="H440" s="27" t="s">
        <v>325</v>
      </c>
    </row>
    <row r="441" spans="1:8">
      <c r="A441" s="27" t="s">
        <v>326</v>
      </c>
      <c r="B441">
        <v>2</v>
      </c>
      <c r="C441">
        <v>5</v>
      </c>
      <c r="D441">
        <v>20</v>
      </c>
      <c r="E441">
        <f>VLOOKUP(A441,Elements!$A$2:$B$435,2,0)</f>
        <v>275</v>
      </c>
      <c r="F441" t="str">
        <f t="shared" si="6"/>
        <v>5-20-275</v>
      </c>
      <c r="G441">
        <v>439</v>
      </c>
      <c r="H441" s="27" t="s">
        <v>326</v>
      </c>
    </row>
    <row r="442" spans="1:8">
      <c r="A442" s="27" t="s">
        <v>327</v>
      </c>
      <c r="B442">
        <v>2</v>
      </c>
      <c r="C442">
        <v>5</v>
      </c>
      <c r="D442">
        <v>20</v>
      </c>
      <c r="E442">
        <f>VLOOKUP(A442,Elements!$A$2:$B$435,2,0)</f>
        <v>276</v>
      </c>
      <c r="F442" t="str">
        <f t="shared" si="6"/>
        <v>5-20-276</v>
      </c>
      <c r="G442">
        <v>440</v>
      </c>
      <c r="H442" s="27" t="s">
        <v>327</v>
      </c>
    </row>
    <row r="443" spans="1:8">
      <c r="A443" s="27" t="s">
        <v>328</v>
      </c>
      <c r="B443">
        <v>2</v>
      </c>
      <c r="C443">
        <v>5</v>
      </c>
      <c r="D443">
        <v>20</v>
      </c>
      <c r="E443">
        <f>VLOOKUP(A443,Elements!$A$2:$B$435,2,0)</f>
        <v>277</v>
      </c>
      <c r="F443" t="str">
        <f t="shared" si="6"/>
        <v>5-20-277</v>
      </c>
      <c r="G443">
        <v>441</v>
      </c>
      <c r="H443" s="27" t="s">
        <v>328</v>
      </c>
    </row>
    <row r="444" spans="1:8">
      <c r="A444" s="27" t="s">
        <v>329</v>
      </c>
      <c r="B444">
        <v>2</v>
      </c>
      <c r="C444">
        <v>5</v>
      </c>
      <c r="D444">
        <v>20</v>
      </c>
      <c r="E444">
        <f>VLOOKUP(A444,Elements!$A$2:$B$435,2,0)</f>
        <v>278</v>
      </c>
      <c r="F444" t="str">
        <f t="shared" si="6"/>
        <v>5-20-278</v>
      </c>
      <c r="G444">
        <v>442</v>
      </c>
      <c r="H444" s="27" t="s">
        <v>329</v>
      </c>
    </row>
    <row r="445" spans="1:8">
      <c r="A445" s="27" t="s">
        <v>330</v>
      </c>
      <c r="B445">
        <v>2</v>
      </c>
      <c r="C445">
        <v>5</v>
      </c>
      <c r="D445">
        <v>20</v>
      </c>
      <c r="E445">
        <f>VLOOKUP(A445,Elements!$A$2:$B$435,2,0)</f>
        <v>279</v>
      </c>
      <c r="F445" t="str">
        <f t="shared" si="6"/>
        <v>5-20-279</v>
      </c>
      <c r="G445">
        <v>443</v>
      </c>
      <c r="H445" s="27" t="s">
        <v>330</v>
      </c>
    </row>
    <row r="446" spans="1:8">
      <c r="A446" s="27" t="s">
        <v>332</v>
      </c>
      <c r="B446">
        <v>2</v>
      </c>
      <c r="C446">
        <v>5</v>
      </c>
      <c r="D446">
        <v>21</v>
      </c>
      <c r="E446">
        <f>VLOOKUP(A446,Elements!$A$2:$B$435,2,0)</f>
        <v>280</v>
      </c>
      <c r="F446" t="str">
        <f t="shared" si="6"/>
        <v>5-21-280</v>
      </c>
      <c r="G446">
        <v>444</v>
      </c>
      <c r="H446" s="27" t="s">
        <v>332</v>
      </c>
    </row>
    <row r="447" spans="1:8">
      <c r="A447" s="27" t="s">
        <v>333</v>
      </c>
      <c r="B447">
        <v>2</v>
      </c>
      <c r="C447">
        <v>5</v>
      </c>
      <c r="D447">
        <v>21</v>
      </c>
      <c r="E447">
        <f>VLOOKUP(A447,Elements!$A$2:$B$435,2,0)</f>
        <v>281</v>
      </c>
      <c r="F447" t="str">
        <f t="shared" si="6"/>
        <v>5-21-281</v>
      </c>
      <c r="G447">
        <v>445</v>
      </c>
      <c r="H447" s="27" t="s">
        <v>333</v>
      </c>
    </row>
    <row r="448" spans="1:8">
      <c r="A448" s="27" t="s">
        <v>143</v>
      </c>
      <c r="B448">
        <v>2</v>
      </c>
      <c r="C448">
        <v>5</v>
      </c>
      <c r="D448">
        <v>21</v>
      </c>
      <c r="E448">
        <f>VLOOKUP(A448,Elements!$A$2:$B$435,2,0)</f>
        <v>109</v>
      </c>
      <c r="F448" t="str">
        <f t="shared" si="6"/>
        <v>5-21-109</v>
      </c>
      <c r="G448">
        <v>446</v>
      </c>
      <c r="H448" s="27" t="s">
        <v>143</v>
      </c>
    </row>
    <row r="449" spans="1:8">
      <c r="A449" s="27" t="s">
        <v>334</v>
      </c>
      <c r="B449">
        <v>2</v>
      </c>
      <c r="C449">
        <v>5</v>
      </c>
      <c r="D449">
        <v>21</v>
      </c>
      <c r="E449">
        <f>VLOOKUP(A449,Elements!$A$2:$B$435,2,0)</f>
        <v>282</v>
      </c>
      <c r="F449" t="str">
        <f t="shared" si="6"/>
        <v>5-21-282</v>
      </c>
      <c r="G449">
        <v>447</v>
      </c>
      <c r="H449" s="27" t="s">
        <v>334</v>
      </c>
    </row>
    <row r="450" spans="1:8">
      <c r="A450" s="27" t="s">
        <v>163</v>
      </c>
      <c r="B450">
        <v>2</v>
      </c>
      <c r="C450">
        <v>5</v>
      </c>
      <c r="D450">
        <v>21</v>
      </c>
      <c r="E450">
        <f>VLOOKUP(A450,Elements!$A$2:$B$435,2,0)</f>
        <v>128</v>
      </c>
      <c r="F450" t="str">
        <f t="shared" si="6"/>
        <v>5-21-128</v>
      </c>
      <c r="G450">
        <v>448</v>
      </c>
      <c r="H450" s="27" t="s">
        <v>163</v>
      </c>
    </row>
    <row r="451" spans="1:8">
      <c r="A451" s="27" t="s">
        <v>185</v>
      </c>
      <c r="B451">
        <v>2</v>
      </c>
      <c r="C451">
        <v>5</v>
      </c>
      <c r="D451">
        <v>21</v>
      </c>
      <c r="E451">
        <f>VLOOKUP(A451,Elements!$A$2:$B$435,2,0)</f>
        <v>149</v>
      </c>
      <c r="F451" t="str">
        <f t="shared" ref="F451:F514" si="7">_xlfn.CONCAT(C451,"-",D451,"-",E451)</f>
        <v>5-21-149</v>
      </c>
      <c r="G451">
        <v>449</v>
      </c>
      <c r="H451" s="27" t="s">
        <v>185</v>
      </c>
    </row>
    <row r="452" spans="1:8">
      <c r="A452" s="27" t="s">
        <v>256</v>
      </c>
      <c r="B452">
        <v>2</v>
      </c>
      <c r="C452">
        <v>5</v>
      </c>
      <c r="D452">
        <v>21</v>
      </c>
      <c r="E452">
        <f>VLOOKUP(A452,Elements!$A$2:$B$435,2,0)</f>
        <v>213</v>
      </c>
      <c r="F452" t="str">
        <f t="shared" si="7"/>
        <v>5-21-213</v>
      </c>
      <c r="G452">
        <v>450</v>
      </c>
      <c r="H452" s="27" t="s">
        <v>256</v>
      </c>
    </row>
    <row r="453" spans="1:8">
      <c r="A453" s="27" t="s">
        <v>335</v>
      </c>
      <c r="B453">
        <v>2</v>
      </c>
      <c r="C453">
        <v>5</v>
      </c>
      <c r="D453">
        <v>21</v>
      </c>
      <c r="E453">
        <f>VLOOKUP(A453,Elements!$A$2:$B$435,2,0)</f>
        <v>283</v>
      </c>
      <c r="F453" t="str">
        <f t="shared" si="7"/>
        <v>5-21-283</v>
      </c>
      <c r="G453">
        <v>451</v>
      </c>
      <c r="H453" s="27" t="s">
        <v>335</v>
      </c>
    </row>
    <row r="454" spans="1:8">
      <c r="A454" s="27" t="s">
        <v>147</v>
      </c>
      <c r="B454">
        <v>2</v>
      </c>
      <c r="C454">
        <v>5</v>
      </c>
      <c r="D454">
        <v>21</v>
      </c>
      <c r="E454">
        <f>VLOOKUP(A454,Elements!$A$2:$B$435,2,0)</f>
        <v>112</v>
      </c>
      <c r="F454" t="str">
        <f t="shared" si="7"/>
        <v>5-21-112</v>
      </c>
      <c r="G454">
        <v>452</v>
      </c>
      <c r="H454" s="27" t="s">
        <v>147</v>
      </c>
    </row>
    <row r="455" spans="1:8">
      <c r="A455" s="27" t="s">
        <v>336</v>
      </c>
      <c r="B455">
        <v>2</v>
      </c>
      <c r="C455">
        <v>5</v>
      </c>
      <c r="D455">
        <v>21</v>
      </c>
      <c r="E455">
        <f>VLOOKUP(A455,Elements!$A$2:$B$435,2,0)</f>
        <v>284</v>
      </c>
      <c r="F455" t="str">
        <f t="shared" si="7"/>
        <v>5-21-284</v>
      </c>
      <c r="G455">
        <v>453</v>
      </c>
      <c r="H455" s="27" t="s">
        <v>336</v>
      </c>
    </row>
    <row r="456" spans="1:8">
      <c r="A456" s="27" t="s">
        <v>337</v>
      </c>
      <c r="B456">
        <v>2</v>
      </c>
      <c r="C456">
        <v>5</v>
      </c>
      <c r="D456">
        <v>21</v>
      </c>
      <c r="E456">
        <f>VLOOKUP(A456,Elements!$A$2:$B$435,2,0)</f>
        <v>285</v>
      </c>
      <c r="F456" t="str">
        <f t="shared" si="7"/>
        <v>5-21-285</v>
      </c>
      <c r="G456">
        <v>454</v>
      </c>
      <c r="H456" s="27" t="s">
        <v>337</v>
      </c>
    </row>
    <row r="457" spans="1:8">
      <c r="A457" s="27" t="s">
        <v>338</v>
      </c>
      <c r="B457">
        <v>2</v>
      </c>
      <c r="C457">
        <v>5</v>
      </c>
      <c r="D457">
        <v>21</v>
      </c>
      <c r="E457">
        <f>VLOOKUP(A457,Elements!$A$2:$B$435,2,0)</f>
        <v>286</v>
      </c>
      <c r="F457" t="str">
        <f t="shared" si="7"/>
        <v>5-21-286</v>
      </c>
      <c r="G457">
        <v>455</v>
      </c>
      <c r="H457" s="27" t="s">
        <v>338</v>
      </c>
    </row>
    <row r="458" spans="1:8">
      <c r="A458" s="27" t="s">
        <v>339</v>
      </c>
      <c r="B458">
        <v>2</v>
      </c>
      <c r="C458">
        <v>5</v>
      </c>
      <c r="D458">
        <v>21</v>
      </c>
      <c r="E458">
        <f>VLOOKUP(A458,Elements!$A$2:$B$435,2,0)</f>
        <v>287</v>
      </c>
      <c r="F458" t="str">
        <f t="shared" si="7"/>
        <v>5-21-287</v>
      </c>
      <c r="G458">
        <v>456</v>
      </c>
      <c r="H458" s="27" t="s">
        <v>339</v>
      </c>
    </row>
    <row r="459" spans="1:8">
      <c r="A459" s="27" t="s">
        <v>340</v>
      </c>
      <c r="B459">
        <v>2</v>
      </c>
      <c r="C459">
        <v>5</v>
      </c>
      <c r="D459">
        <v>21</v>
      </c>
      <c r="E459">
        <f>VLOOKUP(A459,Elements!$A$2:$B$435,2,0)</f>
        <v>288</v>
      </c>
      <c r="F459" t="str">
        <f t="shared" si="7"/>
        <v>5-21-288</v>
      </c>
      <c r="G459">
        <v>457</v>
      </c>
      <c r="H459" s="27" t="s">
        <v>340</v>
      </c>
    </row>
    <row r="460" spans="1:8">
      <c r="A460" s="27" t="s">
        <v>341</v>
      </c>
      <c r="B460">
        <v>2</v>
      </c>
      <c r="C460">
        <v>5</v>
      </c>
      <c r="D460">
        <v>21</v>
      </c>
      <c r="E460">
        <f>VLOOKUP(A460,Elements!$A$2:$B$435,2,0)</f>
        <v>289</v>
      </c>
      <c r="F460" t="str">
        <f t="shared" si="7"/>
        <v>5-21-289</v>
      </c>
      <c r="G460">
        <v>458</v>
      </c>
      <c r="H460" s="27" t="s">
        <v>341</v>
      </c>
    </row>
    <row r="461" spans="1:8">
      <c r="A461" s="27" t="s">
        <v>342</v>
      </c>
      <c r="B461">
        <v>2</v>
      </c>
      <c r="C461">
        <v>5</v>
      </c>
      <c r="D461">
        <v>21</v>
      </c>
      <c r="E461">
        <f>VLOOKUP(A461,Elements!$A$2:$B$435,2,0)</f>
        <v>290</v>
      </c>
      <c r="F461" t="str">
        <f t="shared" si="7"/>
        <v>5-21-290</v>
      </c>
      <c r="G461">
        <v>459</v>
      </c>
      <c r="H461" s="27" t="s">
        <v>342</v>
      </c>
    </row>
    <row r="462" spans="1:8">
      <c r="A462" s="27" t="s">
        <v>343</v>
      </c>
      <c r="B462">
        <v>2</v>
      </c>
      <c r="C462">
        <v>5</v>
      </c>
      <c r="D462">
        <v>21</v>
      </c>
      <c r="E462">
        <f>VLOOKUP(A462,Elements!$A$2:$B$435,2,0)</f>
        <v>291</v>
      </c>
      <c r="F462" t="str">
        <f t="shared" si="7"/>
        <v>5-21-291</v>
      </c>
      <c r="G462">
        <v>460</v>
      </c>
      <c r="H462" s="27" t="s">
        <v>343</v>
      </c>
    </row>
    <row r="463" spans="1:8">
      <c r="A463" s="27" t="s">
        <v>344</v>
      </c>
      <c r="B463">
        <v>2</v>
      </c>
      <c r="C463">
        <v>5</v>
      </c>
      <c r="D463">
        <v>21</v>
      </c>
      <c r="E463">
        <f>VLOOKUP(A463,Elements!$A$2:$B$435,2,0)</f>
        <v>292</v>
      </c>
      <c r="F463" t="str">
        <f t="shared" si="7"/>
        <v>5-21-292</v>
      </c>
      <c r="G463">
        <v>461</v>
      </c>
      <c r="H463" s="27" t="s">
        <v>344</v>
      </c>
    </row>
    <row r="464" spans="1:8">
      <c r="A464" s="27" t="s">
        <v>345</v>
      </c>
      <c r="B464">
        <v>2</v>
      </c>
      <c r="C464">
        <v>5</v>
      </c>
      <c r="D464">
        <v>21</v>
      </c>
      <c r="E464">
        <f>VLOOKUP(A464,Elements!$A$2:$B$435,2,0)</f>
        <v>293</v>
      </c>
      <c r="F464" t="str">
        <f t="shared" si="7"/>
        <v>5-21-293</v>
      </c>
      <c r="G464">
        <v>462</v>
      </c>
      <c r="H464" s="27" t="s">
        <v>345</v>
      </c>
    </row>
    <row r="465" spans="1:8">
      <c r="A465" s="27" t="s">
        <v>346</v>
      </c>
      <c r="B465">
        <v>2</v>
      </c>
      <c r="C465">
        <v>5</v>
      </c>
      <c r="D465">
        <v>21</v>
      </c>
      <c r="E465">
        <f>VLOOKUP(A465,Elements!$A$2:$B$435,2,0)</f>
        <v>294</v>
      </c>
      <c r="F465" t="str">
        <f t="shared" si="7"/>
        <v>5-21-294</v>
      </c>
      <c r="G465">
        <v>463</v>
      </c>
      <c r="H465" s="27" t="s">
        <v>346</v>
      </c>
    </row>
    <row r="466" spans="1:8">
      <c r="A466" s="27" t="s">
        <v>347</v>
      </c>
      <c r="B466">
        <v>2</v>
      </c>
      <c r="C466">
        <v>5</v>
      </c>
      <c r="D466">
        <v>21</v>
      </c>
      <c r="E466">
        <f>VLOOKUP(A466,Elements!$A$2:$B$435,2,0)</f>
        <v>295</v>
      </c>
      <c r="F466" t="str">
        <f t="shared" si="7"/>
        <v>5-21-295</v>
      </c>
      <c r="G466">
        <v>464</v>
      </c>
      <c r="H466" s="27" t="s">
        <v>347</v>
      </c>
    </row>
    <row r="467" spans="1:8">
      <c r="A467" s="27" t="s">
        <v>348</v>
      </c>
      <c r="B467">
        <v>2</v>
      </c>
      <c r="C467">
        <v>5</v>
      </c>
      <c r="D467">
        <v>21</v>
      </c>
      <c r="E467">
        <f>VLOOKUP(A467,Elements!$A$2:$B$435,2,0)</f>
        <v>296</v>
      </c>
      <c r="F467" t="str">
        <f t="shared" si="7"/>
        <v>5-21-296</v>
      </c>
      <c r="G467">
        <v>465</v>
      </c>
      <c r="H467" s="27" t="s">
        <v>348</v>
      </c>
    </row>
    <row r="468" spans="1:8">
      <c r="A468" s="27" t="s">
        <v>349</v>
      </c>
      <c r="B468">
        <v>2</v>
      </c>
      <c r="C468">
        <v>5</v>
      </c>
      <c r="D468">
        <v>21</v>
      </c>
      <c r="E468">
        <f>VLOOKUP(A468,Elements!$A$2:$B$435,2,0)</f>
        <v>297</v>
      </c>
      <c r="F468" t="str">
        <f t="shared" si="7"/>
        <v>5-21-297</v>
      </c>
      <c r="G468">
        <v>466</v>
      </c>
      <c r="H468" s="27" t="s">
        <v>349</v>
      </c>
    </row>
    <row r="469" spans="1:8">
      <c r="A469" s="27" t="s">
        <v>350</v>
      </c>
      <c r="B469">
        <v>2</v>
      </c>
      <c r="C469">
        <v>5</v>
      </c>
      <c r="D469">
        <v>7</v>
      </c>
      <c r="E469">
        <f>VLOOKUP(A469,Elements!$A$2:$B$435,2,0)</f>
        <v>298</v>
      </c>
      <c r="F469" t="str">
        <f t="shared" si="7"/>
        <v>5-7-298</v>
      </c>
      <c r="G469">
        <v>467</v>
      </c>
      <c r="H469" s="27" t="s">
        <v>350</v>
      </c>
    </row>
    <row r="470" spans="1:8">
      <c r="A470" s="27" t="s">
        <v>351</v>
      </c>
      <c r="B470">
        <v>2</v>
      </c>
      <c r="C470">
        <v>5</v>
      </c>
      <c r="D470">
        <v>7</v>
      </c>
      <c r="E470">
        <f>VLOOKUP(A470,Elements!$A$2:$B$435,2,0)</f>
        <v>226</v>
      </c>
      <c r="F470" t="str">
        <f t="shared" si="7"/>
        <v>5-7-226</v>
      </c>
      <c r="G470">
        <v>468</v>
      </c>
      <c r="H470" s="27" t="s">
        <v>351</v>
      </c>
    </row>
    <row r="471" spans="1:8">
      <c r="A471" s="27" t="s">
        <v>47</v>
      </c>
      <c r="B471">
        <v>2</v>
      </c>
      <c r="C471">
        <v>5</v>
      </c>
      <c r="D471">
        <v>7</v>
      </c>
      <c r="E471">
        <f>VLOOKUP(A471,Elements!$A$2:$B$435,2,0)</f>
        <v>10</v>
      </c>
      <c r="F471" t="str">
        <f t="shared" si="7"/>
        <v>5-7-10</v>
      </c>
      <c r="G471">
        <v>469</v>
      </c>
      <c r="H471" s="27" t="s">
        <v>47</v>
      </c>
    </row>
    <row r="472" spans="1:8">
      <c r="A472" s="27" t="s">
        <v>352</v>
      </c>
      <c r="B472">
        <v>2</v>
      </c>
      <c r="C472">
        <v>5</v>
      </c>
      <c r="D472">
        <v>7</v>
      </c>
      <c r="E472">
        <f>VLOOKUP(A472,Elements!$A$2:$B$435,2,0)</f>
        <v>299</v>
      </c>
      <c r="F472" t="str">
        <f t="shared" si="7"/>
        <v>5-7-299</v>
      </c>
      <c r="G472">
        <v>470</v>
      </c>
      <c r="H472" s="27" t="s">
        <v>352</v>
      </c>
    </row>
    <row r="473" spans="1:8">
      <c r="A473" s="27" t="s">
        <v>353</v>
      </c>
      <c r="B473">
        <v>2</v>
      </c>
      <c r="C473">
        <v>5</v>
      </c>
      <c r="D473">
        <v>7</v>
      </c>
      <c r="E473">
        <f>VLOOKUP(A473,Elements!$A$2:$B$435,2,0)</f>
        <v>73</v>
      </c>
      <c r="F473" t="str">
        <f t="shared" si="7"/>
        <v>5-7-73</v>
      </c>
      <c r="G473">
        <v>471</v>
      </c>
      <c r="H473" s="27" t="s">
        <v>353</v>
      </c>
    </row>
    <row r="474" spans="1:8">
      <c r="A474" s="27" t="s">
        <v>354</v>
      </c>
      <c r="B474">
        <v>2</v>
      </c>
      <c r="C474">
        <v>5</v>
      </c>
      <c r="D474">
        <v>7</v>
      </c>
      <c r="E474">
        <f>VLOOKUP(A474,Elements!$A$2:$B$435,2,0)</f>
        <v>74</v>
      </c>
      <c r="F474" t="str">
        <f t="shared" si="7"/>
        <v>5-7-74</v>
      </c>
      <c r="G474">
        <v>472</v>
      </c>
      <c r="H474" s="27" t="s">
        <v>354</v>
      </c>
    </row>
    <row r="475" spans="1:8">
      <c r="A475" s="27" t="s">
        <v>355</v>
      </c>
      <c r="B475">
        <v>2</v>
      </c>
      <c r="C475">
        <v>5</v>
      </c>
      <c r="D475">
        <v>7</v>
      </c>
      <c r="E475">
        <f>VLOOKUP(A475,Elements!$A$2:$B$435,2,0)</f>
        <v>75</v>
      </c>
      <c r="F475" t="str">
        <f t="shared" si="7"/>
        <v>5-7-75</v>
      </c>
      <c r="G475">
        <v>473</v>
      </c>
      <c r="H475" s="27" t="s">
        <v>355</v>
      </c>
    </row>
    <row r="476" spans="1:8">
      <c r="A476" s="27" t="s">
        <v>356</v>
      </c>
      <c r="B476">
        <v>2</v>
      </c>
      <c r="C476">
        <v>5</v>
      </c>
      <c r="D476">
        <v>7</v>
      </c>
      <c r="E476">
        <f>VLOOKUP(A476,Elements!$A$2:$B$435,2,0)</f>
        <v>300</v>
      </c>
      <c r="F476" t="str">
        <f t="shared" si="7"/>
        <v>5-7-300</v>
      </c>
      <c r="G476">
        <v>474</v>
      </c>
      <c r="H476" s="27" t="s">
        <v>356</v>
      </c>
    </row>
    <row r="477" spans="1:8">
      <c r="A477" s="27" t="s">
        <v>357</v>
      </c>
      <c r="B477">
        <v>2</v>
      </c>
      <c r="C477">
        <v>5</v>
      </c>
      <c r="D477">
        <v>7</v>
      </c>
      <c r="E477">
        <f>VLOOKUP(A477,Elements!$A$2:$B$435,2,0)</f>
        <v>301</v>
      </c>
      <c r="F477" t="str">
        <f t="shared" si="7"/>
        <v>5-7-301</v>
      </c>
      <c r="G477">
        <v>475</v>
      </c>
      <c r="H477" s="27" t="s">
        <v>357</v>
      </c>
    </row>
    <row r="478" spans="1:8">
      <c r="A478" s="27" t="s">
        <v>112</v>
      </c>
      <c r="B478">
        <v>2</v>
      </c>
      <c r="C478">
        <v>5</v>
      </c>
      <c r="D478">
        <v>7</v>
      </c>
      <c r="E478">
        <f>VLOOKUP(A478,Elements!$A$2:$B$435,2,0)</f>
        <v>78</v>
      </c>
      <c r="F478" t="str">
        <f t="shared" si="7"/>
        <v>5-7-78</v>
      </c>
      <c r="G478">
        <v>476</v>
      </c>
      <c r="H478" s="27" t="s">
        <v>112</v>
      </c>
    </row>
    <row r="479" spans="1:8">
      <c r="A479" s="27" t="s">
        <v>114</v>
      </c>
      <c r="B479">
        <v>2</v>
      </c>
      <c r="C479">
        <v>5</v>
      </c>
      <c r="D479">
        <v>7</v>
      </c>
      <c r="E479">
        <f>VLOOKUP(A479,Elements!$A$2:$B$435,2,0)</f>
        <v>80</v>
      </c>
      <c r="F479" t="str">
        <f t="shared" si="7"/>
        <v>5-7-80</v>
      </c>
      <c r="G479">
        <v>477</v>
      </c>
      <c r="H479" s="27" t="s">
        <v>114</v>
      </c>
    </row>
    <row r="480" spans="1:8">
      <c r="A480" s="27" t="s">
        <v>115</v>
      </c>
      <c r="B480">
        <v>2</v>
      </c>
      <c r="C480">
        <v>5</v>
      </c>
      <c r="D480">
        <v>7</v>
      </c>
      <c r="E480">
        <f>VLOOKUP(A480,Elements!$A$2:$B$435,2,0)</f>
        <v>81</v>
      </c>
      <c r="F480" t="str">
        <f t="shared" si="7"/>
        <v>5-7-81</v>
      </c>
      <c r="G480">
        <v>478</v>
      </c>
      <c r="H480" s="27" t="s">
        <v>115</v>
      </c>
    </row>
    <row r="481" spans="1:8">
      <c r="A481" s="27" t="s">
        <v>116</v>
      </c>
      <c r="B481">
        <v>2</v>
      </c>
      <c r="C481">
        <v>5</v>
      </c>
      <c r="D481">
        <v>7</v>
      </c>
      <c r="E481">
        <f>VLOOKUP(A481,Elements!$A$2:$B$435,2,0)</f>
        <v>82</v>
      </c>
      <c r="F481" t="str">
        <f t="shared" si="7"/>
        <v>5-7-82</v>
      </c>
      <c r="G481">
        <v>479</v>
      </c>
      <c r="H481" s="27" t="s">
        <v>116</v>
      </c>
    </row>
    <row r="482" spans="1:8">
      <c r="A482" s="27" t="s">
        <v>358</v>
      </c>
      <c r="B482">
        <v>2</v>
      </c>
      <c r="C482">
        <v>5</v>
      </c>
      <c r="D482">
        <v>7</v>
      </c>
      <c r="E482">
        <f>VLOOKUP(A482,Elements!$A$2:$B$435,2,0)</f>
        <v>302</v>
      </c>
      <c r="F482" t="str">
        <f t="shared" si="7"/>
        <v>5-7-302</v>
      </c>
      <c r="G482">
        <v>480</v>
      </c>
      <c r="H482" s="27" t="s">
        <v>358</v>
      </c>
    </row>
    <row r="483" spans="1:8">
      <c r="A483" s="27" t="s">
        <v>359</v>
      </c>
      <c r="B483">
        <v>2</v>
      </c>
      <c r="C483">
        <v>5</v>
      </c>
      <c r="D483">
        <v>6</v>
      </c>
      <c r="E483">
        <f>VLOOKUP(A483,Elements!$A$2:$B$435,2,0)</f>
        <v>303</v>
      </c>
      <c r="F483" t="str">
        <f t="shared" si="7"/>
        <v>5-6-303</v>
      </c>
      <c r="G483">
        <v>481</v>
      </c>
      <c r="H483" s="27" t="s">
        <v>359</v>
      </c>
    </row>
    <row r="484" spans="1:8">
      <c r="A484" s="27" t="s">
        <v>360</v>
      </c>
      <c r="B484">
        <v>2</v>
      </c>
      <c r="C484">
        <v>5</v>
      </c>
      <c r="D484">
        <v>6</v>
      </c>
      <c r="E484">
        <f>VLOOKUP(A484,Elements!$A$2:$B$435,2,0)</f>
        <v>304</v>
      </c>
      <c r="F484" t="str">
        <f t="shared" si="7"/>
        <v>5-6-304</v>
      </c>
      <c r="G484">
        <v>482</v>
      </c>
      <c r="H484" s="27" t="s">
        <v>360</v>
      </c>
    </row>
    <row r="485" spans="1:8">
      <c r="A485" s="27" t="s">
        <v>361</v>
      </c>
      <c r="B485">
        <v>2</v>
      </c>
      <c r="C485">
        <v>5</v>
      </c>
      <c r="D485">
        <v>6</v>
      </c>
      <c r="E485">
        <f>VLOOKUP(A485,Elements!$A$2:$B$435,2,0)</f>
        <v>305</v>
      </c>
      <c r="F485" t="str">
        <f t="shared" si="7"/>
        <v>5-6-305</v>
      </c>
      <c r="G485">
        <v>483</v>
      </c>
      <c r="H485" s="27" t="s">
        <v>361</v>
      </c>
    </row>
    <row r="486" spans="1:8">
      <c r="A486" s="27" t="s">
        <v>362</v>
      </c>
      <c r="B486">
        <v>2</v>
      </c>
      <c r="C486">
        <v>5</v>
      </c>
      <c r="D486">
        <v>6</v>
      </c>
      <c r="E486">
        <f>VLOOKUP(A486,Elements!$A$2:$B$435,2,0)</f>
        <v>65</v>
      </c>
      <c r="F486" t="str">
        <f t="shared" si="7"/>
        <v>5-6-65</v>
      </c>
      <c r="G486">
        <v>484</v>
      </c>
      <c r="H486" s="27" t="s">
        <v>362</v>
      </c>
    </row>
    <row r="487" spans="1:8">
      <c r="A487" s="27" t="s">
        <v>285</v>
      </c>
      <c r="B487">
        <v>2</v>
      </c>
      <c r="C487">
        <v>5</v>
      </c>
      <c r="D487">
        <v>6</v>
      </c>
      <c r="E487">
        <f>VLOOKUP(A487,Elements!$A$2:$B$435,2,0)</f>
        <v>240</v>
      </c>
      <c r="F487" t="str">
        <f t="shared" si="7"/>
        <v>5-6-240</v>
      </c>
      <c r="G487">
        <v>485</v>
      </c>
      <c r="H487" s="27" t="s">
        <v>285</v>
      </c>
    </row>
    <row r="488" spans="1:8">
      <c r="A488" s="27" t="s">
        <v>286</v>
      </c>
      <c r="B488">
        <v>2</v>
      </c>
      <c r="C488">
        <v>5</v>
      </c>
      <c r="D488">
        <v>6</v>
      </c>
      <c r="E488">
        <f>VLOOKUP(A488,Elements!$A$2:$B$435,2,0)</f>
        <v>66</v>
      </c>
      <c r="F488" t="str">
        <f t="shared" si="7"/>
        <v>5-6-66</v>
      </c>
      <c r="G488">
        <v>486</v>
      </c>
      <c r="H488" s="27" t="s">
        <v>286</v>
      </c>
    </row>
    <row r="489" spans="1:8">
      <c r="A489" s="7" t="s">
        <v>287</v>
      </c>
      <c r="B489">
        <v>2</v>
      </c>
      <c r="C489">
        <v>5</v>
      </c>
      <c r="D489">
        <v>6</v>
      </c>
      <c r="E489">
        <f>VLOOKUP(A489,Elements!$A$2:$B$435,2,0)</f>
        <v>241</v>
      </c>
      <c r="F489" t="str">
        <f t="shared" si="7"/>
        <v>5-6-241</v>
      </c>
      <c r="G489">
        <v>487</v>
      </c>
      <c r="H489" s="7" t="s">
        <v>287</v>
      </c>
    </row>
    <row r="490" spans="1:8">
      <c r="A490" s="27" t="s">
        <v>364</v>
      </c>
      <c r="B490">
        <v>2</v>
      </c>
      <c r="C490">
        <v>5</v>
      </c>
      <c r="D490">
        <v>8</v>
      </c>
      <c r="E490">
        <f>VLOOKUP(A490,Elements!$A$2:$B$435,2,0)</f>
        <v>306</v>
      </c>
      <c r="F490" t="str">
        <f t="shared" si="7"/>
        <v>5-8-306</v>
      </c>
      <c r="G490">
        <v>488</v>
      </c>
      <c r="H490" s="27" t="s">
        <v>364</v>
      </c>
    </row>
    <row r="491" spans="1:8">
      <c r="A491" s="27" t="s">
        <v>365</v>
      </c>
      <c r="B491">
        <v>2</v>
      </c>
      <c r="C491">
        <v>5</v>
      </c>
      <c r="D491">
        <v>8</v>
      </c>
      <c r="E491">
        <f>VLOOKUP(A491,Elements!$A$2:$B$435,2,0)</f>
        <v>307</v>
      </c>
      <c r="F491" t="str">
        <f t="shared" si="7"/>
        <v>5-8-307</v>
      </c>
      <c r="G491">
        <v>489</v>
      </c>
      <c r="H491" s="27" t="s">
        <v>365</v>
      </c>
    </row>
    <row r="492" spans="1:8">
      <c r="A492" s="27" t="s">
        <v>117</v>
      </c>
      <c r="B492">
        <v>2</v>
      </c>
      <c r="C492">
        <v>5</v>
      </c>
      <c r="D492">
        <v>8</v>
      </c>
      <c r="E492">
        <f>VLOOKUP(A492,Elements!$A$2:$B$435,2,0)</f>
        <v>83</v>
      </c>
      <c r="F492" t="str">
        <f t="shared" si="7"/>
        <v>5-8-83</v>
      </c>
      <c r="G492">
        <v>490</v>
      </c>
      <c r="H492" s="27" t="s">
        <v>117</v>
      </c>
    </row>
    <row r="493" spans="1:8">
      <c r="A493" s="27" t="s">
        <v>366</v>
      </c>
      <c r="B493">
        <v>2</v>
      </c>
      <c r="C493">
        <v>5</v>
      </c>
      <c r="D493">
        <v>8</v>
      </c>
      <c r="E493">
        <f>VLOOKUP(A493,Elements!$A$2:$B$435,2,0)</f>
        <v>308</v>
      </c>
      <c r="F493" t="str">
        <f t="shared" si="7"/>
        <v>5-8-308</v>
      </c>
      <c r="G493">
        <v>491</v>
      </c>
      <c r="H493" s="27" t="s">
        <v>366</v>
      </c>
    </row>
    <row r="494" spans="1:8">
      <c r="A494" s="27" t="s">
        <v>367</v>
      </c>
      <c r="B494">
        <v>2</v>
      </c>
      <c r="C494">
        <v>5</v>
      </c>
      <c r="D494">
        <v>8</v>
      </c>
      <c r="E494">
        <f>VLOOKUP(A494,Elements!$A$2:$B$435,2,0)</f>
        <v>309</v>
      </c>
      <c r="F494" t="str">
        <f t="shared" si="7"/>
        <v>5-8-309</v>
      </c>
      <c r="G494">
        <v>492</v>
      </c>
      <c r="H494" s="27" t="s">
        <v>367</v>
      </c>
    </row>
    <row r="495" spans="1:8">
      <c r="A495" s="27" t="s">
        <v>119</v>
      </c>
      <c r="B495">
        <v>2</v>
      </c>
      <c r="C495">
        <v>5</v>
      </c>
      <c r="D495">
        <v>8</v>
      </c>
      <c r="E495">
        <f>VLOOKUP(A495,Elements!$A$2:$B$435,2,0)</f>
        <v>85</v>
      </c>
      <c r="F495" t="str">
        <f t="shared" si="7"/>
        <v>5-8-85</v>
      </c>
      <c r="G495">
        <v>493</v>
      </c>
      <c r="H495" s="27" t="s">
        <v>119</v>
      </c>
    </row>
    <row r="496" spans="1:8">
      <c r="A496" s="36" t="s">
        <v>368</v>
      </c>
      <c r="B496">
        <v>2</v>
      </c>
      <c r="C496">
        <v>6</v>
      </c>
      <c r="D496">
        <v>22</v>
      </c>
      <c r="E496">
        <f>VLOOKUP(A496,Elements!$A$2:$B$435,2,0)</f>
        <v>310</v>
      </c>
      <c r="F496" t="str">
        <f t="shared" si="7"/>
        <v>6-22-310</v>
      </c>
      <c r="G496">
        <v>494</v>
      </c>
      <c r="H496" s="36" t="s">
        <v>368</v>
      </c>
    </row>
    <row r="497" spans="1:8">
      <c r="A497" s="36" t="s">
        <v>369</v>
      </c>
      <c r="B497">
        <v>2</v>
      </c>
      <c r="C497">
        <v>6</v>
      </c>
      <c r="D497">
        <v>22</v>
      </c>
      <c r="E497">
        <f>VLOOKUP(A497,Elements!$A$2:$B$435,2,0)</f>
        <v>311</v>
      </c>
      <c r="F497" t="str">
        <f t="shared" si="7"/>
        <v>6-22-311</v>
      </c>
      <c r="G497">
        <v>495</v>
      </c>
      <c r="H497" s="36" t="s">
        <v>369</v>
      </c>
    </row>
    <row r="498" spans="1:8">
      <c r="A498" s="36" t="s">
        <v>370</v>
      </c>
      <c r="B498">
        <v>2</v>
      </c>
      <c r="C498">
        <v>6</v>
      </c>
      <c r="D498">
        <v>22</v>
      </c>
      <c r="E498">
        <f>VLOOKUP(A498,Elements!$A$2:$B$435,2,0)</f>
        <v>312</v>
      </c>
      <c r="F498" t="str">
        <f t="shared" si="7"/>
        <v>6-22-312</v>
      </c>
      <c r="G498">
        <v>496</v>
      </c>
      <c r="H498" s="36" t="s">
        <v>370</v>
      </c>
    </row>
    <row r="499" spans="1:8">
      <c r="A499" s="36" t="s">
        <v>371</v>
      </c>
      <c r="B499">
        <v>2</v>
      </c>
      <c r="C499">
        <v>6</v>
      </c>
      <c r="D499">
        <v>22</v>
      </c>
      <c r="E499">
        <f>VLOOKUP(A499,Elements!$A$2:$B$435,2,0)</f>
        <v>313</v>
      </c>
      <c r="F499" t="str">
        <f t="shared" si="7"/>
        <v>6-22-313</v>
      </c>
      <c r="G499">
        <v>497</v>
      </c>
      <c r="H499" s="36" t="s">
        <v>371</v>
      </c>
    </row>
    <row r="500" spans="1:8">
      <c r="A500" s="36" t="s">
        <v>372</v>
      </c>
      <c r="B500">
        <v>2</v>
      </c>
      <c r="C500">
        <v>6</v>
      </c>
      <c r="D500">
        <v>22</v>
      </c>
      <c r="E500">
        <f>VLOOKUP(A500,Elements!$A$2:$B$435,2,0)</f>
        <v>314</v>
      </c>
      <c r="F500" t="str">
        <f t="shared" si="7"/>
        <v>6-22-314</v>
      </c>
      <c r="G500">
        <v>498</v>
      </c>
      <c r="H500" s="36" t="s">
        <v>372</v>
      </c>
    </row>
    <row r="501" spans="1:8">
      <c r="A501" s="36" t="s">
        <v>373</v>
      </c>
      <c r="B501">
        <v>2</v>
      </c>
      <c r="C501">
        <v>6</v>
      </c>
      <c r="D501">
        <v>22</v>
      </c>
      <c r="E501">
        <f>VLOOKUP(A501,Elements!$A$2:$B$435,2,0)</f>
        <v>315</v>
      </c>
      <c r="F501" t="str">
        <f t="shared" si="7"/>
        <v>6-22-315</v>
      </c>
      <c r="G501">
        <v>499</v>
      </c>
      <c r="H501" s="36" t="s">
        <v>373</v>
      </c>
    </row>
    <row r="502" spans="1:8">
      <c r="A502" s="36" t="s">
        <v>374</v>
      </c>
      <c r="B502">
        <v>2</v>
      </c>
      <c r="C502">
        <v>6</v>
      </c>
      <c r="D502">
        <v>22</v>
      </c>
      <c r="E502">
        <f>VLOOKUP(A502,Elements!$A$2:$B$435,2,0)</f>
        <v>316</v>
      </c>
      <c r="F502" t="str">
        <f t="shared" si="7"/>
        <v>6-22-316</v>
      </c>
      <c r="G502">
        <v>500</v>
      </c>
      <c r="H502" s="36" t="s">
        <v>374</v>
      </c>
    </row>
    <row r="503" spans="1:8">
      <c r="A503" s="36" t="s">
        <v>375</v>
      </c>
      <c r="B503">
        <v>2</v>
      </c>
      <c r="C503">
        <v>6</v>
      </c>
      <c r="D503">
        <v>22</v>
      </c>
      <c r="E503">
        <f>VLOOKUP(A503,Elements!$A$2:$B$435,2,0)</f>
        <v>317</v>
      </c>
      <c r="F503" t="str">
        <f t="shared" si="7"/>
        <v>6-22-317</v>
      </c>
      <c r="G503">
        <v>501</v>
      </c>
      <c r="H503" s="36" t="s">
        <v>375</v>
      </c>
    </row>
    <row r="504" spans="1:8">
      <c r="A504" s="36" t="s">
        <v>376</v>
      </c>
      <c r="B504">
        <v>2</v>
      </c>
      <c r="C504">
        <v>6</v>
      </c>
      <c r="D504">
        <v>22</v>
      </c>
      <c r="E504">
        <f>VLOOKUP(A504,Elements!$A$2:$B$435,2,0)</f>
        <v>318</v>
      </c>
      <c r="F504" t="str">
        <f t="shared" si="7"/>
        <v>6-22-318</v>
      </c>
      <c r="G504">
        <v>502</v>
      </c>
      <c r="H504" s="36" t="s">
        <v>376</v>
      </c>
    </row>
    <row r="505" spans="1:8">
      <c r="A505" s="36" t="s">
        <v>377</v>
      </c>
      <c r="B505">
        <v>2</v>
      </c>
      <c r="C505">
        <v>6</v>
      </c>
      <c r="D505">
        <v>22</v>
      </c>
      <c r="E505">
        <f>VLOOKUP(A505,Elements!$A$2:$B$435,2,0)</f>
        <v>319</v>
      </c>
      <c r="F505" t="str">
        <f t="shared" si="7"/>
        <v>6-22-319</v>
      </c>
      <c r="G505">
        <v>503</v>
      </c>
      <c r="H505" s="36" t="s">
        <v>377</v>
      </c>
    </row>
    <row r="506" spans="1:8">
      <c r="A506" s="36" t="s">
        <v>378</v>
      </c>
      <c r="B506">
        <v>2</v>
      </c>
      <c r="C506">
        <v>6</v>
      </c>
      <c r="D506">
        <v>23</v>
      </c>
      <c r="E506">
        <f>VLOOKUP(A506,Elements!$A$2:$B$435,2,0)</f>
        <v>320</v>
      </c>
      <c r="F506" t="str">
        <f t="shared" si="7"/>
        <v>6-23-320</v>
      </c>
      <c r="G506">
        <v>504</v>
      </c>
      <c r="H506" s="36" t="s">
        <v>378</v>
      </c>
    </row>
    <row r="507" spans="1:8">
      <c r="A507" s="36" t="s">
        <v>165</v>
      </c>
      <c r="B507">
        <v>2</v>
      </c>
      <c r="C507">
        <v>6</v>
      </c>
      <c r="D507">
        <v>23</v>
      </c>
      <c r="E507">
        <f>VLOOKUP(A507,Elements!$A$2:$B$435,2,0)</f>
        <v>130</v>
      </c>
      <c r="F507" t="str">
        <f t="shared" si="7"/>
        <v>6-23-130</v>
      </c>
      <c r="G507">
        <v>505</v>
      </c>
      <c r="H507" s="36" t="s">
        <v>165</v>
      </c>
    </row>
    <row r="508" spans="1:8">
      <c r="A508" s="36" t="s">
        <v>379</v>
      </c>
      <c r="B508">
        <v>2</v>
      </c>
      <c r="C508">
        <v>6</v>
      </c>
      <c r="D508">
        <v>23</v>
      </c>
      <c r="E508">
        <f>VLOOKUP(A508,Elements!$A$2:$B$435,2,0)</f>
        <v>131</v>
      </c>
      <c r="F508" t="str">
        <f t="shared" si="7"/>
        <v>6-23-131</v>
      </c>
      <c r="G508">
        <v>506</v>
      </c>
      <c r="H508" s="36" t="s">
        <v>379</v>
      </c>
    </row>
    <row r="509" spans="1:8">
      <c r="A509" s="36" t="s">
        <v>380</v>
      </c>
      <c r="B509">
        <v>2</v>
      </c>
      <c r="C509">
        <v>6</v>
      </c>
      <c r="D509">
        <v>23</v>
      </c>
      <c r="E509">
        <f>VLOOKUP(A509,Elements!$A$2:$B$435,2,0)</f>
        <v>321</v>
      </c>
      <c r="F509" t="str">
        <f t="shared" si="7"/>
        <v>6-23-321</v>
      </c>
      <c r="G509">
        <v>507</v>
      </c>
      <c r="H509" s="36" t="s">
        <v>380</v>
      </c>
    </row>
    <row r="510" spans="1:8">
      <c r="A510" s="36" t="s">
        <v>381</v>
      </c>
      <c r="B510">
        <v>2</v>
      </c>
      <c r="C510">
        <v>6</v>
      </c>
      <c r="D510">
        <v>23</v>
      </c>
      <c r="E510">
        <f>VLOOKUP(A510,Elements!$A$2:$B$435,2,0)</f>
        <v>322</v>
      </c>
      <c r="F510" t="str">
        <f t="shared" si="7"/>
        <v>6-23-322</v>
      </c>
      <c r="G510">
        <v>508</v>
      </c>
      <c r="H510" s="36" t="s">
        <v>381</v>
      </c>
    </row>
    <row r="511" spans="1:8">
      <c r="A511" s="36" t="s">
        <v>382</v>
      </c>
      <c r="B511">
        <v>2</v>
      </c>
      <c r="C511">
        <v>6</v>
      </c>
      <c r="D511">
        <v>23</v>
      </c>
      <c r="E511">
        <f>VLOOKUP(A511,Elements!$A$2:$B$435,2,0)</f>
        <v>323</v>
      </c>
      <c r="F511" t="str">
        <f t="shared" si="7"/>
        <v>6-23-323</v>
      </c>
      <c r="G511">
        <v>509</v>
      </c>
      <c r="H511" s="36" t="s">
        <v>382</v>
      </c>
    </row>
    <row r="512" spans="1:8">
      <c r="A512" s="36" t="s">
        <v>383</v>
      </c>
      <c r="B512">
        <v>2</v>
      </c>
      <c r="C512">
        <v>6</v>
      </c>
      <c r="D512">
        <v>23</v>
      </c>
      <c r="E512">
        <f>VLOOKUP(A512,Elements!$A$2:$B$435,2,0)</f>
        <v>324</v>
      </c>
      <c r="F512" t="str">
        <f t="shared" si="7"/>
        <v>6-23-324</v>
      </c>
      <c r="G512">
        <v>510</v>
      </c>
      <c r="H512" s="36" t="s">
        <v>383</v>
      </c>
    </row>
    <row r="513" spans="1:8">
      <c r="A513" s="36" t="s">
        <v>384</v>
      </c>
      <c r="B513">
        <v>2</v>
      </c>
      <c r="C513">
        <v>6</v>
      </c>
      <c r="D513">
        <v>23</v>
      </c>
      <c r="E513">
        <f>VLOOKUP(A513,Elements!$A$2:$B$435,2,0)</f>
        <v>325</v>
      </c>
      <c r="F513" t="str">
        <f t="shared" si="7"/>
        <v>6-23-325</v>
      </c>
      <c r="G513">
        <v>511</v>
      </c>
      <c r="H513" s="36" t="s">
        <v>384</v>
      </c>
    </row>
    <row r="514" spans="1:8">
      <c r="A514" s="36" t="s">
        <v>385</v>
      </c>
      <c r="B514">
        <v>2</v>
      </c>
      <c r="C514">
        <v>6</v>
      </c>
      <c r="D514">
        <v>23</v>
      </c>
      <c r="E514">
        <f>VLOOKUP(A514,Elements!$A$2:$B$435,2,0)</f>
        <v>326</v>
      </c>
      <c r="F514" t="str">
        <f t="shared" si="7"/>
        <v>6-23-326</v>
      </c>
      <c r="G514">
        <v>512</v>
      </c>
      <c r="H514" s="36" t="s">
        <v>385</v>
      </c>
    </row>
    <row r="515" spans="1:8">
      <c r="A515" s="36" t="s">
        <v>386</v>
      </c>
      <c r="B515">
        <v>2</v>
      </c>
      <c r="C515">
        <v>6</v>
      </c>
      <c r="D515">
        <v>23</v>
      </c>
      <c r="E515">
        <f>VLOOKUP(A515,Elements!$A$2:$B$435,2,0)</f>
        <v>327</v>
      </c>
      <c r="F515" t="str">
        <f t="shared" ref="F515:F578" si="8">_xlfn.CONCAT(C515,"-",D515,"-",E515)</f>
        <v>6-23-327</v>
      </c>
      <c r="G515">
        <v>513</v>
      </c>
      <c r="H515" s="36" t="s">
        <v>386</v>
      </c>
    </row>
    <row r="516" spans="1:8">
      <c r="A516" s="36" t="s">
        <v>387</v>
      </c>
      <c r="B516">
        <v>2</v>
      </c>
      <c r="C516">
        <v>6</v>
      </c>
      <c r="D516">
        <v>23</v>
      </c>
      <c r="E516">
        <f>VLOOKUP(A516,Elements!$A$2:$B$435,2,0)</f>
        <v>328</v>
      </c>
      <c r="F516" t="str">
        <f t="shared" si="8"/>
        <v>6-23-328</v>
      </c>
      <c r="G516">
        <v>514</v>
      </c>
      <c r="H516" s="36" t="s">
        <v>387</v>
      </c>
    </row>
    <row r="517" spans="1:8">
      <c r="A517" s="36" t="s">
        <v>388</v>
      </c>
      <c r="B517">
        <v>2</v>
      </c>
      <c r="C517">
        <v>6</v>
      </c>
      <c r="D517">
        <v>23</v>
      </c>
      <c r="E517">
        <f>VLOOKUP(A517,Elements!$A$2:$B$435,2,0)</f>
        <v>329</v>
      </c>
      <c r="F517" t="str">
        <f t="shared" si="8"/>
        <v>6-23-329</v>
      </c>
      <c r="G517">
        <v>515</v>
      </c>
      <c r="H517" s="36" t="s">
        <v>388</v>
      </c>
    </row>
    <row r="518" spans="1:8">
      <c r="A518" s="36" t="s">
        <v>389</v>
      </c>
      <c r="B518">
        <v>2</v>
      </c>
      <c r="C518">
        <v>6</v>
      </c>
      <c r="D518">
        <v>23</v>
      </c>
      <c r="E518">
        <f>VLOOKUP(A518,Elements!$A$2:$B$435,2,0)</f>
        <v>330</v>
      </c>
      <c r="F518" t="str">
        <f t="shared" si="8"/>
        <v>6-23-330</v>
      </c>
      <c r="G518">
        <v>516</v>
      </c>
      <c r="H518" s="36" t="s">
        <v>389</v>
      </c>
    </row>
    <row r="519" spans="1:8">
      <c r="A519" s="36" t="s">
        <v>390</v>
      </c>
      <c r="B519">
        <v>2</v>
      </c>
      <c r="C519">
        <v>6</v>
      </c>
      <c r="D519">
        <v>23</v>
      </c>
      <c r="E519">
        <f>VLOOKUP(A519,Elements!$A$2:$B$435,2,0)</f>
        <v>331</v>
      </c>
      <c r="F519" t="str">
        <f t="shared" si="8"/>
        <v>6-23-331</v>
      </c>
      <c r="G519">
        <v>517</v>
      </c>
      <c r="H519" s="36" t="s">
        <v>390</v>
      </c>
    </row>
    <row r="520" spans="1:8">
      <c r="A520" s="36" t="s">
        <v>391</v>
      </c>
      <c r="B520">
        <v>2</v>
      </c>
      <c r="C520">
        <v>6</v>
      </c>
      <c r="D520">
        <v>23</v>
      </c>
      <c r="E520">
        <f>VLOOKUP(A520,Elements!$A$2:$B$435,2,0)</f>
        <v>332</v>
      </c>
      <c r="F520" t="str">
        <f t="shared" si="8"/>
        <v>6-23-332</v>
      </c>
      <c r="G520">
        <v>518</v>
      </c>
      <c r="H520" s="36" t="s">
        <v>391</v>
      </c>
    </row>
    <row r="521" spans="1:8">
      <c r="A521" s="36" t="s">
        <v>392</v>
      </c>
      <c r="B521">
        <v>2</v>
      </c>
      <c r="C521">
        <v>6</v>
      </c>
      <c r="D521">
        <v>23</v>
      </c>
      <c r="E521">
        <f>VLOOKUP(A521,Elements!$A$2:$B$435,2,0)</f>
        <v>333</v>
      </c>
      <c r="F521" t="str">
        <f t="shared" si="8"/>
        <v>6-23-333</v>
      </c>
      <c r="G521">
        <v>519</v>
      </c>
      <c r="H521" s="36" t="s">
        <v>392</v>
      </c>
    </row>
    <row r="522" spans="1:8">
      <c r="A522" s="36" t="s">
        <v>393</v>
      </c>
      <c r="B522">
        <v>2</v>
      </c>
      <c r="C522">
        <v>6</v>
      </c>
      <c r="D522">
        <v>23</v>
      </c>
      <c r="E522">
        <f>VLOOKUP(A522,Elements!$A$2:$B$435,2,0)</f>
        <v>334</v>
      </c>
      <c r="F522" t="str">
        <f t="shared" si="8"/>
        <v>6-23-334</v>
      </c>
      <c r="G522">
        <v>520</v>
      </c>
      <c r="H522" s="36" t="s">
        <v>393</v>
      </c>
    </row>
    <row r="523" spans="1:8">
      <c r="A523" s="36" t="s">
        <v>394</v>
      </c>
      <c r="B523">
        <v>2</v>
      </c>
      <c r="C523">
        <v>6</v>
      </c>
      <c r="D523">
        <v>23</v>
      </c>
      <c r="E523">
        <f>VLOOKUP(A523,Elements!$A$2:$B$435,2,0)</f>
        <v>335</v>
      </c>
      <c r="F523" t="str">
        <f t="shared" si="8"/>
        <v>6-23-335</v>
      </c>
      <c r="G523">
        <v>521</v>
      </c>
      <c r="H523" s="36" t="s">
        <v>394</v>
      </c>
    </row>
    <row r="524" spans="1:8">
      <c r="A524" s="36" t="s">
        <v>395</v>
      </c>
      <c r="B524">
        <v>2</v>
      </c>
      <c r="C524">
        <v>6</v>
      </c>
      <c r="D524">
        <v>23</v>
      </c>
      <c r="E524">
        <f>VLOOKUP(A524,Elements!$A$2:$B$435,2,0)</f>
        <v>336</v>
      </c>
      <c r="F524" t="str">
        <f t="shared" si="8"/>
        <v>6-23-336</v>
      </c>
      <c r="G524">
        <v>522</v>
      </c>
      <c r="H524" s="36" t="s">
        <v>395</v>
      </c>
    </row>
    <row r="525" spans="1:8">
      <c r="A525" s="36" t="s">
        <v>396</v>
      </c>
      <c r="B525">
        <v>2</v>
      </c>
      <c r="C525">
        <v>6</v>
      </c>
      <c r="D525">
        <v>23</v>
      </c>
      <c r="E525">
        <f>VLOOKUP(A525,Elements!$A$2:$B$435,2,0)</f>
        <v>337</v>
      </c>
      <c r="F525" t="str">
        <f t="shared" si="8"/>
        <v>6-23-337</v>
      </c>
      <c r="G525">
        <v>523</v>
      </c>
      <c r="H525" s="36" t="s">
        <v>396</v>
      </c>
    </row>
    <row r="526" spans="1:8">
      <c r="A526" s="36" t="s">
        <v>397</v>
      </c>
      <c r="B526">
        <v>2</v>
      </c>
      <c r="C526">
        <v>6</v>
      </c>
      <c r="D526">
        <v>23</v>
      </c>
      <c r="E526">
        <f>VLOOKUP(A526,Elements!$A$2:$B$435,2,0)</f>
        <v>338</v>
      </c>
      <c r="F526" t="str">
        <f t="shared" si="8"/>
        <v>6-23-338</v>
      </c>
      <c r="G526">
        <v>524</v>
      </c>
      <c r="H526" s="36" t="s">
        <v>397</v>
      </c>
    </row>
    <row r="527" spans="1:8">
      <c r="A527" s="36" t="s">
        <v>398</v>
      </c>
      <c r="B527">
        <v>2</v>
      </c>
      <c r="C527">
        <v>6</v>
      </c>
      <c r="D527">
        <v>23</v>
      </c>
      <c r="E527">
        <f>VLOOKUP(A527,Elements!$A$2:$B$435,2,0)</f>
        <v>339</v>
      </c>
      <c r="F527" t="str">
        <f t="shared" si="8"/>
        <v>6-23-339</v>
      </c>
      <c r="G527">
        <v>525</v>
      </c>
      <c r="H527" s="36" t="s">
        <v>398</v>
      </c>
    </row>
    <row r="528" spans="1:8">
      <c r="A528" s="36" t="s">
        <v>399</v>
      </c>
      <c r="B528">
        <v>2</v>
      </c>
      <c r="C528">
        <v>6</v>
      </c>
      <c r="D528">
        <v>23</v>
      </c>
      <c r="E528">
        <f>VLOOKUP(A528,Elements!$A$2:$B$435,2,0)</f>
        <v>161</v>
      </c>
      <c r="F528" t="str">
        <f t="shared" si="8"/>
        <v>6-23-161</v>
      </c>
      <c r="G528">
        <v>526</v>
      </c>
      <c r="H528" s="36" t="s">
        <v>399</v>
      </c>
    </row>
    <row r="529" spans="1:8">
      <c r="A529" s="36" t="s">
        <v>400</v>
      </c>
      <c r="B529">
        <v>2</v>
      </c>
      <c r="C529">
        <v>6</v>
      </c>
      <c r="D529">
        <v>23</v>
      </c>
      <c r="E529">
        <f>VLOOKUP(A529,Elements!$A$2:$B$435,2,0)</f>
        <v>340</v>
      </c>
      <c r="F529" t="str">
        <f t="shared" si="8"/>
        <v>6-23-340</v>
      </c>
      <c r="G529">
        <v>527</v>
      </c>
      <c r="H529" s="36" t="s">
        <v>400</v>
      </c>
    </row>
    <row r="530" spans="1:8">
      <c r="A530" s="37" t="s">
        <v>405</v>
      </c>
      <c r="B530">
        <v>2</v>
      </c>
      <c r="C530">
        <v>6</v>
      </c>
      <c r="D530">
        <v>24</v>
      </c>
      <c r="E530">
        <f>VLOOKUP(A530,Elements!$A$2:$B$435,2,0)</f>
        <v>341</v>
      </c>
      <c r="F530" t="str">
        <f t="shared" si="8"/>
        <v>6-24-341</v>
      </c>
      <c r="G530">
        <v>528</v>
      </c>
      <c r="H530" s="37" t="s">
        <v>405</v>
      </c>
    </row>
    <row r="531" spans="1:8">
      <c r="A531" s="37" t="s">
        <v>406</v>
      </c>
      <c r="B531">
        <v>2</v>
      </c>
      <c r="C531">
        <v>6</v>
      </c>
      <c r="D531">
        <v>24</v>
      </c>
      <c r="E531">
        <f>VLOOKUP(A531,Elements!$A$2:$B$435,2,0)</f>
        <v>342</v>
      </c>
      <c r="F531" t="str">
        <f t="shared" si="8"/>
        <v>6-24-342</v>
      </c>
      <c r="G531">
        <v>529</v>
      </c>
      <c r="H531" s="37" t="s">
        <v>406</v>
      </c>
    </row>
    <row r="532" spans="1:8">
      <c r="A532" s="37" t="s">
        <v>407</v>
      </c>
      <c r="B532">
        <v>2</v>
      </c>
      <c r="C532">
        <v>6</v>
      </c>
      <c r="D532">
        <v>24</v>
      </c>
      <c r="E532">
        <f>VLOOKUP(A532,Elements!$A$2:$B$435,2,0)</f>
        <v>343</v>
      </c>
      <c r="F532" t="str">
        <f t="shared" si="8"/>
        <v>6-24-343</v>
      </c>
      <c r="G532">
        <v>530</v>
      </c>
      <c r="H532" s="37" t="s">
        <v>407</v>
      </c>
    </row>
    <row r="533" spans="1:8">
      <c r="A533" s="37" t="s">
        <v>408</v>
      </c>
      <c r="B533">
        <v>2</v>
      </c>
      <c r="C533">
        <v>6</v>
      </c>
      <c r="D533">
        <v>24</v>
      </c>
      <c r="E533">
        <f>VLOOKUP(A533,Elements!$A$2:$B$435,2,0)</f>
        <v>344</v>
      </c>
      <c r="F533" t="str">
        <f t="shared" si="8"/>
        <v>6-24-344</v>
      </c>
      <c r="G533">
        <v>531</v>
      </c>
      <c r="H533" s="37" t="s">
        <v>408</v>
      </c>
    </row>
    <row r="534" spans="1:8">
      <c r="A534" s="37" t="s">
        <v>409</v>
      </c>
      <c r="B534">
        <v>2</v>
      </c>
      <c r="C534">
        <v>6</v>
      </c>
      <c r="D534">
        <v>24</v>
      </c>
      <c r="E534">
        <f>VLOOKUP(A534,Elements!$A$2:$B$435,2,0)</f>
        <v>345</v>
      </c>
      <c r="F534" t="str">
        <f t="shared" si="8"/>
        <v>6-24-345</v>
      </c>
      <c r="G534">
        <v>532</v>
      </c>
      <c r="H534" s="37" t="s">
        <v>409</v>
      </c>
    </row>
    <row r="535" spans="1:8">
      <c r="A535" s="38" t="s">
        <v>410</v>
      </c>
      <c r="B535">
        <v>2</v>
      </c>
      <c r="C535">
        <v>6</v>
      </c>
      <c r="D535">
        <v>24</v>
      </c>
      <c r="E535">
        <f>VLOOKUP(A535,Elements!$A$2:$B$435,2,0)</f>
        <v>346</v>
      </c>
      <c r="F535" t="str">
        <f t="shared" si="8"/>
        <v>6-24-346</v>
      </c>
      <c r="G535">
        <v>533</v>
      </c>
      <c r="H535" s="38" t="s">
        <v>410</v>
      </c>
    </row>
    <row r="536" spans="1:8">
      <c r="A536" s="38" t="s">
        <v>411</v>
      </c>
      <c r="B536">
        <v>2</v>
      </c>
      <c r="C536">
        <v>6</v>
      </c>
      <c r="D536">
        <v>24</v>
      </c>
      <c r="E536">
        <f>VLOOKUP(A536,Elements!$A$2:$B$435,2,0)</f>
        <v>347</v>
      </c>
      <c r="F536" t="str">
        <f t="shared" si="8"/>
        <v>6-24-347</v>
      </c>
      <c r="G536">
        <v>534</v>
      </c>
      <c r="H536" s="38" t="s">
        <v>411</v>
      </c>
    </row>
    <row r="537" spans="1:8">
      <c r="A537" s="38" t="s">
        <v>412</v>
      </c>
      <c r="B537">
        <v>2</v>
      </c>
      <c r="C537">
        <v>6</v>
      </c>
      <c r="D537">
        <v>24</v>
      </c>
      <c r="E537">
        <f>VLOOKUP(A537,Elements!$A$2:$B$435,2,0)</f>
        <v>348</v>
      </c>
      <c r="F537" t="str">
        <f t="shared" si="8"/>
        <v>6-24-348</v>
      </c>
      <c r="G537">
        <v>535</v>
      </c>
      <c r="H537" s="38" t="s">
        <v>412</v>
      </c>
    </row>
    <row r="538" spans="1:8">
      <c r="A538" s="38" t="s">
        <v>262</v>
      </c>
      <c r="B538">
        <v>2</v>
      </c>
      <c r="C538">
        <v>6</v>
      </c>
      <c r="D538">
        <v>24</v>
      </c>
      <c r="E538">
        <f>VLOOKUP(A538,Elements!$A$2:$B$435,2,0)</f>
        <v>218</v>
      </c>
      <c r="F538" t="str">
        <f t="shared" si="8"/>
        <v>6-24-218</v>
      </c>
      <c r="G538">
        <v>536</v>
      </c>
      <c r="H538" s="38" t="s">
        <v>262</v>
      </c>
    </row>
    <row r="539" spans="1:8">
      <c r="A539" s="38" t="s">
        <v>413</v>
      </c>
      <c r="B539">
        <v>2</v>
      </c>
      <c r="C539">
        <v>6</v>
      </c>
      <c r="D539">
        <v>24</v>
      </c>
      <c r="E539">
        <f>VLOOKUP(A539,Elements!$A$2:$B$435,2,0)</f>
        <v>349</v>
      </c>
      <c r="F539" t="str">
        <f t="shared" si="8"/>
        <v>6-24-349</v>
      </c>
      <c r="G539">
        <v>537</v>
      </c>
      <c r="H539" s="38" t="s">
        <v>413</v>
      </c>
    </row>
    <row r="540" spans="1:8">
      <c r="A540" s="39" t="s">
        <v>414</v>
      </c>
      <c r="B540">
        <v>2</v>
      </c>
      <c r="C540">
        <v>6</v>
      </c>
      <c r="D540">
        <v>24</v>
      </c>
      <c r="E540">
        <f>VLOOKUP(A540,Elements!$A$2:$B$435,2,0)</f>
        <v>350</v>
      </c>
      <c r="F540" t="str">
        <f t="shared" si="8"/>
        <v>6-24-350</v>
      </c>
      <c r="G540">
        <v>538</v>
      </c>
      <c r="H540" s="39" t="s">
        <v>414</v>
      </c>
    </row>
    <row r="541" spans="1:8">
      <c r="A541" s="39" t="s">
        <v>415</v>
      </c>
      <c r="B541">
        <v>2</v>
      </c>
      <c r="C541">
        <v>6</v>
      </c>
      <c r="D541">
        <v>24</v>
      </c>
      <c r="E541">
        <f>VLOOKUP(A541,Elements!$A$2:$B$435,2,0)</f>
        <v>351</v>
      </c>
      <c r="F541" t="str">
        <f t="shared" si="8"/>
        <v>6-24-351</v>
      </c>
      <c r="G541">
        <v>539</v>
      </c>
      <c r="H541" s="39" t="s">
        <v>415</v>
      </c>
    </row>
    <row r="542" spans="1:8">
      <c r="A542" s="39" t="s">
        <v>416</v>
      </c>
      <c r="B542">
        <v>2</v>
      </c>
      <c r="C542">
        <v>6</v>
      </c>
      <c r="D542">
        <v>24</v>
      </c>
      <c r="E542">
        <f>VLOOKUP(A542,Elements!$A$2:$B$435,2,0)</f>
        <v>352</v>
      </c>
      <c r="F542" t="str">
        <f t="shared" si="8"/>
        <v>6-24-352</v>
      </c>
      <c r="G542">
        <v>540</v>
      </c>
      <c r="H542" s="39" t="s">
        <v>416</v>
      </c>
    </row>
    <row r="543" spans="1:8">
      <c r="A543" s="39" t="s">
        <v>417</v>
      </c>
      <c r="B543">
        <v>2</v>
      </c>
      <c r="C543">
        <v>6</v>
      </c>
      <c r="D543">
        <v>24</v>
      </c>
      <c r="E543">
        <f>VLOOKUP(A543,Elements!$A$2:$B$435,2,0)</f>
        <v>353</v>
      </c>
      <c r="F543" t="str">
        <f t="shared" si="8"/>
        <v>6-24-353</v>
      </c>
      <c r="G543">
        <v>541</v>
      </c>
      <c r="H543" s="39" t="s">
        <v>417</v>
      </c>
    </row>
    <row r="544" spans="1:8">
      <c r="A544" s="38" t="s">
        <v>418</v>
      </c>
      <c r="B544">
        <v>2</v>
      </c>
      <c r="C544">
        <v>6</v>
      </c>
      <c r="D544">
        <v>24</v>
      </c>
      <c r="E544">
        <f>VLOOKUP(A544,Elements!$A$2:$B$435,2,0)</f>
        <v>354</v>
      </c>
      <c r="F544" t="str">
        <f t="shared" si="8"/>
        <v>6-24-354</v>
      </c>
      <c r="G544">
        <v>542</v>
      </c>
      <c r="H544" s="38" t="s">
        <v>418</v>
      </c>
    </row>
    <row r="545" spans="1:8">
      <c r="A545" s="38" t="s">
        <v>419</v>
      </c>
      <c r="B545">
        <v>2</v>
      </c>
      <c r="C545">
        <v>6</v>
      </c>
      <c r="D545">
        <v>24</v>
      </c>
      <c r="E545">
        <f>VLOOKUP(A545,Elements!$A$2:$B$435,2,0)</f>
        <v>355</v>
      </c>
      <c r="F545" t="str">
        <f t="shared" si="8"/>
        <v>6-24-355</v>
      </c>
      <c r="G545">
        <v>543</v>
      </c>
      <c r="H545" s="38" t="s">
        <v>419</v>
      </c>
    </row>
    <row r="546" spans="1:8">
      <c r="A546" s="38" t="s">
        <v>420</v>
      </c>
      <c r="B546">
        <v>2</v>
      </c>
      <c r="C546">
        <v>6</v>
      </c>
      <c r="D546">
        <v>24</v>
      </c>
      <c r="E546">
        <f>VLOOKUP(A546,Elements!$A$2:$B$435,2,0)</f>
        <v>356</v>
      </c>
      <c r="F546" t="str">
        <f t="shared" si="8"/>
        <v>6-24-356</v>
      </c>
      <c r="G546">
        <v>544</v>
      </c>
      <c r="H546" s="38" t="s">
        <v>420</v>
      </c>
    </row>
    <row r="547" spans="1:8">
      <c r="A547" s="37" t="s">
        <v>421</v>
      </c>
      <c r="B547">
        <v>2</v>
      </c>
      <c r="C547">
        <v>6</v>
      </c>
      <c r="D547">
        <v>24</v>
      </c>
      <c r="E547">
        <f>VLOOKUP(A547,Elements!$A$2:$B$435,2,0)</f>
        <v>357</v>
      </c>
      <c r="F547" t="str">
        <f t="shared" si="8"/>
        <v>6-24-357</v>
      </c>
      <c r="G547">
        <v>545</v>
      </c>
      <c r="H547" s="37" t="s">
        <v>421</v>
      </c>
    </row>
    <row r="548" spans="1:8">
      <c r="A548" s="40" t="s">
        <v>261</v>
      </c>
      <c r="B548">
        <v>2</v>
      </c>
      <c r="C548">
        <v>6</v>
      </c>
      <c r="D548">
        <v>24</v>
      </c>
      <c r="E548">
        <f>VLOOKUP(A548,Elements!$A$2:$B$435,2,0)</f>
        <v>358</v>
      </c>
      <c r="F548" t="str">
        <f t="shared" si="8"/>
        <v>6-24-358</v>
      </c>
      <c r="G548">
        <v>546</v>
      </c>
      <c r="H548" s="40" t="s">
        <v>261</v>
      </c>
    </row>
    <row r="549" spans="1:8">
      <c r="A549" s="40" t="s">
        <v>422</v>
      </c>
      <c r="B549">
        <v>2</v>
      </c>
      <c r="C549">
        <v>6</v>
      </c>
      <c r="D549">
        <v>24</v>
      </c>
      <c r="E549">
        <f>VLOOKUP(A549,Elements!$A$2:$B$435,2,0)</f>
        <v>359</v>
      </c>
      <c r="F549" t="str">
        <f t="shared" si="8"/>
        <v>6-24-359</v>
      </c>
      <c r="G549">
        <v>547</v>
      </c>
      <c r="H549" s="40" t="s">
        <v>422</v>
      </c>
    </row>
    <row r="550" spans="1:8">
      <c r="A550" s="40" t="s">
        <v>423</v>
      </c>
      <c r="B550">
        <v>2</v>
      </c>
      <c r="C550">
        <v>6</v>
      </c>
      <c r="D550">
        <v>24</v>
      </c>
      <c r="E550">
        <f>VLOOKUP(A550,Elements!$A$2:$B$435,2,0)</f>
        <v>360</v>
      </c>
      <c r="F550" t="str">
        <f t="shared" si="8"/>
        <v>6-24-360</v>
      </c>
      <c r="G550">
        <v>548</v>
      </c>
      <c r="H550" s="40" t="s">
        <v>423</v>
      </c>
    </row>
    <row r="551" spans="1:8">
      <c r="A551" s="40" t="s">
        <v>424</v>
      </c>
      <c r="B551">
        <v>2</v>
      </c>
      <c r="C551">
        <v>6</v>
      </c>
      <c r="D551">
        <v>24</v>
      </c>
      <c r="E551">
        <f>VLOOKUP(A551,Elements!$A$2:$B$435,2,0)</f>
        <v>361</v>
      </c>
      <c r="F551" t="str">
        <f t="shared" si="8"/>
        <v>6-24-361</v>
      </c>
      <c r="G551">
        <v>549</v>
      </c>
      <c r="H551" s="40" t="s">
        <v>424</v>
      </c>
    </row>
    <row r="552" spans="1:8">
      <c r="A552" s="40" t="s">
        <v>265</v>
      </c>
      <c r="B552">
        <v>2</v>
      </c>
      <c r="C552">
        <v>6</v>
      </c>
      <c r="D552">
        <v>24</v>
      </c>
      <c r="E552">
        <f>VLOOKUP(A552,Elements!$A$2:$B$435,2,0)</f>
        <v>221</v>
      </c>
      <c r="F552" t="str">
        <f t="shared" si="8"/>
        <v>6-24-221</v>
      </c>
      <c r="G552">
        <v>550</v>
      </c>
      <c r="H552" s="40" t="s">
        <v>265</v>
      </c>
    </row>
    <row r="553" spans="1:8">
      <c r="A553" s="39" t="s">
        <v>425</v>
      </c>
      <c r="B553">
        <v>2</v>
      </c>
      <c r="C553">
        <v>6</v>
      </c>
      <c r="D553">
        <v>24</v>
      </c>
      <c r="E553">
        <f>VLOOKUP(A553,Elements!$A$2:$B$435,2,0)</f>
        <v>362</v>
      </c>
      <c r="F553" t="str">
        <f t="shared" si="8"/>
        <v>6-24-362</v>
      </c>
      <c r="G553">
        <v>551</v>
      </c>
      <c r="H553" s="39" t="s">
        <v>425</v>
      </c>
    </row>
    <row r="554" spans="1:8">
      <c r="A554" s="39" t="s">
        <v>426</v>
      </c>
      <c r="B554">
        <v>2</v>
      </c>
      <c r="C554">
        <v>6</v>
      </c>
      <c r="D554">
        <v>24</v>
      </c>
      <c r="E554">
        <f>VLOOKUP(A554,Elements!$A$2:$B$435,2,0)</f>
        <v>363</v>
      </c>
      <c r="F554" t="str">
        <f t="shared" si="8"/>
        <v>6-24-363</v>
      </c>
      <c r="G554">
        <v>552</v>
      </c>
      <c r="H554" s="39" t="s">
        <v>426</v>
      </c>
    </row>
    <row r="555" spans="1:8">
      <c r="A555" s="39" t="s">
        <v>427</v>
      </c>
      <c r="B555">
        <v>2</v>
      </c>
      <c r="C555">
        <v>6</v>
      </c>
      <c r="D555">
        <v>24</v>
      </c>
      <c r="E555">
        <f>VLOOKUP(A555,Elements!$A$2:$B$435,2,0)</f>
        <v>364</v>
      </c>
      <c r="F555" t="str">
        <f t="shared" si="8"/>
        <v>6-24-364</v>
      </c>
      <c r="G555">
        <v>553</v>
      </c>
      <c r="H555" s="39" t="s">
        <v>427</v>
      </c>
    </row>
    <row r="556" spans="1:8">
      <c r="A556" s="39" t="s">
        <v>428</v>
      </c>
      <c r="B556">
        <v>2</v>
      </c>
      <c r="C556">
        <v>6</v>
      </c>
      <c r="D556">
        <v>24</v>
      </c>
      <c r="E556">
        <f>VLOOKUP(A556,Elements!$A$2:$B$435,2,0)</f>
        <v>365</v>
      </c>
      <c r="F556" t="str">
        <f t="shared" si="8"/>
        <v>6-24-365</v>
      </c>
      <c r="G556">
        <v>554</v>
      </c>
      <c r="H556" s="39" t="s">
        <v>428</v>
      </c>
    </row>
    <row r="557" spans="1:8">
      <c r="A557" s="39" t="s">
        <v>429</v>
      </c>
      <c r="B557">
        <v>2</v>
      </c>
      <c r="C557">
        <v>6</v>
      </c>
      <c r="D557">
        <v>24</v>
      </c>
      <c r="E557">
        <f>VLOOKUP(A557,Elements!$A$2:$B$435,2,0)</f>
        <v>366</v>
      </c>
      <c r="F557" t="str">
        <f t="shared" si="8"/>
        <v>6-24-366</v>
      </c>
      <c r="G557">
        <v>555</v>
      </c>
      <c r="H557" s="39" t="s">
        <v>429</v>
      </c>
    </row>
    <row r="558" spans="1:8">
      <c r="A558" s="38" t="s">
        <v>32</v>
      </c>
      <c r="B558">
        <v>2</v>
      </c>
      <c r="C558">
        <v>6</v>
      </c>
      <c r="D558">
        <v>24</v>
      </c>
      <c r="E558">
        <f>VLOOKUP(A558,Elements!$A$2:$B$435,2,0)</f>
        <v>32</v>
      </c>
      <c r="F558" t="str">
        <f t="shared" si="8"/>
        <v>6-24-32</v>
      </c>
      <c r="G558">
        <v>556</v>
      </c>
      <c r="H558" s="38" t="s">
        <v>32</v>
      </c>
    </row>
    <row r="559" spans="1:8">
      <c r="A559" s="38" t="s">
        <v>181</v>
      </c>
      <c r="B559">
        <v>2</v>
      </c>
      <c r="C559">
        <v>6</v>
      </c>
      <c r="D559">
        <v>24</v>
      </c>
      <c r="E559">
        <f>VLOOKUP(A559,Elements!$A$2:$B$435,2,0)</f>
        <v>146</v>
      </c>
      <c r="F559" t="str">
        <f t="shared" si="8"/>
        <v>6-24-146</v>
      </c>
      <c r="G559">
        <v>557</v>
      </c>
      <c r="H559" s="38" t="s">
        <v>181</v>
      </c>
    </row>
    <row r="560" spans="1:8">
      <c r="A560" s="38" t="s">
        <v>430</v>
      </c>
      <c r="B560">
        <v>2</v>
      </c>
      <c r="C560">
        <v>6</v>
      </c>
      <c r="D560">
        <v>24</v>
      </c>
      <c r="E560">
        <f>VLOOKUP(A560,Elements!$A$2:$B$435,2,0)</f>
        <v>367</v>
      </c>
      <c r="F560" t="str">
        <f t="shared" si="8"/>
        <v>6-24-367</v>
      </c>
      <c r="G560">
        <v>558</v>
      </c>
      <c r="H560" s="38" t="s">
        <v>430</v>
      </c>
    </row>
    <row r="561" spans="1:8">
      <c r="A561" s="38" t="s">
        <v>431</v>
      </c>
      <c r="B561">
        <v>2</v>
      </c>
      <c r="C561">
        <v>6</v>
      </c>
      <c r="D561">
        <v>24</v>
      </c>
      <c r="E561">
        <f>VLOOKUP(A561,Elements!$A$2:$B$435,2,0)</f>
        <v>368</v>
      </c>
      <c r="F561" t="str">
        <f t="shared" si="8"/>
        <v>6-24-368</v>
      </c>
      <c r="G561">
        <v>559</v>
      </c>
      <c r="H561" s="38" t="s">
        <v>431</v>
      </c>
    </row>
    <row r="562" spans="1:8">
      <c r="A562" s="38" t="s">
        <v>432</v>
      </c>
      <c r="B562">
        <v>2</v>
      </c>
      <c r="C562">
        <v>6</v>
      </c>
      <c r="D562">
        <v>24</v>
      </c>
      <c r="E562">
        <f>VLOOKUP(A562,Elements!$A$2:$B$435,2,0)</f>
        <v>369</v>
      </c>
      <c r="F562" t="str">
        <f t="shared" si="8"/>
        <v>6-24-369</v>
      </c>
      <c r="G562">
        <v>560</v>
      </c>
      <c r="H562" s="38" t="s">
        <v>432</v>
      </c>
    </row>
    <row r="563" spans="1:8">
      <c r="A563" s="40" t="s">
        <v>433</v>
      </c>
      <c r="B563">
        <v>2</v>
      </c>
      <c r="C563">
        <v>6</v>
      </c>
      <c r="D563">
        <v>24</v>
      </c>
      <c r="E563">
        <f>VLOOKUP(A563,Elements!$A$2:$B$435,2,0)</f>
        <v>370</v>
      </c>
      <c r="F563" t="str">
        <f t="shared" si="8"/>
        <v>6-24-370</v>
      </c>
      <c r="G563">
        <v>561</v>
      </c>
      <c r="H563" s="40" t="s">
        <v>433</v>
      </c>
    </row>
    <row r="564" spans="1:8">
      <c r="A564" s="36" t="s">
        <v>434</v>
      </c>
      <c r="B564">
        <v>2</v>
      </c>
      <c r="C564">
        <v>6</v>
      </c>
      <c r="D564">
        <v>25</v>
      </c>
      <c r="E564">
        <f>VLOOKUP(A564,Elements!$A$2:$B$435,2,0)</f>
        <v>371</v>
      </c>
      <c r="F564" t="str">
        <f t="shared" si="8"/>
        <v>6-25-371</v>
      </c>
      <c r="G564">
        <v>562</v>
      </c>
      <c r="H564" s="36" t="s">
        <v>434</v>
      </c>
    </row>
    <row r="565" spans="1:8">
      <c r="A565" s="36" t="s">
        <v>435</v>
      </c>
      <c r="B565">
        <v>2</v>
      </c>
      <c r="C565">
        <v>6</v>
      </c>
      <c r="D565">
        <v>25</v>
      </c>
      <c r="E565">
        <f>VLOOKUP(A565,Elements!$A$2:$B$435,2,0)</f>
        <v>372</v>
      </c>
      <c r="F565" t="str">
        <f t="shared" si="8"/>
        <v>6-25-372</v>
      </c>
      <c r="G565">
        <v>563</v>
      </c>
      <c r="H565" s="36" t="s">
        <v>435</v>
      </c>
    </row>
    <row r="566" spans="1:8">
      <c r="A566" s="36" t="s">
        <v>135</v>
      </c>
      <c r="B566">
        <v>2</v>
      </c>
      <c r="C566">
        <v>6</v>
      </c>
      <c r="D566">
        <v>25</v>
      </c>
      <c r="E566">
        <f>VLOOKUP(A566,Elements!$A$2:$B$435,2,0)</f>
        <v>101</v>
      </c>
      <c r="F566" t="str">
        <f t="shared" si="8"/>
        <v>6-25-101</v>
      </c>
      <c r="G566">
        <v>564</v>
      </c>
      <c r="H566" s="36" t="s">
        <v>135</v>
      </c>
    </row>
    <row r="567" spans="1:8">
      <c r="A567" s="36" t="s">
        <v>436</v>
      </c>
      <c r="B567">
        <v>2</v>
      </c>
      <c r="C567">
        <v>6</v>
      </c>
      <c r="D567">
        <v>25</v>
      </c>
      <c r="E567">
        <f>VLOOKUP(A567,Elements!$A$2:$B$435,2,0)</f>
        <v>373</v>
      </c>
      <c r="F567" t="str">
        <f t="shared" si="8"/>
        <v>6-25-373</v>
      </c>
      <c r="G567">
        <v>565</v>
      </c>
      <c r="H567" s="36" t="s">
        <v>436</v>
      </c>
    </row>
    <row r="568" spans="1:8">
      <c r="A568" s="36" t="s">
        <v>437</v>
      </c>
      <c r="B568">
        <v>2</v>
      </c>
      <c r="C568">
        <v>6</v>
      </c>
      <c r="D568">
        <v>25</v>
      </c>
      <c r="E568">
        <f>VLOOKUP(A568,Elements!$A$2:$B$435,2,0)</f>
        <v>374</v>
      </c>
      <c r="F568" t="str">
        <f t="shared" si="8"/>
        <v>6-25-374</v>
      </c>
      <c r="G568">
        <v>566</v>
      </c>
      <c r="H568" s="36" t="s">
        <v>437</v>
      </c>
    </row>
    <row r="569" spans="1:8">
      <c r="A569" s="36" t="s">
        <v>438</v>
      </c>
      <c r="B569">
        <v>2</v>
      </c>
      <c r="C569">
        <v>6</v>
      </c>
      <c r="D569">
        <v>25</v>
      </c>
      <c r="E569">
        <f>VLOOKUP(A569,Elements!$A$2:$B$435,2,0)</f>
        <v>375</v>
      </c>
      <c r="F569" t="str">
        <f t="shared" si="8"/>
        <v>6-25-375</v>
      </c>
      <c r="G569">
        <v>567</v>
      </c>
      <c r="H569" s="36" t="s">
        <v>438</v>
      </c>
    </row>
    <row r="570" spans="1:8">
      <c r="A570" s="36" t="s">
        <v>439</v>
      </c>
      <c r="B570">
        <v>2</v>
      </c>
      <c r="C570">
        <v>6</v>
      </c>
      <c r="D570">
        <v>25</v>
      </c>
      <c r="E570">
        <f>VLOOKUP(A570,Elements!$A$2:$B$435,2,0)</f>
        <v>376</v>
      </c>
      <c r="F570" t="str">
        <f t="shared" si="8"/>
        <v>6-25-376</v>
      </c>
      <c r="G570">
        <v>568</v>
      </c>
      <c r="H570" s="36" t="s">
        <v>439</v>
      </c>
    </row>
    <row r="571" spans="1:8">
      <c r="A571" s="36" t="s">
        <v>440</v>
      </c>
      <c r="B571">
        <v>2</v>
      </c>
      <c r="C571">
        <v>6</v>
      </c>
      <c r="D571">
        <v>25</v>
      </c>
      <c r="E571">
        <f>VLOOKUP(A571,Elements!$A$2:$B$435,2,0)</f>
        <v>377</v>
      </c>
      <c r="F571" t="str">
        <f t="shared" si="8"/>
        <v>6-25-377</v>
      </c>
      <c r="G571">
        <v>569</v>
      </c>
      <c r="H571" s="36" t="s">
        <v>440</v>
      </c>
    </row>
    <row r="572" spans="1:8">
      <c r="A572" s="36" t="s">
        <v>270</v>
      </c>
      <c r="B572">
        <v>2</v>
      </c>
      <c r="C572">
        <v>6</v>
      </c>
      <c r="D572">
        <v>7</v>
      </c>
      <c r="E572">
        <f>VLOOKUP(A572,Elements!$A$2:$B$435,2,0)</f>
        <v>225</v>
      </c>
      <c r="F572" t="str">
        <f t="shared" si="8"/>
        <v>6-7-225</v>
      </c>
      <c r="G572">
        <v>570</v>
      </c>
      <c r="H572" s="36" t="s">
        <v>270</v>
      </c>
    </row>
    <row r="573" spans="1:8">
      <c r="A573" s="36" t="s">
        <v>351</v>
      </c>
      <c r="B573">
        <v>2</v>
      </c>
      <c r="C573">
        <v>6</v>
      </c>
      <c r="D573">
        <v>7</v>
      </c>
      <c r="E573">
        <f>VLOOKUP(A573,Elements!$A$2:$B$435,2,0)</f>
        <v>226</v>
      </c>
      <c r="F573" t="str">
        <f t="shared" si="8"/>
        <v>6-7-226</v>
      </c>
      <c r="G573">
        <v>571</v>
      </c>
      <c r="H573" s="36" t="s">
        <v>351</v>
      </c>
    </row>
    <row r="574" spans="1:8">
      <c r="A574" s="36" t="s">
        <v>47</v>
      </c>
      <c r="B574">
        <v>2</v>
      </c>
      <c r="C574">
        <v>6</v>
      </c>
      <c r="D574">
        <v>7</v>
      </c>
      <c r="E574">
        <f>VLOOKUP(A574,Elements!$A$2:$B$435,2,0)</f>
        <v>10</v>
      </c>
      <c r="F574" t="str">
        <f t="shared" si="8"/>
        <v>6-7-10</v>
      </c>
      <c r="G574">
        <v>572</v>
      </c>
      <c r="H574" s="36" t="s">
        <v>47</v>
      </c>
    </row>
    <row r="575" spans="1:8">
      <c r="A575" s="36" t="s">
        <v>441</v>
      </c>
      <c r="B575">
        <v>2</v>
      </c>
      <c r="C575">
        <v>6</v>
      </c>
      <c r="D575">
        <v>7</v>
      </c>
      <c r="E575">
        <f>VLOOKUP(A575,Elements!$A$2:$B$435,2,0)</f>
        <v>378</v>
      </c>
      <c r="F575" t="str">
        <f t="shared" si="8"/>
        <v>6-7-378</v>
      </c>
      <c r="G575">
        <v>573</v>
      </c>
      <c r="H575" s="36" t="s">
        <v>441</v>
      </c>
    </row>
    <row r="576" spans="1:8">
      <c r="A576" s="36" t="s">
        <v>353</v>
      </c>
      <c r="B576">
        <v>2</v>
      </c>
      <c r="C576">
        <v>6</v>
      </c>
      <c r="D576">
        <v>7</v>
      </c>
      <c r="E576">
        <f>VLOOKUP(A576,Elements!$A$2:$B$435,2,0)</f>
        <v>73</v>
      </c>
      <c r="F576" t="str">
        <f t="shared" si="8"/>
        <v>6-7-73</v>
      </c>
      <c r="G576">
        <v>574</v>
      </c>
      <c r="H576" s="36" t="s">
        <v>353</v>
      </c>
    </row>
    <row r="577" spans="1:8">
      <c r="A577" s="36" t="s">
        <v>354</v>
      </c>
      <c r="B577">
        <v>2</v>
      </c>
      <c r="C577">
        <v>6</v>
      </c>
      <c r="D577">
        <v>7</v>
      </c>
      <c r="E577">
        <f>VLOOKUP(A577,Elements!$A$2:$B$435,2,0)</f>
        <v>74</v>
      </c>
      <c r="F577" t="str">
        <f t="shared" si="8"/>
        <v>6-7-74</v>
      </c>
      <c r="G577">
        <v>575</v>
      </c>
      <c r="H577" s="36" t="s">
        <v>354</v>
      </c>
    </row>
    <row r="578" spans="1:8">
      <c r="A578" s="36" t="s">
        <v>355</v>
      </c>
      <c r="B578">
        <v>2</v>
      </c>
      <c r="C578">
        <v>6</v>
      </c>
      <c r="D578">
        <v>7</v>
      </c>
      <c r="E578">
        <f>VLOOKUP(A578,Elements!$A$2:$B$435,2,0)</f>
        <v>75</v>
      </c>
      <c r="F578" t="str">
        <f t="shared" si="8"/>
        <v>6-7-75</v>
      </c>
      <c r="G578">
        <v>576</v>
      </c>
      <c r="H578" s="36" t="s">
        <v>355</v>
      </c>
    </row>
    <row r="579" spans="1:8">
      <c r="A579" s="36" t="s">
        <v>357</v>
      </c>
      <c r="B579">
        <v>2</v>
      </c>
      <c r="C579">
        <v>6</v>
      </c>
      <c r="D579">
        <v>7</v>
      </c>
      <c r="E579">
        <f>VLOOKUP(A579,Elements!$A$2:$B$435,2,0)</f>
        <v>301</v>
      </c>
      <c r="F579" t="str">
        <f t="shared" ref="F579:F639" si="9">_xlfn.CONCAT(C579,"-",D579,"-",E579)</f>
        <v>6-7-301</v>
      </c>
      <c r="G579">
        <v>577</v>
      </c>
      <c r="H579" s="36" t="s">
        <v>357</v>
      </c>
    </row>
    <row r="580" spans="1:8">
      <c r="A580" s="36" t="s">
        <v>112</v>
      </c>
      <c r="B580">
        <v>2</v>
      </c>
      <c r="C580">
        <v>6</v>
      </c>
      <c r="D580">
        <v>7</v>
      </c>
      <c r="E580">
        <f>VLOOKUP(A580,Elements!$A$2:$B$435,2,0)</f>
        <v>78</v>
      </c>
      <c r="F580" t="str">
        <f t="shared" si="9"/>
        <v>6-7-78</v>
      </c>
      <c r="G580">
        <v>578</v>
      </c>
      <c r="H580" s="36" t="s">
        <v>112</v>
      </c>
    </row>
    <row r="581" spans="1:8">
      <c r="A581" s="36" t="s">
        <v>114</v>
      </c>
      <c r="B581">
        <v>2</v>
      </c>
      <c r="C581">
        <v>6</v>
      </c>
      <c r="D581">
        <v>7</v>
      </c>
      <c r="E581">
        <f>VLOOKUP(A581,Elements!$A$2:$B$435,2,0)</f>
        <v>80</v>
      </c>
      <c r="F581" t="str">
        <f t="shared" si="9"/>
        <v>6-7-80</v>
      </c>
      <c r="G581">
        <v>579</v>
      </c>
      <c r="H581" s="36" t="s">
        <v>114</v>
      </c>
    </row>
    <row r="582" spans="1:8">
      <c r="A582" s="36" t="s">
        <v>115</v>
      </c>
      <c r="B582">
        <v>2</v>
      </c>
      <c r="C582">
        <v>6</v>
      </c>
      <c r="D582">
        <v>7</v>
      </c>
      <c r="E582">
        <f>VLOOKUP(A582,Elements!$A$2:$B$435,2,0)</f>
        <v>81</v>
      </c>
      <c r="F582" t="str">
        <f t="shared" si="9"/>
        <v>6-7-81</v>
      </c>
      <c r="G582">
        <v>580</v>
      </c>
      <c r="H582" s="36" t="s">
        <v>115</v>
      </c>
    </row>
    <row r="583" spans="1:8">
      <c r="A583" s="36" t="s">
        <v>116</v>
      </c>
      <c r="B583">
        <v>2</v>
      </c>
      <c r="C583">
        <v>6</v>
      </c>
      <c r="D583">
        <v>7</v>
      </c>
      <c r="E583">
        <f>VLOOKUP(A583,Elements!$A$2:$B$435,2,0)</f>
        <v>82</v>
      </c>
      <c r="F583" t="str">
        <f t="shared" si="9"/>
        <v>6-7-82</v>
      </c>
      <c r="G583">
        <v>581</v>
      </c>
      <c r="H583" s="36" t="s">
        <v>116</v>
      </c>
    </row>
    <row r="584" spans="1:8">
      <c r="A584" s="36" t="s">
        <v>279</v>
      </c>
      <c r="B584">
        <v>2</v>
      </c>
      <c r="C584">
        <v>6</v>
      </c>
      <c r="D584">
        <v>7</v>
      </c>
      <c r="E584">
        <f>VLOOKUP(A584,Elements!$A$2:$B$435,2,0)</f>
        <v>234</v>
      </c>
      <c r="F584" t="str">
        <f t="shared" si="9"/>
        <v>6-7-234</v>
      </c>
      <c r="G584">
        <v>582</v>
      </c>
      <c r="H584" s="36" t="s">
        <v>279</v>
      </c>
    </row>
    <row r="585" spans="1:8">
      <c r="A585" s="36" t="s">
        <v>442</v>
      </c>
      <c r="B585">
        <v>2</v>
      </c>
      <c r="C585">
        <v>6</v>
      </c>
      <c r="D585">
        <v>6</v>
      </c>
      <c r="E585">
        <f>VLOOKUP(A585,Elements!$A$2:$B$435,2,0)</f>
        <v>379</v>
      </c>
      <c r="F585" t="str">
        <f t="shared" si="9"/>
        <v>6-6-379</v>
      </c>
      <c r="G585">
        <v>583</v>
      </c>
      <c r="H585" s="36" t="s">
        <v>442</v>
      </c>
    </row>
    <row r="586" spans="1:8">
      <c r="A586" s="36" t="s">
        <v>443</v>
      </c>
      <c r="B586">
        <v>2</v>
      </c>
      <c r="C586">
        <v>6</v>
      </c>
      <c r="D586">
        <v>6</v>
      </c>
      <c r="E586">
        <f>VLOOKUP(A586,Elements!$A$2:$B$435,2,0)</f>
        <v>380</v>
      </c>
      <c r="F586" t="str">
        <f t="shared" si="9"/>
        <v>6-6-380</v>
      </c>
      <c r="G586">
        <v>584</v>
      </c>
      <c r="H586" s="36" t="s">
        <v>443</v>
      </c>
    </row>
    <row r="587" spans="1:8">
      <c r="A587" s="36" t="s">
        <v>444</v>
      </c>
      <c r="B587">
        <v>2</v>
      </c>
      <c r="C587">
        <v>6</v>
      </c>
      <c r="D587">
        <v>6</v>
      </c>
      <c r="E587">
        <f>VLOOKUP(A587,Elements!$A$2:$B$435,2,0)</f>
        <v>381</v>
      </c>
      <c r="F587" t="str">
        <f t="shared" si="9"/>
        <v>6-6-381</v>
      </c>
      <c r="G587">
        <v>585</v>
      </c>
      <c r="H587" s="36" t="s">
        <v>444</v>
      </c>
    </row>
    <row r="588" spans="1:8">
      <c r="A588" s="36" t="s">
        <v>445</v>
      </c>
      <c r="B588">
        <v>2</v>
      </c>
      <c r="C588">
        <v>6</v>
      </c>
      <c r="D588">
        <v>6</v>
      </c>
      <c r="E588">
        <f>VLOOKUP(A588,Elements!$A$2:$B$435,2,0)</f>
        <v>382</v>
      </c>
      <c r="F588" t="str">
        <f t="shared" si="9"/>
        <v>6-6-382</v>
      </c>
      <c r="G588">
        <v>586</v>
      </c>
      <c r="H588" s="36" t="s">
        <v>445</v>
      </c>
    </row>
    <row r="589" spans="1:8">
      <c r="A589" s="36" t="s">
        <v>362</v>
      </c>
      <c r="B589">
        <v>2</v>
      </c>
      <c r="C589">
        <v>6</v>
      </c>
      <c r="D589">
        <v>6</v>
      </c>
      <c r="E589">
        <f>VLOOKUP(A589,Elements!$A$2:$B$435,2,0)</f>
        <v>65</v>
      </c>
      <c r="F589" t="str">
        <f t="shared" si="9"/>
        <v>6-6-65</v>
      </c>
      <c r="G589">
        <v>587</v>
      </c>
      <c r="H589" s="36" t="s">
        <v>362</v>
      </c>
    </row>
    <row r="590" spans="1:8">
      <c r="A590" s="36" t="s">
        <v>285</v>
      </c>
      <c r="B590">
        <v>2</v>
      </c>
      <c r="C590">
        <v>6</v>
      </c>
      <c r="D590">
        <v>6</v>
      </c>
      <c r="E590">
        <f>VLOOKUP(A590,Elements!$A$2:$B$435,2,0)</f>
        <v>240</v>
      </c>
      <c r="F590" t="str">
        <f t="shared" si="9"/>
        <v>6-6-240</v>
      </c>
      <c r="G590">
        <v>588</v>
      </c>
      <c r="H590" s="36" t="s">
        <v>285</v>
      </c>
    </row>
    <row r="591" spans="1:8">
      <c r="A591" s="36" t="s">
        <v>286</v>
      </c>
      <c r="B591">
        <v>2</v>
      </c>
      <c r="C591">
        <v>6</v>
      </c>
      <c r="D591">
        <v>6</v>
      </c>
      <c r="E591">
        <f>VLOOKUP(A591,Elements!$A$2:$B$435,2,0)</f>
        <v>66</v>
      </c>
      <c r="F591" t="str">
        <f t="shared" si="9"/>
        <v>6-6-66</v>
      </c>
      <c r="G591">
        <v>589</v>
      </c>
      <c r="H591" s="36" t="s">
        <v>286</v>
      </c>
    </row>
    <row r="592" spans="1:8">
      <c r="A592" s="36" t="s">
        <v>287</v>
      </c>
      <c r="B592">
        <v>2</v>
      </c>
      <c r="C592">
        <v>6</v>
      </c>
      <c r="D592">
        <v>6</v>
      </c>
      <c r="E592">
        <f>VLOOKUP(A592,Elements!$A$2:$B$435,2,0)</f>
        <v>241</v>
      </c>
      <c r="F592" t="str">
        <f t="shared" si="9"/>
        <v>6-6-241</v>
      </c>
      <c r="G592">
        <v>590</v>
      </c>
      <c r="H592" s="36" t="s">
        <v>287</v>
      </c>
    </row>
    <row r="593" spans="1:8">
      <c r="A593" s="36" t="s">
        <v>93</v>
      </c>
      <c r="B593">
        <v>2</v>
      </c>
      <c r="C593">
        <v>6</v>
      </c>
      <c r="D593">
        <v>8</v>
      </c>
      <c r="E593">
        <f>VLOOKUP(A593,Elements!$A$2:$B$435,2,0)</f>
        <v>55</v>
      </c>
      <c r="F593" t="str">
        <f t="shared" si="9"/>
        <v>6-8-55</v>
      </c>
      <c r="G593">
        <v>591</v>
      </c>
      <c r="H593" s="36" t="s">
        <v>93</v>
      </c>
    </row>
    <row r="594" spans="1:8">
      <c r="A594" s="36" t="s">
        <v>446</v>
      </c>
      <c r="B594">
        <v>2</v>
      </c>
      <c r="C594">
        <v>6</v>
      </c>
      <c r="D594">
        <v>8</v>
      </c>
      <c r="E594">
        <f>VLOOKUP(A594,Elements!$A$2:$B$435,2,0)</f>
        <v>383</v>
      </c>
      <c r="F594" t="str">
        <f t="shared" si="9"/>
        <v>6-8-383</v>
      </c>
      <c r="G594">
        <v>592</v>
      </c>
      <c r="H594" s="36" t="s">
        <v>446</v>
      </c>
    </row>
    <row r="595" spans="1:8">
      <c r="A595" s="36" t="s">
        <v>447</v>
      </c>
      <c r="B595">
        <v>2</v>
      </c>
      <c r="C595">
        <v>6</v>
      </c>
      <c r="D595">
        <v>8</v>
      </c>
      <c r="E595">
        <f>VLOOKUP(A595,Elements!$A$2:$B$435,2,0)</f>
        <v>384</v>
      </c>
      <c r="F595" t="str">
        <f t="shared" si="9"/>
        <v>6-8-384</v>
      </c>
      <c r="G595">
        <v>593</v>
      </c>
      <c r="H595" s="36" t="s">
        <v>447</v>
      </c>
    </row>
    <row r="596" spans="1:8">
      <c r="A596" s="36" t="s">
        <v>448</v>
      </c>
      <c r="B596">
        <v>2</v>
      </c>
      <c r="C596">
        <v>6</v>
      </c>
      <c r="D596">
        <v>8</v>
      </c>
      <c r="E596">
        <f>VLOOKUP(A596,Elements!$A$2:$B$435,2,0)</f>
        <v>385</v>
      </c>
      <c r="F596" t="str">
        <f t="shared" si="9"/>
        <v>6-8-385</v>
      </c>
      <c r="G596">
        <v>594</v>
      </c>
      <c r="H596" s="36" t="s">
        <v>448</v>
      </c>
    </row>
    <row r="597" spans="1:8">
      <c r="A597" s="26" t="s">
        <v>450</v>
      </c>
      <c r="B597">
        <v>2</v>
      </c>
      <c r="C597">
        <v>7</v>
      </c>
      <c r="D597">
        <v>26</v>
      </c>
      <c r="E597">
        <f>VLOOKUP(A597,Elements!$A$2:$B$435,2,0)</f>
        <v>386</v>
      </c>
      <c r="F597" t="str">
        <f t="shared" si="9"/>
        <v>7-26-386</v>
      </c>
      <c r="G597">
        <v>595</v>
      </c>
      <c r="H597" s="26" t="s">
        <v>450</v>
      </c>
    </row>
    <row r="598" spans="1:8">
      <c r="A598" s="26" t="s">
        <v>451</v>
      </c>
      <c r="B598">
        <v>2</v>
      </c>
      <c r="C598">
        <v>7</v>
      </c>
      <c r="D598">
        <v>26</v>
      </c>
      <c r="E598">
        <f>VLOOKUP(A598,Elements!$A$2:$B$435,2,0)</f>
        <v>387</v>
      </c>
      <c r="F598" t="str">
        <f t="shared" si="9"/>
        <v>7-26-387</v>
      </c>
      <c r="G598">
        <v>596</v>
      </c>
      <c r="H598" s="26" t="s">
        <v>451</v>
      </c>
    </row>
    <row r="599" spans="1:8">
      <c r="A599" s="28" t="s">
        <v>453</v>
      </c>
      <c r="B599">
        <v>2</v>
      </c>
      <c r="C599">
        <v>7</v>
      </c>
      <c r="D599">
        <v>26</v>
      </c>
      <c r="E599">
        <f>VLOOKUP(A599,Elements!$A$2:$B$435,2,0)</f>
        <v>388</v>
      </c>
      <c r="F599" t="str">
        <f t="shared" si="9"/>
        <v>7-26-388</v>
      </c>
      <c r="G599">
        <v>597</v>
      </c>
      <c r="H599" s="28" t="s">
        <v>453</v>
      </c>
    </row>
    <row r="600" spans="1:8">
      <c r="A600" s="28" t="s">
        <v>454</v>
      </c>
      <c r="B600">
        <v>2</v>
      </c>
      <c r="C600">
        <v>7</v>
      </c>
      <c r="D600">
        <v>26</v>
      </c>
      <c r="E600">
        <f>VLOOKUP(A600,Elements!$A$2:$B$435,2,0)</f>
        <v>389</v>
      </c>
      <c r="F600" t="str">
        <f t="shared" si="9"/>
        <v>7-26-389</v>
      </c>
      <c r="G600">
        <v>598</v>
      </c>
      <c r="H600" s="28" t="s">
        <v>454</v>
      </c>
    </row>
    <row r="601" spans="1:8">
      <c r="A601" s="28" t="s">
        <v>455</v>
      </c>
      <c r="B601">
        <v>2</v>
      </c>
      <c r="C601">
        <v>7</v>
      </c>
      <c r="D601">
        <v>26</v>
      </c>
      <c r="E601">
        <f>VLOOKUP(A601,Elements!$A$2:$B$435,2,0)</f>
        <v>390</v>
      </c>
      <c r="F601" t="str">
        <f t="shared" si="9"/>
        <v>7-26-390</v>
      </c>
      <c r="G601">
        <v>599</v>
      </c>
      <c r="H601" s="28" t="s">
        <v>455</v>
      </c>
    </row>
    <row r="602" spans="1:8">
      <c r="A602" s="28" t="s">
        <v>456</v>
      </c>
      <c r="B602">
        <v>2</v>
      </c>
      <c r="C602">
        <v>7</v>
      </c>
      <c r="D602">
        <v>26</v>
      </c>
      <c r="E602">
        <f>VLOOKUP(A602,Elements!$A$2:$B$435,2,0)</f>
        <v>391</v>
      </c>
      <c r="F602" t="str">
        <f t="shared" si="9"/>
        <v>7-26-391</v>
      </c>
      <c r="G602">
        <v>600</v>
      </c>
      <c r="H602" s="28" t="s">
        <v>456</v>
      </c>
    </row>
    <row r="603" spans="1:8">
      <c r="A603" s="28" t="s">
        <v>457</v>
      </c>
      <c r="B603">
        <v>2</v>
      </c>
      <c r="C603">
        <v>7</v>
      </c>
      <c r="D603">
        <v>26</v>
      </c>
      <c r="E603">
        <f>VLOOKUP(A603,Elements!$A$2:$B$435,2,0)</f>
        <v>392</v>
      </c>
      <c r="F603" t="str">
        <f t="shared" si="9"/>
        <v>7-26-392</v>
      </c>
      <c r="G603">
        <v>601</v>
      </c>
      <c r="H603" s="28" t="s">
        <v>457</v>
      </c>
    </row>
    <row r="604" spans="1:8">
      <c r="A604" s="28" t="s">
        <v>458</v>
      </c>
      <c r="B604">
        <v>2</v>
      </c>
      <c r="C604">
        <v>7</v>
      </c>
      <c r="D604">
        <v>26</v>
      </c>
      <c r="E604">
        <f>VLOOKUP(A604,Elements!$A$2:$B$435,2,0)</f>
        <v>393</v>
      </c>
      <c r="F604" t="str">
        <f t="shared" si="9"/>
        <v>7-26-393</v>
      </c>
      <c r="G604">
        <v>602</v>
      </c>
      <c r="H604" s="28" t="s">
        <v>458</v>
      </c>
    </row>
    <row r="605" spans="1:8">
      <c r="A605" s="28" t="s">
        <v>459</v>
      </c>
      <c r="B605">
        <v>2</v>
      </c>
      <c r="C605">
        <v>7</v>
      </c>
      <c r="D605">
        <v>26</v>
      </c>
      <c r="E605">
        <f>VLOOKUP(A605,Elements!$A$2:$B$435,2,0)</f>
        <v>394</v>
      </c>
      <c r="F605" t="str">
        <f t="shared" si="9"/>
        <v>7-26-394</v>
      </c>
      <c r="G605">
        <v>603</v>
      </c>
      <c r="H605" s="28" t="s">
        <v>459</v>
      </c>
    </row>
    <row r="606" spans="1:8">
      <c r="A606" s="28" t="s">
        <v>460</v>
      </c>
      <c r="B606">
        <v>2</v>
      </c>
      <c r="C606">
        <v>7</v>
      </c>
      <c r="D606">
        <v>26</v>
      </c>
      <c r="E606">
        <f>VLOOKUP(A606,Elements!$A$2:$B$435,2,0)</f>
        <v>395</v>
      </c>
      <c r="F606" t="str">
        <f t="shared" si="9"/>
        <v>7-26-395</v>
      </c>
      <c r="G606">
        <v>604</v>
      </c>
      <c r="H606" s="28" t="s">
        <v>460</v>
      </c>
    </row>
    <row r="607" spans="1:8">
      <c r="A607" s="28" t="s">
        <v>461</v>
      </c>
      <c r="B607">
        <v>2</v>
      </c>
      <c r="C607">
        <v>7</v>
      </c>
      <c r="D607">
        <v>26</v>
      </c>
      <c r="E607">
        <f>VLOOKUP(A607,Elements!$A$2:$B$435,2,0)</f>
        <v>396</v>
      </c>
      <c r="F607" t="str">
        <f t="shared" si="9"/>
        <v>7-26-396</v>
      </c>
      <c r="G607">
        <v>605</v>
      </c>
      <c r="H607" s="28" t="s">
        <v>461</v>
      </c>
    </row>
    <row r="608" spans="1:8">
      <c r="A608" s="26" t="s">
        <v>150</v>
      </c>
      <c r="B608">
        <v>2</v>
      </c>
      <c r="C608">
        <v>7</v>
      </c>
      <c r="D608">
        <v>26</v>
      </c>
      <c r="E608">
        <f>VLOOKUP(A608,Elements!$A$2:$B$435,2,0)</f>
        <v>115</v>
      </c>
      <c r="F608" t="str">
        <f t="shared" si="9"/>
        <v>7-26-115</v>
      </c>
      <c r="G608">
        <v>606</v>
      </c>
      <c r="H608" s="26" t="s">
        <v>150</v>
      </c>
    </row>
    <row r="609" spans="1:8">
      <c r="A609" s="26" t="s">
        <v>246</v>
      </c>
      <c r="B609">
        <v>2</v>
      </c>
      <c r="C609">
        <v>7</v>
      </c>
      <c r="D609">
        <v>26</v>
      </c>
      <c r="E609">
        <f>VLOOKUP(A609,Elements!$A$2:$B$435,2,0)</f>
        <v>206</v>
      </c>
      <c r="F609" t="str">
        <f t="shared" si="9"/>
        <v>7-26-206</v>
      </c>
      <c r="G609">
        <v>607</v>
      </c>
      <c r="H609" s="26" t="s">
        <v>246</v>
      </c>
    </row>
    <row r="610" spans="1:8">
      <c r="A610" s="26" t="s">
        <v>463</v>
      </c>
      <c r="B610">
        <v>2</v>
      </c>
      <c r="C610">
        <v>7</v>
      </c>
      <c r="D610">
        <v>26</v>
      </c>
      <c r="E610">
        <f>VLOOKUP(A610,Elements!$A$2:$B$435,2,0)</f>
        <v>397</v>
      </c>
      <c r="F610" t="str">
        <f t="shared" si="9"/>
        <v>7-26-397</v>
      </c>
      <c r="G610">
        <v>608</v>
      </c>
      <c r="H610" s="26" t="s">
        <v>463</v>
      </c>
    </row>
    <row r="611" spans="1:8">
      <c r="A611" s="26" t="s">
        <v>464</v>
      </c>
      <c r="B611">
        <v>2</v>
      </c>
      <c r="C611">
        <v>7</v>
      </c>
      <c r="D611">
        <v>26</v>
      </c>
      <c r="E611">
        <f>VLOOKUP(A611,Elements!$A$2:$B$435,2,0)</f>
        <v>398</v>
      </c>
      <c r="F611" t="str">
        <f t="shared" si="9"/>
        <v>7-26-398</v>
      </c>
      <c r="G611">
        <v>609</v>
      </c>
      <c r="H611" s="26" t="s">
        <v>464</v>
      </c>
    </row>
    <row r="612" spans="1:8">
      <c r="A612" s="26" t="s">
        <v>465</v>
      </c>
      <c r="B612">
        <v>2</v>
      </c>
      <c r="C612">
        <v>7</v>
      </c>
      <c r="D612">
        <v>26</v>
      </c>
      <c r="E612">
        <f>VLOOKUP(A612,Elements!$A$2:$B$435,2,0)</f>
        <v>399</v>
      </c>
      <c r="F612" t="str">
        <f t="shared" si="9"/>
        <v>7-26-399</v>
      </c>
      <c r="G612">
        <v>610</v>
      </c>
      <c r="H612" s="26" t="s">
        <v>465</v>
      </c>
    </row>
    <row r="613" spans="1:8">
      <c r="A613" s="27" t="s">
        <v>466</v>
      </c>
      <c r="B613">
        <v>2</v>
      </c>
      <c r="C613">
        <v>7</v>
      </c>
      <c r="D613">
        <v>26</v>
      </c>
      <c r="E613">
        <f>VLOOKUP(A613,Elements!$A$2:$B$435,2,0)</f>
        <v>400</v>
      </c>
      <c r="F613" t="str">
        <f t="shared" si="9"/>
        <v>7-26-400</v>
      </c>
      <c r="G613">
        <v>611</v>
      </c>
      <c r="H613" s="27" t="s">
        <v>466</v>
      </c>
    </row>
    <row r="614" spans="1:8">
      <c r="A614" s="26" t="s">
        <v>468</v>
      </c>
      <c r="B614">
        <v>2</v>
      </c>
      <c r="C614">
        <v>7</v>
      </c>
      <c r="D614">
        <v>27</v>
      </c>
      <c r="E614">
        <f>VLOOKUP(A614,Elements!$A$2:$B$435,2,0)</f>
        <v>401</v>
      </c>
      <c r="F614" t="str">
        <f t="shared" si="9"/>
        <v>7-27-401</v>
      </c>
      <c r="G614">
        <v>612</v>
      </c>
      <c r="H614" s="26" t="s">
        <v>468</v>
      </c>
    </row>
    <row r="615" spans="1:8">
      <c r="A615" s="26" t="s">
        <v>469</v>
      </c>
      <c r="B615">
        <v>2</v>
      </c>
      <c r="C615">
        <v>7</v>
      </c>
      <c r="D615">
        <v>27</v>
      </c>
      <c r="E615">
        <f>VLOOKUP(A615,Elements!$A$2:$B$435,2,0)</f>
        <v>402</v>
      </c>
      <c r="F615" t="str">
        <f t="shared" si="9"/>
        <v>7-27-402</v>
      </c>
      <c r="G615">
        <v>613</v>
      </c>
      <c r="H615" s="26" t="s">
        <v>469</v>
      </c>
    </row>
    <row r="616" spans="1:8">
      <c r="A616" s="26" t="s">
        <v>408</v>
      </c>
      <c r="B616">
        <v>2</v>
      </c>
      <c r="C616">
        <v>7</v>
      </c>
      <c r="D616">
        <v>27</v>
      </c>
      <c r="E616">
        <f>VLOOKUP(A616,Elements!$A$2:$B$435,2,0)</f>
        <v>344</v>
      </c>
      <c r="F616" t="str">
        <f t="shared" si="9"/>
        <v>7-27-344</v>
      </c>
      <c r="G616">
        <v>614</v>
      </c>
      <c r="H616" s="26" t="s">
        <v>408</v>
      </c>
    </row>
    <row r="617" spans="1:8">
      <c r="A617" s="26" t="s">
        <v>471</v>
      </c>
      <c r="B617">
        <v>2</v>
      </c>
      <c r="C617">
        <v>7</v>
      </c>
      <c r="D617">
        <v>27</v>
      </c>
      <c r="E617">
        <f>VLOOKUP(A617,Elements!$A$2:$B$435,2,0)</f>
        <v>403</v>
      </c>
      <c r="F617" t="str">
        <f t="shared" si="9"/>
        <v>7-27-403</v>
      </c>
      <c r="G617">
        <v>615</v>
      </c>
      <c r="H617" s="26" t="s">
        <v>471</v>
      </c>
    </row>
    <row r="618" spans="1:8">
      <c r="A618" s="26" t="s">
        <v>472</v>
      </c>
      <c r="B618">
        <v>2</v>
      </c>
      <c r="C618">
        <v>7</v>
      </c>
      <c r="D618">
        <v>27</v>
      </c>
      <c r="E618">
        <f>VLOOKUP(A618,Elements!$A$2:$B$435,2,0)</f>
        <v>404</v>
      </c>
      <c r="F618" t="str">
        <f t="shared" si="9"/>
        <v>7-27-404</v>
      </c>
      <c r="G618">
        <v>616</v>
      </c>
      <c r="H618" s="26" t="s">
        <v>472</v>
      </c>
    </row>
    <row r="619" spans="1:8">
      <c r="A619" s="26" t="s">
        <v>524</v>
      </c>
      <c r="B619">
        <v>2</v>
      </c>
      <c r="C619">
        <v>7</v>
      </c>
      <c r="D619">
        <v>27</v>
      </c>
      <c r="E619">
        <f>VLOOKUP(A619,Elements!$A$2:$B$435,2,0)</f>
        <v>405</v>
      </c>
      <c r="F619" t="str">
        <f t="shared" si="9"/>
        <v>7-27-405</v>
      </c>
      <c r="G619">
        <v>617</v>
      </c>
      <c r="H619" s="26" t="s">
        <v>524</v>
      </c>
    </row>
    <row r="620" spans="1:8">
      <c r="A620" s="26" t="s">
        <v>474</v>
      </c>
      <c r="B620">
        <v>2</v>
      </c>
      <c r="C620">
        <v>7</v>
      </c>
      <c r="D620">
        <v>27</v>
      </c>
      <c r="E620">
        <f>VLOOKUP(A620,Elements!$A$2:$B$435,2,0)</f>
        <v>347</v>
      </c>
      <c r="F620" t="str">
        <f t="shared" si="9"/>
        <v>7-27-347</v>
      </c>
      <c r="G620">
        <v>618</v>
      </c>
      <c r="H620" s="26" t="s">
        <v>474</v>
      </c>
    </row>
    <row r="621" spans="1:8">
      <c r="A621" s="26" t="s">
        <v>475</v>
      </c>
      <c r="B621">
        <v>2</v>
      </c>
      <c r="C621">
        <v>7</v>
      </c>
      <c r="D621">
        <v>27</v>
      </c>
      <c r="E621">
        <f>VLOOKUP(A621,Elements!$A$2:$B$435,2,0)</f>
        <v>406</v>
      </c>
      <c r="F621" t="str">
        <f t="shared" si="9"/>
        <v>7-27-406</v>
      </c>
      <c r="G621">
        <v>619</v>
      </c>
      <c r="H621" s="26" t="s">
        <v>475</v>
      </c>
    </row>
    <row r="622" spans="1:8">
      <c r="A622" s="26" t="s">
        <v>476</v>
      </c>
      <c r="B622">
        <v>2</v>
      </c>
      <c r="C622">
        <v>7</v>
      </c>
      <c r="D622">
        <v>27</v>
      </c>
      <c r="E622">
        <f>VLOOKUP(A622,Elements!$A$2:$B$435,2,0)</f>
        <v>407</v>
      </c>
      <c r="F622" t="str">
        <f t="shared" si="9"/>
        <v>7-27-407</v>
      </c>
      <c r="G622">
        <v>620</v>
      </c>
      <c r="H622" s="26" t="s">
        <v>476</v>
      </c>
    </row>
    <row r="623" spans="1:8">
      <c r="A623" s="26" t="s">
        <v>477</v>
      </c>
      <c r="B623">
        <v>2</v>
      </c>
      <c r="C623">
        <v>7</v>
      </c>
      <c r="D623">
        <v>27</v>
      </c>
      <c r="E623">
        <f>VLOOKUP(A623,Elements!$A$2:$B$435,2,0)</f>
        <v>408</v>
      </c>
      <c r="F623" t="str">
        <f t="shared" si="9"/>
        <v>7-27-408</v>
      </c>
      <c r="G623">
        <v>621</v>
      </c>
      <c r="H623" s="26" t="s">
        <v>477</v>
      </c>
    </row>
    <row r="624" spans="1:8">
      <c r="A624" s="26" t="s">
        <v>248</v>
      </c>
      <c r="B624">
        <v>2</v>
      </c>
      <c r="C624">
        <v>7</v>
      </c>
      <c r="D624">
        <v>27</v>
      </c>
      <c r="E624">
        <f>VLOOKUP(A624,Elements!$A$2:$B$435,2,0)</f>
        <v>208</v>
      </c>
      <c r="F624" t="str">
        <f t="shared" si="9"/>
        <v>7-27-208</v>
      </c>
      <c r="G624">
        <v>622</v>
      </c>
      <c r="H624" s="26" t="s">
        <v>248</v>
      </c>
    </row>
    <row r="625" spans="1:8">
      <c r="A625" s="26" t="s">
        <v>479</v>
      </c>
      <c r="B625">
        <v>2</v>
      </c>
      <c r="C625">
        <v>7</v>
      </c>
      <c r="D625">
        <v>27</v>
      </c>
      <c r="E625">
        <f>VLOOKUP(A625,Elements!$A$2:$B$435,2,0)</f>
        <v>409</v>
      </c>
      <c r="F625" t="str">
        <f t="shared" si="9"/>
        <v>7-27-409</v>
      </c>
      <c r="G625">
        <v>623</v>
      </c>
      <c r="H625" s="26" t="s">
        <v>479</v>
      </c>
    </row>
    <row r="626" spans="1:8">
      <c r="A626" s="26" t="s">
        <v>480</v>
      </c>
      <c r="B626">
        <v>2</v>
      </c>
      <c r="C626">
        <v>7</v>
      </c>
      <c r="D626">
        <v>27</v>
      </c>
      <c r="E626">
        <f>VLOOKUP(A626,Elements!$A$2:$B$435,2,0)</f>
        <v>410</v>
      </c>
      <c r="F626" t="str">
        <f t="shared" si="9"/>
        <v>7-27-410</v>
      </c>
      <c r="G626">
        <v>624</v>
      </c>
      <c r="H626" s="26" t="s">
        <v>480</v>
      </c>
    </row>
    <row r="627" spans="1:8">
      <c r="A627" s="26" t="s">
        <v>481</v>
      </c>
      <c r="B627">
        <v>2</v>
      </c>
      <c r="C627">
        <v>7</v>
      </c>
      <c r="D627">
        <v>27</v>
      </c>
      <c r="E627">
        <f>VLOOKUP(A627,Elements!$A$2:$B$435,2,0)</f>
        <v>411</v>
      </c>
      <c r="F627" t="str">
        <f t="shared" si="9"/>
        <v>7-27-411</v>
      </c>
      <c r="G627">
        <v>625</v>
      </c>
      <c r="H627" s="26" t="s">
        <v>481</v>
      </c>
    </row>
    <row r="628" spans="1:8">
      <c r="A628" s="26" t="s">
        <v>482</v>
      </c>
      <c r="B628">
        <v>2</v>
      </c>
      <c r="C628">
        <v>7</v>
      </c>
      <c r="D628">
        <v>27</v>
      </c>
      <c r="E628">
        <f>VLOOKUP(A628,Elements!$A$2:$B$435,2,0)</f>
        <v>412</v>
      </c>
      <c r="F628" t="str">
        <f t="shared" si="9"/>
        <v>7-27-412</v>
      </c>
      <c r="G628">
        <v>626</v>
      </c>
      <c r="H628" s="26" t="s">
        <v>482</v>
      </c>
    </row>
    <row r="629" spans="1:8">
      <c r="A629" s="26" t="s">
        <v>483</v>
      </c>
      <c r="B629">
        <v>2</v>
      </c>
      <c r="C629">
        <v>7</v>
      </c>
      <c r="D629">
        <v>27</v>
      </c>
      <c r="E629">
        <f>VLOOKUP(A629,Elements!$A$2:$B$435,2,0)</f>
        <v>413</v>
      </c>
      <c r="F629" t="str">
        <f t="shared" si="9"/>
        <v>7-27-413</v>
      </c>
      <c r="G629">
        <v>627</v>
      </c>
      <c r="H629" s="26" t="s">
        <v>483</v>
      </c>
    </row>
    <row r="630" spans="1:8">
      <c r="A630" s="25" t="s">
        <v>484</v>
      </c>
      <c r="B630">
        <v>2</v>
      </c>
      <c r="C630">
        <v>7</v>
      </c>
      <c r="D630">
        <v>27</v>
      </c>
      <c r="E630">
        <f>VLOOKUP(A630,Elements!$A$2:$B$435,2,0)</f>
        <v>414</v>
      </c>
      <c r="F630" t="str">
        <f t="shared" si="9"/>
        <v>7-27-414</v>
      </c>
      <c r="G630">
        <v>628</v>
      </c>
      <c r="H630" s="25" t="s">
        <v>484</v>
      </c>
    </row>
    <row r="631" spans="1:8">
      <c r="A631" s="26" t="s">
        <v>486</v>
      </c>
      <c r="B631">
        <v>2</v>
      </c>
      <c r="C631">
        <v>7</v>
      </c>
      <c r="D631">
        <v>27</v>
      </c>
      <c r="E631">
        <f>VLOOKUP(A631,Elements!$A$2:$B$435,2,0)</f>
        <v>415</v>
      </c>
      <c r="F631" t="str">
        <f t="shared" si="9"/>
        <v>7-27-415</v>
      </c>
      <c r="G631">
        <v>629</v>
      </c>
      <c r="H631" s="26" t="s">
        <v>486</v>
      </c>
    </row>
    <row r="632" spans="1:8">
      <c r="A632" s="26" t="s">
        <v>487</v>
      </c>
      <c r="B632">
        <v>2</v>
      </c>
      <c r="C632">
        <v>7</v>
      </c>
      <c r="D632">
        <v>27</v>
      </c>
      <c r="E632">
        <f>VLOOKUP(A632,Elements!$A$2:$B$435,2,0)</f>
        <v>416</v>
      </c>
      <c r="F632" t="str">
        <f t="shared" si="9"/>
        <v>7-27-416</v>
      </c>
      <c r="G632">
        <v>630</v>
      </c>
      <c r="H632" s="26" t="s">
        <v>487</v>
      </c>
    </row>
    <row r="633" spans="1:8">
      <c r="A633" s="26" t="s">
        <v>488</v>
      </c>
      <c r="B633">
        <v>2</v>
      </c>
      <c r="C633">
        <v>7</v>
      </c>
      <c r="D633">
        <v>27</v>
      </c>
      <c r="E633">
        <f>VLOOKUP(A633,Elements!$A$2:$B$435,2,0)</f>
        <v>417</v>
      </c>
      <c r="F633" t="str">
        <f t="shared" si="9"/>
        <v>7-27-417</v>
      </c>
      <c r="G633">
        <v>631</v>
      </c>
      <c r="H633" s="26" t="s">
        <v>488</v>
      </c>
    </row>
    <row r="634" spans="1:8">
      <c r="A634" s="27" t="s">
        <v>490</v>
      </c>
      <c r="B634">
        <v>2</v>
      </c>
      <c r="C634">
        <v>7</v>
      </c>
      <c r="D634">
        <v>28</v>
      </c>
      <c r="E634">
        <f>VLOOKUP(A634,Elements!$A$2:$B$435,2,0)</f>
        <v>418</v>
      </c>
      <c r="F634" t="str">
        <f t="shared" si="9"/>
        <v>7-28-418</v>
      </c>
      <c r="G634">
        <v>632</v>
      </c>
      <c r="H634" s="27" t="s">
        <v>490</v>
      </c>
    </row>
    <row r="635" spans="1:8">
      <c r="A635" s="27" t="s">
        <v>491</v>
      </c>
      <c r="B635">
        <v>2</v>
      </c>
      <c r="C635">
        <v>7</v>
      </c>
      <c r="D635">
        <v>28</v>
      </c>
      <c r="E635">
        <f>VLOOKUP(A635,Elements!$A$2:$B$435,2,0)</f>
        <v>419</v>
      </c>
      <c r="F635" t="str">
        <f t="shared" si="9"/>
        <v>7-28-419</v>
      </c>
      <c r="G635">
        <v>633</v>
      </c>
      <c r="H635" s="27" t="s">
        <v>491</v>
      </c>
    </row>
    <row r="636" spans="1:8">
      <c r="A636" s="27" t="s">
        <v>493</v>
      </c>
      <c r="B636">
        <v>2</v>
      </c>
      <c r="C636">
        <v>7</v>
      </c>
      <c r="D636">
        <v>28</v>
      </c>
      <c r="E636">
        <f>VLOOKUP(A636,Elements!$A$2:$B$435,2,0)</f>
        <v>420</v>
      </c>
      <c r="F636" t="str">
        <f t="shared" si="9"/>
        <v>7-28-420</v>
      </c>
      <c r="G636">
        <v>634</v>
      </c>
      <c r="H636" s="27" t="s">
        <v>493</v>
      </c>
    </row>
    <row r="637" spans="1:8">
      <c r="A637" s="27" t="s">
        <v>494</v>
      </c>
      <c r="B637">
        <v>2</v>
      </c>
      <c r="C637">
        <v>7</v>
      </c>
      <c r="D637">
        <v>28</v>
      </c>
      <c r="E637">
        <f>VLOOKUP(A637,Elements!$A$2:$B$435,2,0)</f>
        <v>421</v>
      </c>
      <c r="F637" t="str">
        <f t="shared" si="9"/>
        <v>7-28-421</v>
      </c>
      <c r="G637">
        <v>635</v>
      </c>
      <c r="H637" s="27" t="s">
        <v>494</v>
      </c>
    </row>
    <row r="638" spans="1:8">
      <c r="A638" s="27" t="s">
        <v>495</v>
      </c>
      <c r="B638">
        <v>2</v>
      </c>
      <c r="C638">
        <v>7</v>
      </c>
      <c r="D638">
        <v>28</v>
      </c>
      <c r="E638">
        <f>VLOOKUP(A638,Elements!$A$2:$B$435,2,0)</f>
        <v>422</v>
      </c>
      <c r="F638" t="str">
        <f t="shared" si="9"/>
        <v>7-28-422</v>
      </c>
      <c r="G638">
        <v>636</v>
      </c>
      <c r="H638" s="27" t="s">
        <v>495</v>
      </c>
    </row>
    <row r="639" spans="1:8">
      <c r="A639" s="27" t="s">
        <v>497</v>
      </c>
      <c r="B639">
        <v>2</v>
      </c>
      <c r="C639">
        <v>7</v>
      </c>
      <c r="D639">
        <v>7</v>
      </c>
      <c r="E639">
        <f>VLOOKUP(A639,Elements!$A$2:$B$435,2,0)</f>
        <v>423</v>
      </c>
      <c r="F639" t="str">
        <f t="shared" si="9"/>
        <v>7-7-423</v>
      </c>
      <c r="G639">
        <v>637</v>
      </c>
      <c r="H639" s="27" t="s">
        <v>497</v>
      </c>
    </row>
    <row r="640" spans="1:8">
      <c r="A640" s="27" t="s">
        <v>498</v>
      </c>
      <c r="B640">
        <v>2</v>
      </c>
      <c r="C640">
        <v>7</v>
      </c>
      <c r="D640">
        <v>7</v>
      </c>
      <c r="E640">
        <f>VLOOKUP(A640,Elements!$A$2:$B$435,2,0)</f>
        <v>424</v>
      </c>
      <c r="F640" t="str">
        <f t="shared" ref="F640:F666" si="10">_xlfn.CONCAT(C640,"-",D640,"-",E640)</f>
        <v>7-7-424</v>
      </c>
      <c r="G640">
        <v>638</v>
      </c>
      <c r="H640" s="27" t="s">
        <v>498</v>
      </c>
    </row>
    <row r="641" spans="1:8">
      <c r="A641" s="27" t="s">
        <v>499</v>
      </c>
      <c r="B641">
        <v>2</v>
      </c>
      <c r="C641">
        <v>7</v>
      </c>
      <c r="D641">
        <v>7</v>
      </c>
      <c r="E641">
        <f>VLOOKUP(A641,Elements!$A$2:$B$435,2,0)</f>
        <v>425</v>
      </c>
      <c r="F641" t="str">
        <f t="shared" si="10"/>
        <v>7-7-425</v>
      </c>
      <c r="G641">
        <v>639</v>
      </c>
      <c r="H641" s="27" t="s">
        <v>499</v>
      </c>
    </row>
    <row r="642" spans="1:8">
      <c r="A642" s="27" t="s">
        <v>500</v>
      </c>
      <c r="B642">
        <v>2</v>
      </c>
      <c r="C642">
        <v>7</v>
      </c>
      <c r="D642">
        <v>7</v>
      </c>
      <c r="E642">
        <f>VLOOKUP(A642,Elements!$A$2:$B$435,2,0)</f>
        <v>426</v>
      </c>
      <c r="F642" t="str">
        <f t="shared" si="10"/>
        <v>7-7-426</v>
      </c>
      <c r="G642">
        <v>640</v>
      </c>
      <c r="H642" s="27" t="s">
        <v>500</v>
      </c>
    </row>
    <row r="643" spans="1:8">
      <c r="A643" s="27" t="s">
        <v>351</v>
      </c>
      <c r="B643">
        <v>2</v>
      </c>
      <c r="C643">
        <v>7</v>
      </c>
      <c r="D643">
        <v>7</v>
      </c>
      <c r="E643">
        <f>VLOOKUP(A643,Elements!$A$2:$B$435,2,0)</f>
        <v>226</v>
      </c>
      <c r="F643" t="str">
        <f t="shared" si="10"/>
        <v>7-7-226</v>
      </c>
      <c r="G643">
        <v>641</v>
      </c>
      <c r="H643" s="27" t="s">
        <v>351</v>
      </c>
    </row>
    <row r="644" spans="1:8">
      <c r="A644" s="27" t="s">
        <v>501</v>
      </c>
      <c r="B644">
        <v>2</v>
      </c>
      <c r="C644">
        <v>7</v>
      </c>
      <c r="D644">
        <v>7</v>
      </c>
      <c r="E644">
        <f>VLOOKUP(A644,Elements!$A$2:$B$435,2,0)</f>
        <v>427</v>
      </c>
      <c r="F644" t="str">
        <f t="shared" si="10"/>
        <v>7-7-427</v>
      </c>
      <c r="G644">
        <v>642</v>
      </c>
      <c r="H644" s="27" t="s">
        <v>501</v>
      </c>
    </row>
    <row r="645" spans="1:8">
      <c r="A645" s="27" t="s">
        <v>47</v>
      </c>
      <c r="B645">
        <v>2</v>
      </c>
      <c r="C645">
        <v>7</v>
      </c>
      <c r="D645">
        <v>7</v>
      </c>
      <c r="E645">
        <f>VLOOKUP(A645,Elements!$A$2:$B$435,2,0)</f>
        <v>10</v>
      </c>
      <c r="F645" t="str">
        <f t="shared" si="10"/>
        <v>7-7-10</v>
      </c>
      <c r="G645">
        <v>643</v>
      </c>
      <c r="H645" s="27" t="s">
        <v>47</v>
      </c>
    </row>
    <row r="646" spans="1:8">
      <c r="A646" s="27" t="s">
        <v>502</v>
      </c>
      <c r="B646">
        <v>2</v>
      </c>
      <c r="C646">
        <v>7</v>
      </c>
      <c r="D646">
        <v>7</v>
      </c>
      <c r="E646">
        <f>VLOOKUP(A646,Elements!$A$2:$B$435,2,0)</f>
        <v>428</v>
      </c>
      <c r="F646" t="str">
        <f t="shared" si="10"/>
        <v>7-7-428</v>
      </c>
      <c r="G646">
        <v>644</v>
      </c>
      <c r="H646" s="27" t="s">
        <v>502</v>
      </c>
    </row>
    <row r="647" spans="1:8">
      <c r="A647" s="27" t="s">
        <v>353</v>
      </c>
      <c r="B647">
        <v>2</v>
      </c>
      <c r="C647">
        <v>7</v>
      </c>
      <c r="D647">
        <v>7</v>
      </c>
      <c r="E647">
        <f>VLOOKUP(A647,Elements!$A$2:$B$435,2,0)</f>
        <v>73</v>
      </c>
      <c r="F647" t="str">
        <f t="shared" si="10"/>
        <v>7-7-73</v>
      </c>
      <c r="G647">
        <v>645</v>
      </c>
      <c r="H647" s="27" t="s">
        <v>353</v>
      </c>
    </row>
    <row r="648" spans="1:8">
      <c r="A648" s="27" t="s">
        <v>354</v>
      </c>
      <c r="B648">
        <v>2</v>
      </c>
      <c r="C648">
        <v>7</v>
      </c>
      <c r="D648">
        <v>7</v>
      </c>
      <c r="E648">
        <f>VLOOKUP(A648,Elements!$A$2:$B$435,2,0)</f>
        <v>74</v>
      </c>
      <c r="F648" t="str">
        <f t="shared" si="10"/>
        <v>7-7-74</v>
      </c>
      <c r="G648">
        <v>646</v>
      </c>
      <c r="H648" s="27" t="s">
        <v>354</v>
      </c>
    </row>
    <row r="649" spans="1:8">
      <c r="A649" s="27" t="s">
        <v>355</v>
      </c>
      <c r="B649">
        <v>2</v>
      </c>
      <c r="C649">
        <v>7</v>
      </c>
      <c r="D649">
        <v>7</v>
      </c>
      <c r="E649">
        <f>VLOOKUP(A649,Elements!$A$2:$B$435,2,0)</f>
        <v>75</v>
      </c>
      <c r="F649" t="str">
        <f t="shared" si="10"/>
        <v>7-7-75</v>
      </c>
      <c r="G649">
        <v>647</v>
      </c>
      <c r="H649" s="27" t="s">
        <v>355</v>
      </c>
    </row>
    <row r="650" spans="1:8">
      <c r="A650" s="27" t="s">
        <v>286</v>
      </c>
      <c r="B650">
        <v>2</v>
      </c>
      <c r="C650">
        <v>7</v>
      </c>
      <c r="D650">
        <v>7</v>
      </c>
      <c r="E650">
        <f>VLOOKUP(A650,Elements!$A$2:$B$435,2,0)</f>
        <v>66</v>
      </c>
      <c r="F650" t="str">
        <f t="shared" si="10"/>
        <v>7-7-66</v>
      </c>
      <c r="G650">
        <v>648</v>
      </c>
      <c r="H650" s="27" t="s">
        <v>286</v>
      </c>
    </row>
    <row r="651" spans="1:8">
      <c r="A651" s="27" t="s">
        <v>112</v>
      </c>
      <c r="B651">
        <v>2</v>
      </c>
      <c r="C651">
        <v>7</v>
      </c>
      <c r="D651">
        <v>7</v>
      </c>
      <c r="E651">
        <f>VLOOKUP(A651,Elements!$A$2:$B$435,2,0)</f>
        <v>78</v>
      </c>
      <c r="F651" t="str">
        <f t="shared" si="10"/>
        <v>7-7-78</v>
      </c>
      <c r="G651">
        <v>649</v>
      </c>
      <c r="H651" s="27" t="s">
        <v>112</v>
      </c>
    </row>
    <row r="652" spans="1:8">
      <c r="A652" s="27" t="s">
        <v>503</v>
      </c>
      <c r="B652">
        <v>2</v>
      </c>
      <c r="C652">
        <v>7</v>
      </c>
      <c r="D652">
        <v>7</v>
      </c>
      <c r="E652">
        <f>VLOOKUP(A652,Elements!$A$2:$B$435,2,0)</f>
        <v>429</v>
      </c>
      <c r="F652" t="str">
        <f t="shared" si="10"/>
        <v>7-7-429</v>
      </c>
      <c r="G652">
        <v>650</v>
      </c>
      <c r="H652" s="27" t="s">
        <v>503</v>
      </c>
    </row>
    <row r="653" spans="1:8">
      <c r="A653" s="27" t="s">
        <v>504</v>
      </c>
      <c r="B653">
        <v>2</v>
      </c>
      <c r="C653">
        <v>7</v>
      </c>
      <c r="D653">
        <v>7</v>
      </c>
      <c r="E653">
        <f>VLOOKUP(A653,Elements!$A$2:$B$435,2,0)</f>
        <v>430</v>
      </c>
      <c r="F653" t="str">
        <f t="shared" si="10"/>
        <v>7-7-430</v>
      </c>
      <c r="G653">
        <v>651</v>
      </c>
      <c r="H653" s="27" t="s">
        <v>504</v>
      </c>
    </row>
    <row r="654" spans="1:8">
      <c r="A654" s="27" t="s">
        <v>114</v>
      </c>
      <c r="B654">
        <v>2</v>
      </c>
      <c r="C654">
        <v>7</v>
      </c>
      <c r="D654">
        <v>7</v>
      </c>
      <c r="E654">
        <f>VLOOKUP(A654,Elements!$A$2:$B$435,2,0)</f>
        <v>80</v>
      </c>
      <c r="F654" t="str">
        <f t="shared" si="10"/>
        <v>7-7-80</v>
      </c>
      <c r="G654">
        <v>652</v>
      </c>
      <c r="H654" s="27" t="s">
        <v>114</v>
      </c>
    </row>
    <row r="655" spans="1:8">
      <c r="A655" s="27" t="s">
        <v>115</v>
      </c>
      <c r="B655">
        <v>2</v>
      </c>
      <c r="C655">
        <v>7</v>
      </c>
      <c r="D655">
        <v>7</v>
      </c>
      <c r="E655">
        <f>VLOOKUP(A655,Elements!$A$2:$B$435,2,0)</f>
        <v>81</v>
      </c>
      <c r="F655" t="str">
        <f t="shared" si="10"/>
        <v>7-7-81</v>
      </c>
      <c r="G655">
        <v>653</v>
      </c>
      <c r="H655" s="27" t="s">
        <v>115</v>
      </c>
    </row>
    <row r="656" spans="1:8">
      <c r="A656" s="27" t="s">
        <v>116</v>
      </c>
      <c r="B656">
        <v>2</v>
      </c>
      <c r="C656">
        <v>7</v>
      </c>
      <c r="D656">
        <v>7</v>
      </c>
      <c r="E656">
        <f>VLOOKUP(A656,Elements!$A$2:$B$435,2,0)</f>
        <v>82</v>
      </c>
      <c r="F656" t="str">
        <f t="shared" si="10"/>
        <v>7-7-82</v>
      </c>
      <c r="G656">
        <v>654</v>
      </c>
      <c r="H656" s="27" t="s">
        <v>116</v>
      </c>
    </row>
    <row r="657" spans="1:8">
      <c r="A657" s="27" t="s">
        <v>505</v>
      </c>
      <c r="B657">
        <v>2</v>
      </c>
      <c r="C657">
        <v>7</v>
      </c>
      <c r="D657">
        <v>7</v>
      </c>
      <c r="E657">
        <f>VLOOKUP(A657,Elements!$A$2:$B$435,2,0)</f>
        <v>431</v>
      </c>
      <c r="F657" t="str">
        <f t="shared" si="10"/>
        <v>7-7-431</v>
      </c>
      <c r="G657">
        <v>655</v>
      </c>
      <c r="H657" s="27" t="s">
        <v>505</v>
      </c>
    </row>
    <row r="658" spans="1:8">
      <c r="A658" s="27" t="s">
        <v>506</v>
      </c>
      <c r="B658">
        <v>2</v>
      </c>
      <c r="C658">
        <v>7</v>
      </c>
      <c r="D658">
        <v>7</v>
      </c>
      <c r="E658">
        <f>VLOOKUP(A658,Elements!$A$2:$B$435,2,0)</f>
        <v>432</v>
      </c>
      <c r="F658" t="str">
        <f t="shared" si="10"/>
        <v>7-7-432</v>
      </c>
      <c r="G658">
        <v>656</v>
      </c>
      <c r="H658" s="27" t="s">
        <v>506</v>
      </c>
    </row>
    <row r="659" spans="1:8">
      <c r="A659" s="27" t="s">
        <v>276</v>
      </c>
      <c r="B659">
        <v>2</v>
      </c>
      <c r="C659">
        <v>7</v>
      </c>
      <c r="D659">
        <v>7</v>
      </c>
      <c r="E659">
        <f>VLOOKUP(A659,Elements!$A$2:$B$435,2,0)</f>
        <v>231</v>
      </c>
      <c r="F659" t="str">
        <f t="shared" si="10"/>
        <v>7-7-231</v>
      </c>
      <c r="G659">
        <v>657</v>
      </c>
      <c r="H659" s="27" t="s">
        <v>276</v>
      </c>
    </row>
    <row r="660" spans="1:8">
      <c r="A660" s="27" t="s">
        <v>277</v>
      </c>
      <c r="B660">
        <v>2</v>
      </c>
      <c r="C660">
        <v>7</v>
      </c>
      <c r="D660">
        <v>7</v>
      </c>
      <c r="E660">
        <f>VLOOKUP(A660,Elements!$A$2:$B$435,2,0)</f>
        <v>232</v>
      </c>
      <c r="F660" t="str">
        <f t="shared" si="10"/>
        <v>7-7-232</v>
      </c>
      <c r="G660">
        <v>658</v>
      </c>
      <c r="H660" s="27" t="s">
        <v>277</v>
      </c>
    </row>
    <row r="661" spans="1:8">
      <c r="A661" s="27" t="s">
        <v>278</v>
      </c>
      <c r="B661">
        <v>2</v>
      </c>
      <c r="C661">
        <v>7</v>
      </c>
      <c r="D661">
        <v>7</v>
      </c>
      <c r="E661">
        <f>VLOOKUP(A661,Elements!$A$2:$B$435,2,0)</f>
        <v>233</v>
      </c>
      <c r="F661" t="str">
        <f t="shared" si="10"/>
        <v>7-7-233</v>
      </c>
      <c r="G661">
        <v>659</v>
      </c>
      <c r="H661" s="27" t="s">
        <v>278</v>
      </c>
    </row>
    <row r="662" spans="1:8">
      <c r="A662" s="27" t="s">
        <v>525</v>
      </c>
      <c r="B662">
        <v>2</v>
      </c>
      <c r="C662">
        <v>7</v>
      </c>
      <c r="D662">
        <v>6</v>
      </c>
      <c r="E662">
        <f>VLOOKUP(A662,Elements!$A$2:$B$435,2,0)</f>
        <v>433</v>
      </c>
      <c r="F662" t="str">
        <f t="shared" si="10"/>
        <v>7-6-433</v>
      </c>
      <c r="G662">
        <v>660</v>
      </c>
      <c r="H662" s="27" t="s">
        <v>525</v>
      </c>
    </row>
    <row r="663" spans="1:8">
      <c r="A663" s="27" t="s">
        <v>362</v>
      </c>
      <c r="B663">
        <v>2</v>
      </c>
      <c r="C663">
        <v>7</v>
      </c>
      <c r="D663">
        <v>6</v>
      </c>
      <c r="E663">
        <f>VLOOKUP(A663,Elements!$A$2:$B$435,2,0)</f>
        <v>65</v>
      </c>
      <c r="F663" t="str">
        <f t="shared" si="10"/>
        <v>7-6-65</v>
      </c>
      <c r="G663">
        <v>661</v>
      </c>
      <c r="H663" s="27" t="s">
        <v>362</v>
      </c>
    </row>
    <row r="664" spans="1:8">
      <c r="A664" s="27" t="s">
        <v>285</v>
      </c>
      <c r="B664">
        <v>2</v>
      </c>
      <c r="C664">
        <v>7</v>
      </c>
      <c r="D664">
        <v>6</v>
      </c>
      <c r="E664">
        <f>VLOOKUP(A664,Elements!$A$2:$B$435,2,0)</f>
        <v>240</v>
      </c>
      <c r="F664" t="str">
        <f t="shared" si="10"/>
        <v>7-6-240</v>
      </c>
      <c r="G664">
        <v>662</v>
      </c>
      <c r="H664" s="27" t="s">
        <v>285</v>
      </c>
    </row>
    <row r="665" spans="1:8">
      <c r="A665" s="27" t="s">
        <v>287</v>
      </c>
      <c r="B665">
        <v>2</v>
      </c>
      <c r="C665">
        <v>7</v>
      </c>
      <c r="D665">
        <v>6</v>
      </c>
      <c r="E665">
        <f>VLOOKUP(A665,Elements!$A$2:$B$435,2,0)</f>
        <v>241</v>
      </c>
      <c r="F665" t="str">
        <f t="shared" si="10"/>
        <v>7-6-241</v>
      </c>
      <c r="G665">
        <v>663</v>
      </c>
      <c r="H665" s="27" t="s">
        <v>287</v>
      </c>
    </row>
    <row r="666" spans="1:8">
      <c r="A666" s="27" t="s">
        <v>12</v>
      </c>
      <c r="B666">
        <v>2</v>
      </c>
      <c r="C666">
        <v>7</v>
      </c>
      <c r="D666">
        <v>8</v>
      </c>
      <c r="E666">
        <f>VLOOKUP(A666,Elements!$A$2:$B$435,2,0)</f>
        <v>434</v>
      </c>
      <c r="F666" t="str">
        <f t="shared" si="10"/>
        <v>7-8-434</v>
      </c>
      <c r="G666">
        <v>664</v>
      </c>
      <c r="H666" s="27" t="s">
        <v>12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2FD6-9A4F-1A40-A1D0-1C27F59A47BE}">
  <sheetPr codeName="Sheet7"/>
  <dimension ref="A1:S665"/>
  <sheetViews>
    <sheetView tabSelected="1" topLeftCell="B1" zoomScale="119" workbookViewId="0">
      <pane ySplit="1" topLeftCell="A2" activePane="bottomLeft" state="frozen"/>
      <selection pane="bottomLeft" activeCell="R27" sqref="R27"/>
    </sheetView>
  </sheetViews>
  <sheetFormatPr baseColWidth="10" defaultRowHeight="16"/>
  <cols>
    <col min="1" max="1" width="5.33203125" hidden="1" customWidth="1"/>
    <col min="2" max="2" width="27.5" style="108" customWidth="1"/>
    <col min="3" max="3" width="4.6640625" customWidth="1"/>
    <col min="4" max="4" width="6.33203125" customWidth="1"/>
    <col min="5" max="5" width="6" customWidth="1"/>
    <col min="6" max="6" width="6.33203125" customWidth="1"/>
    <col min="7" max="7" width="11.33203125" customWidth="1"/>
    <col min="8" max="8" width="8" customWidth="1"/>
    <col min="9" max="9" width="6.5" customWidth="1"/>
    <col min="10" max="10" width="3.33203125" customWidth="1"/>
    <col min="11" max="11" width="9.6640625" customWidth="1"/>
    <col min="12" max="13" width="4.6640625" customWidth="1"/>
    <col min="14" max="14" width="8.5" customWidth="1"/>
    <col min="15" max="15" width="3.5" customWidth="1"/>
    <col min="16" max="16" width="9.5" customWidth="1"/>
    <col min="17" max="17" width="4.5" customWidth="1"/>
    <col min="18" max="18" width="89.5" style="109" customWidth="1"/>
    <col min="19" max="19" width="81.6640625" style="109" customWidth="1"/>
  </cols>
  <sheetData>
    <row r="1" spans="1:19" ht="17" thickBot="1">
      <c r="A1" t="s">
        <v>1093</v>
      </c>
      <c r="B1" s="123" t="s">
        <v>36</v>
      </c>
      <c r="C1" s="42" t="s">
        <v>34</v>
      </c>
      <c r="D1" s="42" t="s">
        <v>2</v>
      </c>
      <c r="E1" s="42" t="s">
        <v>186</v>
      </c>
      <c r="F1" s="42" t="s">
        <v>1232</v>
      </c>
      <c r="G1" s="42" t="s">
        <v>548</v>
      </c>
      <c r="H1" s="42" t="s">
        <v>1092</v>
      </c>
      <c r="I1" t="s">
        <v>535</v>
      </c>
      <c r="J1" t="s">
        <v>537</v>
      </c>
      <c r="K1" t="s">
        <v>538</v>
      </c>
      <c r="L1" t="s">
        <v>539</v>
      </c>
      <c r="M1" t="s">
        <v>540</v>
      </c>
      <c r="N1" t="s">
        <v>541</v>
      </c>
      <c r="O1" t="s">
        <v>542</v>
      </c>
      <c r="P1" t="s">
        <v>543</v>
      </c>
      <c r="Q1" t="s">
        <v>544</v>
      </c>
      <c r="R1" s="121" t="s">
        <v>547</v>
      </c>
      <c r="S1" s="111" t="s">
        <v>546</v>
      </c>
    </row>
    <row r="2" spans="1:19" ht="96">
      <c r="A2">
        <v>1</v>
      </c>
      <c r="B2" s="124" t="s">
        <v>521</v>
      </c>
      <c r="C2" s="27">
        <f>VLOOKUP(B2,Elements!$A$2:$B$435,2,0)</f>
        <v>1</v>
      </c>
      <c r="D2">
        <v>1</v>
      </c>
      <c r="E2" t="str">
        <f>VLOOKUP(D2,Categories!$A$2:$B$8,2,0)</f>
        <v>ePRO</v>
      </c>
      <c r="F2">
        <v>1</v>
      </c>
      <c r="G2" t="str">
        <f>VLOOKUP(F2,Subcategories!$A$2:$B$29,2,0)</f>
        <v>Catalogs</v>
      </c>
      <c r="H2" t="str">
        <f t="shared" ref="H2:H65" si="0">_xlfn.CONCAT(D2,"-",F2,"-",C2)</f>
        <v>1-1-1</v>
      </c>
      <c r="I2">
        <f>VLOOKUP(H2,SuiteCatSubElem!$F$2:$G$666,2,0)</f>
        <v>1</v>
      </c>
      <c r="J2">
        <v>1</v>
      </c>
      <c r="K2">
        <v>1</v>
      </c>
      <c r="M2" t="s">
        <v>50</v>
      </c>
      <c r="N2" s="60">
        <v>43101</v>
      </c>
      <c r="O2" t="s">
        <v>50</v>
      </c>
      <c r="P2">
        <v>1</v>
      </c>
      <c r="Q2" t="s">
        <v>1358</v>
      </c>
      <c r="R2" s="43" t="s">
        <v>1094</v>
      </c>
      <c r="S2" s="109" t="s">
        <v>298</v>
      </c>
    </row>
    <row r="3" spans="1:19" ht="96">
      <c r="A3">
        <v>139</v>
      </c>
      <c r="B3" s="126" t="s">
        <v>521</v>
      </c>
      <c r="C3" s="27">
        <f>VLOOKUP(B3,Elements!$A$2:$B$435,2,0)</f>
        <v>1</v>
      </c>
      <c r="D3">
        <v>3</v>
      </c>
      <c r="E3" t="str">
        <f>VLOOKUP(D3,Categories!$A$2:$B$8,2,0)</f>
        <v>P2P</v>
      </c>
      <c r="F3">
        <v>1</v>
      </c>
      <c r="G3" t="str">
        <f>VLOOKUP(F3,Subcategories!$A$2:$B$29,2,0)</f>
        <v>Catalogs</v>
      </c>
      <c r="H3" t="str">
        <f t="shared" si="0"/>
        <v>3-1-1</v>
      </c>
      <c r="I3">
        <f>VLOOKUP(H3,SuiteCatSubElem!$F$2:$G$666,2,0)</f>
        <v>138</v>
      </c>
      <c r="J3">
        <v>1</v>
      </c>
      <c r="K3">
        <v>1</v>
      </c>
      <c r="M3" t="s">
        <v>50</v>
      </c>
      <c r="N3" s="60">
        <v>43101</v>
      </c>
      <c r="O3" t="s">
        <v>50</v>
      </c>
      <c r="P3">
        <v>1</v>
      </c>
      <c r="Q3" t="s">
        <v>1358</v>
      </c>
      <c r="R3" s="43" t="s">
        <v>1094</v>
      </c>
      <c r="S3" s="109" t="s">
        <v>298</v>
      </c>
    </row>
    <row r="4" spans="1:19" ht="84">
      <c r="A4">
        <v>2</v>
      </c>
      <c r="B4" s="126" t="s">
        <v>39</v>
      </c>
      <c r="C4" s="27">
        <f>VLOOKUP(B4,Elements!$A$2:$B$435,2,0)</f>
        <v>2</v>
      </c>
      <c r="D4">
        <v>1</v>
      </c>
      <c r="E4" t="str">
        <f>VLOOKUP(D4,Categories!$A$2:$B$8,2,0)</f>
        <v>ePRO</v>
      </c>
      <c r="F4">
        <v>1</v>
      </c>
      <c r="G4" t="str">
        <f>VLOOKUP(F4,Subcategories!$A$2:$B$29,2,0)</f>
        <v>Catalogs</v>
      </c>
      <c r="H4" t="str">
        <f t="shared" si="0"/>
        <v>1-1-2</v>
      </c>
      <c r="I4">
        <f>VLOOKUP(H4,SuiteCatSubElem!$F$2:$G$666,2,0)</f>
        <v>2</v>
      </c>
      <c r="J4">
        <v>1</v>
      </c>
      <c r="K4">
        <v>2</v>
      </c>
      <c r="M4" t="s">
        <v>50</v>
      </c>
      <c r="N4" s="60">
        <v>43101</v>
      </c>
      <c r="O4" t="s">
        <v>50</v>
      </c>
      <c r="P4">
        <v>2</v>
      </c>
      <c r="Q4" t="s">
        <v>1358</v>
      </c>
      <c r="R4" s="43" t="s">
        <v>1095</v>
      </c>
      <c r="S4" s="109" t="s">
        <v>298</v>
      </c>
    </row>
    <row r="5" spans="1:19" ht="84">
      <c r="A5">
        <v>140</v>
      </c>
      <c r="B5" s="126" t="s">
        <v>39</v>
      </c>
      <c r="C5" s="27">
        <f>VLOOKUP(B5,Elements!$A$2:$B$435,2,0)</f>
        <v>2</v>
      </c>
      <c r="D5">
        <v>3</v>
      </c>
      <c r="E5" t="str">
        <f>VLOOKUP(D5,Categories!$A$2:$B$8,2,0)</f>
        <v>P2P</v>
      </c>
      <c r="F5">
        <v>1</v>
      </c>
      <c r="G5" t="str">
        <f>VLOOKUP(F5,Subcategories!$A$2:$B$29,2,0)</f>
        <v>Catalogs</v>
      </c>
      <c r="H5" t="str">
        <f t="shared" si="0"/>
        <v>3-1-2</v>
      </c>
      <c r="I5">
        <f>VLOOKUP(H5,SuiteCatSubElem!$F$2:$G$666,2,0)</f>
        <v>139</v>
      </c>
      <c r="J5">
        <v>1</v>
      </c>
      <c r="K5">
        <v>2</v>
      </c>
      <c r="M5" t="s">
        <v>50</v>
      </c>
      <c r="N5" s="60">
        <v>43101</v>
      </c>
      <c r="O5" t="s">
        <v>50</v>
      </c>
      <c r="P5">
        <v>2</v>
      </c>
      <c r="Q5" t="s">
        <v>1358</v>
      </c>
      <c r="R5" s="43" t="s">
        <v>1095</v>
      </c>
      <c r="S5" s="109" t="s">
        <v>298</v>
      </c>
    </row>
    <row r="6" spans="1:19" ht="36">
      <c r="A6">
        <v>3</v>
      </c>
      <c r="B6" s="126" t="s">
        <v>522</v>
      </c>
      <c r="C6" s="27">
        <f>VLOOKUP(B6,Elements!$A$2:$B$435,2,0)</f>
        <v>3</v>
      </c>
      <c r="D6">
        <v>1</v>
      </c>
      <c r="E6" t="str">
        <f>VLOOKUP(D6,Categories!$A$2:$B$8,2,0)</f>
        <v>ePRO</v>
      </c>
      <c r="F6">
        <v>1</v>
      </c>
      <c r="G6" t="str">
        <f>VLOOKUP(F6,Subcategories!$A$2:$B$29,2,0)</f>
        <v>Catalogs</v>
      </c>
      <c r="H6" t="str">
        <f t="shared" si="0"/>
        <v>1-1-3</v>
      </c>
      <c r="I6">
        <f>VLOOKUP(H6,SuiteCatSubElem!$F$2:$G$666,2,0)</f>
        <v>3</v>
      </c>
      <c r="J6">
        <v>1</v>
      </c>
      <c r="K6">
        <v>3</v>
      </c>
      <c r="M6" t="s">
        <v>50</v>
      </c>
      <c r="N6" s="60">
        <v>43101</v>
      </c>
      <c r="O6" t="s">
        <v>50</v>
      </c>
      <c r="P6">
        <v>3</v>
      </c>
      <c r="Q6" t="s">
        <v>1358</v>
      </c>
      <c r="R6" s="43" t="s">
        <v>1096</v>
      </c>
      <c r="S6" s="109" t="s">
        <v>298</v>
      </c>
    </row>
    <row r="7" spans="1:19" ht="36">
      <c r="A7">
        <v>141</v>
      </c>
      <c r="B7" s="126" t="s">
        <v>522</v>
      </c>
      <c r="C7" s="27">
        <f>VLOOKUP(B7,Elements!$A$2:$B$435,2,0)</f>
        <v>3</v>
      </c>
      <c r="D7">
        <v>3</v>
      </c>
      <c r="E7" t="str">
        <f>VLOOKUP(D7,Categories!$A$2:$B$8,2,0)</f>
        <v>P2P</v>
      </c>
      <c r="F7">
        <v>1</v>
      </c>
      <c r="G7" t="str">
        <f>VLOOKUP(F7,Subcategories!$A$2:$B$29,2,0)</f>
        <v>Catalogs</v>
      </c>
      <c r="H7" t="str">
        <f t="shared" si="0"/>
        <v>3-1-3</v>
      </c>
      <c r="I7">
        <f>VLOOKUP(H7,SuiteCatSubElem!$F$2:$G$666,2,0)</f>
        <v>140</v>
      </c>
      <c r="J7">
        <v>1</v>
      </c>
      <c r="K7">
        <v>3</v>
      </c>
      <c r="M7" t="s">
        <v>50</v>
      </c>
      <c r="N7" s="60">
        <v>43101</v>
      </c>
      <c r="O7" t="s">
        <v>50</v>
      </c>
      <c r="P7">
        <v>3</v>
      </c>
      <c r="Q7" t="s">
        <v>1358</v>
      </c>
      <c r="R7" s="43" t="s">
        <v>1096</v>
      </c>
      <c r="S7" s="109" t="s">
        <v>298</v>
      </c>
    </row>
    <row r="8" spans="1:19" ht="36">
      <c r="A8">
        <v>4</v>
      </c>
      <c r="B8" s="126" t="s">
        <v>41</v>
      </c>
      <c r="C8" s="27">
        <f>VLOOKUP(B8,Elements!$A$2:$B$435,2,0)</f>
        <v>4</v>
      </c>
      <c r="D8">
        <v>1</v>
      </c>
      <c r="E8" t="str">
        <f>VLOOKUP(D8,Categories!$A$2:$B$8,2,0)</f>
        <v>ePRO</v>
      </c>
      <c r="F8">
        <v>1</v>
      </c>
      <c r="G8" t="str">
        <f>VLOOKUP(F8,Subcategories!$A$2:$B$29,2,0)</f>
        <v>Catalogs</v>
      </c>
      <c r="H8" t="str">
        <f t="shared" si="0"/>
        <v>1-1-4</v>
      </c>
      <c r="I8">
        <f>VLOOKUP(H8,SuiteCatSubElem!$F$2:$G$666,2,0)</f>
        <v>4</v>
      </c>
      <c r="J8">
        <v>1</v>
      </c>
      <c r="K8">
        <v>4</v>
      </c>
      <c r="M8" t="s">
        <v>50</v>
      </c>
      <c r="N8" s="60">
        <v>43101</v>
      </c>
      <c r="O8" t="s">
        <v>50</v>
      </c>
      <c r="P8">
        <v>4</v>
      </c>
      <c r="Q8" t="s">
        <v>1358</v>
      </c>
      <c r="R8" s="43" t="s">
        <v>1097</v>
      </c>
      <c r="S8" s="109" t="s">
        <v>298</v>
      </c>
    </row>
    <row r="9" spans="1:19" ht="36">
      <c r="A9">
        <v>142</v>
      </c>
      <c r="B9" s="126" t="s">
        <v>41</v>
      </c>
      <c r="C9" s="27">
        <f>VLOOKUP(B9,Elements!$A$2:$B$435,2,0)</f>
        <v>4</v>
      </c>
      <c r="D9">
        <v>3</v>
      </c>
      <c r="E9" t="str">
        <f>VLOOKUP(D9,Categories!$A$2:$B$8,2,0)</f>
        <v>P2P</v>
      </c>
      <c r="F9">
        <v>1</v>
      </c>
      <c r="G9" t="str">
        <f>VLOOKUP(F9,Subcategories!$A$2:$B$29,2,0)</f>
        <v>Catalogs</v>
      </c>
      <c r="H9" t="str">
        <f t="shared" si="0"/>
        <v>3-1-4</v>
      </c>
      <c r="I9">
        <f>VLOOKUP(H9,SuiteCatSubElem!$F$2:$G$666,2,0)</f>
        <v>141</v>
      </c>
      <c r="J9">
        <v>1</v>
      </c>
      <c r="K9">
        <v>4</v>
      </c>
      <c r="M9" t="s">
        <v>50</v>
      </c>
      <c r="N9" s="60">
        <v>43101</v>
      </c>
      <c r="O9" t="s">
        <v>50</v>
      </c>
      <c r="P9">
        <v>4</v>
      </c>
      <c r="Q9" t="s">
        <v>1358</v>
      </c>
      <c r="R9" s="43" t="s">
        <v>1097</v>
      </c>
      <c r="S9" s="109" t="s">
        <v>298</v>
      </c>
    </row>
    <row r="10" spans="1:19">
      <c r="A10">
        <v>5</v>
      </c>
      <c r="B10" s="126" t="s">
        <v>523</v>
      </c>
      <c r="C10" s="27">
        <f>VLOOKUP(B10,Elements!$A$2:$B$435,2,0)</f>
        <v>5</v>
      </c>
      <c r="D10">
        <v>1</v>
      </c>
      <c r="E10" t="str">
        <f>VLOOKUP(D10,Categories!$A$2:$B$8,2,0)</f>
        <v>ePRO</v>
      </c>
      <c r="F10">
        <v>1</v>
      </c>
      <c r="G10" t="str">
        <f>VLOOKUP(F10,Subcategories!$A$2:$B$29,2,0)</f>
        <v>Catalogs</v>
      </c>
      <c r="H10" t="str">
        <f t="shared" si="0"/>
        <v>1-1-5</v>
      </c>
      <c r="I10">
        <f>VLOOKUP(H10,SuiteCatSubElem!$F$2:$G$666,2,0)</f>
        <v>5</v>
      </c>
      <c r="J10">
        <v>1</v>
      </c>
      <c r="K10">
        <v>5</v>
      </c>
      <c r="M10" t="s">
        <v>50</v>
      </c>
      <c r="N10" s="60">
        <v>43101</v>
      </c>
      <c r="O10" t="s">
        <v>50</v>
      </c>
      <c r="P10">
        <v>5</v>
      </c>
      <c r="Q10" t="s">
        <v>1358</v>
      </c>
      <c r="R10" s="103" t="s">
        <v>1387</v>
      </c>
      <c r="S10" s="109" t="s">
        <v>298</v>
      </c>
    </row>
    <row r="11" spans="1:19" ht="96">
      <c r="A11">
        <v>143</v>
      </c>
      <c r="B11" s="126" t="s">
        <v>523</v>
      </c>
      <c r="C11" s="27">
        <f>VLOOKUP(B11,Elements!$A$2:$B$435,2,0)</f>
        <v>5</v>
      </c>
      <c r="D11">
        <v>3</v>
      </c>
      <c r="E11" t="str">
        <f>VLOOKUP(D11,Categories!$A$2:$B$8,2,0)</f>
        <v>P2P</v>
      </c>
      <c r="F11">
        <v>1</v>
      </c>
      <c r="G11" t="str">
        <f>VLOOKUP(F11,Subcategories!$A$2:$B$29,2,0)</f>
        <v>Catalogs</v>
      </c>
      <c r="H11" t="str">
        <f t="shared" si="0"/>
        <v>3-1-5</v>
      </c>
      <c r="I11">
        <f>VLOOKUP(H11,SuiteCatSubElem!$F$2:$G$666,2,0)</f>
        <v>142</v>
      </c>
      <c r="J11">
        <v>1</v>
      </c>
      <c r="K11">
        <v>5</v>
      </c>
      <c r="M11" t="s">
        <v>50</v>
      </c>
      <c r="N11" s="60">
        <v>43101</v>
      </c>
      <c r="O11" t="s">
        <v>50</v>
      </c>
      <c r="P11">
        <v>5</v>
      </c>
      <c r="Q11" t="s">
        <v>1358</v>
      </c>
      <c r="R11" s="106" t="s">
        <v>1098</v>
      </c>
      <c r="S11" s="109" t="s">
        <v>298</v>
      </c>
    </row>
    <row r="12" spans="1:19" ht="36">
      <c r="A12">
        <v>6</v>
      </c>
      <c r="B12" s="126" t="s">
        <v>43</v>
      </c>
      <c r="C12" s="27">
        <f>VLOOKUP(B12,Elements!$A$2:$B$435,2,0)</f>
        <v>6</v>
      </c>
      <c r="D12">
        <v>1</v>
      </c>
      <c r="E12" t="str">
        <f>VLOOKUP(D12,Categories!$A$2:$B$8,2,0)</f>
        <v>ePRO</v>
      </c>
      <c r="F12">
        <v>1</v>
      </c>
      <c r="G12" t="str">
        <f>VLOOKUP(F12,Subcategories!$A$2:$B$29,2,0)</f>
        <v>Catalogs</v>
      </c>
      <c r="H12" t="str">
        <f t="shared" si="0"/>
        <v>1-1-6</v>
      </c>
      <c r="I12">
        <f>VLOOKUP(H12,SuiteCatSubElem!$F$2:$G$666,2,0)</f>
        <v>6</v>
      </c>
      <c r="J12">
        <v>1</v>
      </c>
      <c r="K12">
        <v>6</v>
      </c>
      <c r="M12" t="s">
        <v>50</v>
      </c>
      <c r="N12" s="60">
        <v>43101</v>
      </c>
      <c r="O12" t="s">
        <v>50</v>
      </c>
      <c r="P12">
        <v>6</v>
      </c>
      <c r="Q12" t="s">
        <v>1358</v>
      </c>
      <c r="R12" s="50" t="s">
        <v>1099</v>
      </c>
      <c r="S12" s="109" t="s">
        <v>298</v>
      </c>
    </row>
    <row r="13" spans="1:19" ht="37" thickBot="1">
      <c r="A13">
        <v>144</v>
      </c>
      <c r="B13" s="129" t="s">
        <v>43</v>
      </c>
      <c r="C13" s="27">
        <f>VLOOKUP(B13,Elements!$A$2:$B$435,2,0)</f>
        <v>6</v>
      </c>
      <c r="D13">
        <v>3</v>
      </c>
      <c r="E13" t="str">
        <f>VLOOKUP(D13,Categories!$A$2:$B$8,2,0)</f>
        <v>P2P</v>
      </c>
      <c r="F13">
        <v>1</v>
      </c>
      <c r="G13" t="str">
        <f>VLOOKUP(F13,Subcategories!$A$2:$B$29,2,0)</f>
        <v>Catalogs</v>
      </c>
      <c r="H13" t="str">
        <f t="shared" si="0"/>
        <v>3-1-6</v>
      </c>
      <c r="I13">
        <f>VLOOKUP(H13,SuiteCatSubElem!$F$2:$G$666,2,0)</f>
        <v>143</v>
      </c>
      <c r="J13">
        <v>1</v>
      </c>
      <c r="K13">
        <v>6</v>
      </c>
      <c r="M13" t="s">
        <v>50</v>
      </c>
      <c r="N13" s="60">
        <v>43101</v>
      </c>
      <c r="O13" t="s">
        <v>50</v>
      </c>
      <c r="P13">
        <v>6</v>
      </c>
      <c r="Q13" t="s">
        <v>1358</v>
      </c>
      <c r="R13" s="106" t="s">
        <v>1099</v>
      </c>
      <c r="S13" s="109" t="s">
        <v>298</v>
      </c>
    </row>
    <row r="14" spans="1:19" ht="72">
      <c r="A14">
        <v>7</v>
      </c>
      <c r="B14" s="126" t="s">
        <v>44</v>
      </c>
      <c r="C14" s="27">
        <f>VLOOKUP(B14,Elements!$A$2:$B$435,2,0)</f>
        <v>7</v>
      </c>
      <c r="D14" s="53">
        <v>1</v>
      </c>
      <c r="E14" t="str">
        <f>VLOOKUP(D14,Categories!$A$2:$B$8,2,0)</f>
        <v>ePRO</v>
      </c>
      <c r="F14">
        <v>1</v>
      </c>
      <c r="G14" t="str">
        <f>VLOOKUP(F14,Subcategories!$A$2:$B$29,2,0)</f>
        <v>Catalogs</v>
      </c>
      <c r="H14" t="str">
        <f t="shared" si="0"/>
        <v>1-1-7</v>
      </c>
      <c r="I14">
        <f>VLOOKUP(H14,SuiteCatSubElem!$F$2:$G$666,2,0)</f>
        <v>7</v>
      </c>
      <c r="J14" s="53">
        <v>1</v>
      </c>
      <c r="K14">
        <v>7</v>
      </c>
      <c r="L14" s="53"/>
      <c r="M14" t="s">
        <v>50</v>
      </c>
      <c r="N14" s="60">
        <v>43101</v>
      </c>
      <c r="O14" t="s">
        <v>50</v>
      </c>
      <c r="P14">
        <v>7</v>
      </c>
      <c r="Q14" t="s">
        <v>1358</v>
      </c>
      <c r="R14" s="44" t="s">
        <v>1100</v>
      </c>
      <c r="S14" s="112" t="s">
        <v>298</v>
      </c>
    </row>
    <row r="15" spans="1:19" ht="72">
      <c r="A15">
        <v>145</v>
      </c>
      <c r="B15" s="126" t="s">
        <v>44</v>
      </c>
      <c r="C15" s="27">
        <f>VLOOKUP(B15,Elements!$A$2:$B$435,2,0)</f>
        <v>7</v>
      </c>
      <c r="D15">
        <v>3</v>
      </c>
      <c r="E15" t="str">
        <f>VLOOKUP(D15,Categories!$A$2:$B$8,2,0)</f>
        <v>P2P</v>
      </c>
      <c r="F15">
        <v>1</v>
      </c>
      <c r="G15" t="str">
        <f>VLOOKUP(F15,Subcategories!$A$2:$B$29,2,0)</f>
        <v>Catalogs</v>
      </c>
      <c r="H15" t="str">
        <f t="shared" si="0"/>
        <v>3-1-7</v>
      </c>
      <c r="I15">
        <f>VLOOKUP(H15,SuiteCatSubElem!$F$2:$G$666,2,0)</f>
        <v>144</v>
      </c>
      <c r="J15">
        <v>1</v>
      </c>
      <c r="K15">
        <v>7</v>
      </c>
      <c r="M15" t="s">
        <v>50</v>
      </c>
      <c r="N15" s="60">
        <v>43101</v>
      </c>
      <c r="O15" t="s">
        <v>50</v>
      </c>
      <c r="P15">
        <v>7</v>
      </c>
      <c r="Q15" t="s">
        <v>1358</v>
      </c>
      <c r="R15" s="44" t="s">
        <v>1100</v>
      </c>
      <c r="S15" s="109" t="s">
        <v>298</v>
      </c>
    </row>
    <row r="16" spans="1:19" ht="24">
      <c r="A16">
        <v>8</v>
      </c>
      <c r="B16" s="126" t="s">
        <v>45</v>
      </c>
      <c r="C16" s="27">
        <f>VLOOKUP(B16,Elements!$A$2:$B$435,2,0)</f>
        <v>8</v>
      </c>
      <c r="D16">
        <v>1</v>
      </c>
      <c r="E16" t="str">
        <f>VLOOKUP(D16,Categories!$A$2:$B$8,2,0)</f>
        <v>ePRO</v>
      </c>
      <c r="F16">
        <v>1</v>
      </c>
      <c r="G16" t="str">
        <f>VLOOKUP(F16,Subcategories!$A$2:$B$29,2,0)</f>
        <v>Catalogs</v>
      </c>
      <c r="H16" t="str">
        <f t="shared" si="0"/>
        <v>1-1-8</v>
      </c>
      <c r="I16">
        <f>VLOOKUP(H16,SuiteCatSubElem!$F$2:$G$666,2,0)</f>
        <v>8</v>
      </c>
      <c r="J16">
        <v>1</v>
      </c>
      <c r="K16">
        <v>8</v>
      </c>
      <c r="M16" t="s">
        <v>50</v>
      </c>
      <c r="N16" s="60">
        <v>43101</v>
      </c>
      <c r="O16" t="s">
        <v>50</v>
      </c>
      <c r="P16">
        <v>8</v>
      </c>
      <c r="Q16" t="s">
        <v>1358</v>
      </c>
      <c r="R16" s="44" t="s">
        <v>1101</v>
      </c>
      <c r="S16" s="109" t="s">
        <v>298</v>
      </c>
    </row>
    <row r="17" spans="1:19" ht="24">
      <c r="A17">
        <v>146</v>
      </c>
      <c r="B17" s="126" t="s">
        <v>45</v>
      </c>
      <c r="C17" s="27">
        <f>VLOOKUP(B17,Elements!$A$2:$B$435,2,0)</f>
        <v>8</v>
      </c>
      <c r="D17">
        <v>3</v>
      </c>
      <c r="E17" t="str">
        <f>VLOOKUP(D17,Categories!$A$2:$B$8,2,0)</f>
        <v>P2P</v>
      </c>
      <c r="F17">
        <v>1</v>
      </c>
      <c r="G17" t="str">
        <f>VLOOKUP(F17,Subcategories!$A$2:$B$29,2,0)</f>
        <v>Catalogs</v>
      </c>
      <c r="H17" t="str">
        <f t="shared" si="0"/>
        <v>3-1-8</v>
      </c>
      <c r="I17">
        <f>VLOOKUP(H17,SuiteCatSubElem!$F$2:$G$666,2,0)</f>
        <v>145</v>
      </c>
      <c r="J17">
        <v>1</v>
      </c>
      <c r="K17">
        <v>8</v>
      </c>
      <c r="M17" t="s">
        <v>50</v>
      </c>
      <c r="N17" s="60">
        <v>43101</v>
      </c>
      <c r="O17" t="s">
        <v>50</v>
      </c>
      <c r="P17">
        <v>8</v>
      </c>
      <c r="Q17" t="s">
        <v>1358</v>
      </c>
      <c r="R17" s="44" t="s">
        <v>1101</v>
      </c>
      <c r="S17" s="109" t="s">
        <v>298</v>
      </c>
    </row>
    <row r="18" spans="1:19" ht="24">
      <c r="A18">
        <v>9</v>
      </c>
      <c r="B18" s="126" t="s">
        <v>46</v>
      </c>
      <c r="C18" s="27">
        <f>VLOOKUP(B18,Elements!$A$2:$B$435,2,0)</f>
        <v>9</v>
      </c>
      <c r="D18">
        <v>1</v>
      </c>
      <c r="E18" t="str">
        <f>VLOOKUP(D18,Categories!$A$2:$B$8,2,0)</f>
        <v>ePRO</v>
      </c>
      <c r="F18">
        <v>1</v>
      </c>
      <c r="G18" t="str">
        <f>VLOOKUP(F18,Subcategories!$A$2:$B$29,2,0)</f>
        <v>Catalogs</v>
      </c>
      <c r="H18" t="str">
        <f t="shared" si="0"/>
        <v>1-1-9</v>
      </c>
      <c r="I18">
        <f>VLOOKUP(H18,SuiteCatSubElem!$F$2:$G$666,2,0)</f>
        <v>9</v>
      </c>
      <c r="J18">
        <v>1</v>
      </c>
      <c r="K18">
        <v>9</v>
      </c>
      <c r="M18" t="s">
        <v>50</v>
      </c>
      <c r="N18" s="60">
        <v>43101</v>
      </c>
      <c r="O18" t="s">
        <v>50</v>
      </c>
      <c r="P18">
        <v>9</v>
      </c>
      <c r="Q18" t="s">
        <v>1358</v>
      </c>
      <c r="R18" s="54" t="s">
        <v>1102</v>
      </c>
      <c r="S18" s="109" t="s">
        <v>298</v>
      </c>
    </row>
    <row r="19" spans="1:19" ht="24">
      <c r="A19">
        <v>147</v>
      </c>
      <c r="B19" s="126" t="s">
        <v>46</v>
      </c>
      <c r="C19" s="27">
        <f>VLOOKUP(B19,Elements!$A$2:$B$435,2,0)</f>
        <v>9</v>
      </c>
      <c r="D19">
        <v>3</v>
      </c>
      <c r="E19" t="str">
        <f>VLOOKUP(D19,Categories!$A$2:$B$8,2,0)</f>
        <v>P2P</v>
      </c>
      <c r="F19">
        <v>1</v>
      </c>
      <c r="G19" t="str">
        <f>VLOOKUP(F19,Subcategories!$A$2:$B$29,2,0)</f>
        <v>Catalogs</v>
      </c>
      <c r="H19" t="str">
        <f t="shared" si="0"/>
        <v>3-1-9</v>
      </c>
      <c r="I19">
        <f>VLOOKUP(H19,SuiteCatSubElem!$F$2:$G$666,2,0)</f>
        <v>146</v>
      </c>
      <c r="J19">
        <v>1</v>
      </c>
      <c r="K19">
        <v>9</v>
      </c>
      <c r="M19" t="s">
        <v>50</v>
      </c>
      <c r="N19" s="60">
        <v>43101</v>
      </c>
      <c r="O19" t="s">
        <v>50</v>
      </c>
      <c r="P19">
        <v>9</v>
      </c>
      <c r="Q19" t="s">
        <v>1358</v>
      </c>
      <c r="R19" s="54" t="s">
        <v>1102</v>
      </c>
      <c r="S19" s="109" t="s">
        <v>298</v>
      </c>
    </row>
    <row r="20" spans="1:19" ht="37">
      <c r="A20">
        <v>10</v>
      </c>
      <c r="B20" s="126" t="s">
        <v>47</v>
      </c>
      <c r="C20" s="27">
        <f>VLOOKUP(B20,Elements!$A$2:$B$435,2,0)</f>
        <v>10</v>
      </c>
      <c r="D20">
        <v>1</v>
      </c>
      <c r="E20" t="str">
        <f>VLOOKUP(D20,Categories!$A$2:$B$8,2,0)</f>
        <v>ePRO</v>
      </c>
      <c r="F20">
        <v>1</v>
      </c>
      <c r="G20" t="str">
        <f>VLOOKUP(F20,Subcategories!$A$2:$B$29,2,0)</f>
        <v>Catalogs</v>
      </c>
      <c r="H20" t="str">
        <f t="shared" si="0"/>
        <v>1-1-10</v>
      </c>
      <c r="I20">
        <f>VLOOKUP(H20,SuiteCatSubElem!$F$2:$G$666,2,0)</f>
        <v>10</v>
      </c>
      <c r="J20">
        <v>1</v>
      </c>
      <c r="K20">
        <v>10</v>
      </c>
      <c r="M20" t="s">
        <v>50</v>
      </c>
      <c r="N20" s="60">
        <v>43101</v>
      </c>
      <c r="O20" t="s">
        <v>50</v>
      </c>
      <c r="P20">
        <v>10</v>
      </c>
      <c r="Q20" t="s">
        <v>1358</v>
      </c>
      <c r="R20" s="54" t="s">
        <v>915</v>
      </c>
      <c r="S20" s="113" t="s">
        <v>806</v>
      </c>
    </row>
    <row r="21" spans="1:19" ht="37">
      <c r="A21">
        <v>35</v>
      </c>
      <c r="B21" s="126" t="s">
        <v>47</v>
      </c>
      <c r="C21" s="27">
        <f>VLOOKUP(B21,Elements!$A$2:$B$435,2,0)</f>
        <v>10</v>
      </c>
      <c r="D21">
        <v>1</v>
      </c>
      <c r="E21" t="str">
        <f>VLOOKUP(D21,Categories!$A$2:$B$8,2,0)</f>
        <v>ePRO</v>
      </c>
      <c r="F21">
        <v>2</v>
      </c>
      <c r="G21" t="str">
        <f>VLOOKUP(F21,Subcategories!$A$2:$B$29,2,0)</f>
        <v>Shopping / Requisitioning</v>
      </c>
      <c r="H21" t="str">
        <f t="shared" si="0"/>
        <v>1-2-10</v>
      </c>
      <c r="I21">
        <f>VLOOKUP(H21,SuiteCatSubElem!$F$2:$G$666,2,0)</f>
        <v>35</v>
      </c>
      <c r="J21">
        <v>1</v>
      </c>
      <c r="K21">
        <v>10</v>
      </c>
      <c r="M21" t="s">
        <v>50</v>
      </c>
      <c r="N21" s="60">
        <v>43101</v>
      </c>
      <c r="O21" t="s">
        <v>50</v>
      </c>
      <c r="P21">
        <v>35</v>
      </c>
      <c r="Q21" t="s">
        <v>1358</v>
      </c>
      <c r="R21" s="54" t="s">
        <v>915</v>
      </c>
      <c r="S21" s="113" t="s">
        <v>806</v>
      </c>
    </row>
    <row r="22" spans="1:19" ht="37">
      <c r="A22">
        <v>75</v>
      </c>
      <c r="B22" s="126" t="s">
        <v>47</v>
      </c>
      <c r="C22" s="27">
        <f>VLOOKUP(B22,Elements!$A$2:$B$435,2,0)</f>
        <v>10</v>
      </c>
      <c r="D22">
        <v>1</v>
      </c>
      <c r="E22" t="str">
        <f>VLOOKUP(D22,Categories!$A$2:$B$8,2,0)</f>
        <v>ePRO</v>
      </c>
      <c r="F22">
        <v>7</v>
      </c>
      <c r="G22" t="str">
        <f>VLOOKUP(F22,Subcategories!$A$2:$B$29,2,0)</f>
        <v>Technology</v>
      </c>
      <c r="H22" t="str">
        <f t="shared" si="0"/>
        <v>1-7-10</v>
      </c>
      <c r="I22">
        <f>VLOOKUP(H22,SuiteCatSubElem!$F$2:$G$666,2,0)</f>
        <v>75</v>
      </c>
      <c r="J22">
        <v>1</v>
      </c>
      <c r="K22">
        <v>10</v>
      </c>
      <c r="M22" t="s">
        <v>50</v>
      </c>
      <c r="N22" s="60">
        <v>43101</v>
      </c>
      <c r="O22" t="s">
        <v>50</v>
      </c>
      <c r="P22">
        <v>75</v>
      </c>
      <c r="Q22" t="s">
        <v>1358</v>
      </c>
      <c r="R22" s="54" t="s">
        <v>915</v>
      </c>
      <c r="S22" s="113" t="s">
        <v>806</v>
      </c>
    </row>
    <row r="23" spans="1:19" ht="37">
      <c r="A23">
        <v>107</v>
      </c>
      <c r="B23" s="126" t="s">
        <v>47</v>
      </c>
      <c r="C23" s="27">
        <f>VLOOKUP(B23,Elements!$A$2:$B$435,2,0)</f>
        <v>10</v>
      </c>
      <c r="D23">
        <v>2</v>
      </c>
      <c r="E23" t="str">
        <f>VLOOKUP(D23,Categories!$A$2:$B$8,2,0)</f>
        <v>I2P</v>
      </c>
      <c r="F23">
        <v>7</v>
      </c>
      <c r="G23" t="str">
        <f>VLOOKUP(F23,Subcategories!$A$2:$B$29,2,0)</f>
        <v>Technology</v>
      </c>
      <c r="H23" t="str">
        <f t="shared" si="0"/>
        <v>2-7-10</v>
      </c>
      <c r="I23">
        <f>VLOOKUP(H23,SuiteCatSubElem!$F$2:$G$666,2,0)</f>
        <v>106</v>
      </c>
      <c r="J23">
        <v>1</v>
      </c>
      <c r="K23">
        <v>10</v>
      </c>
      <c r="M23" t="s">
        <v>50</v>
      </c>
      <c r="N23" s="60">
        <v>43101</v>
      </c>
      <c r="O23" t="s">
        <v>50</v>
      </c>
      <c r="P23">
        <v>17</v>
      </c>
      <c r="Q23" t="s">
        <v>1358</v>
      </c>
      <c r="R23" s="54" t="s">
        <v>915</v>
      </c>
      <c r="S23" s="113" t="s">
        <v>806</v>
      </c>
    </row>
    <row r="24" spans="1:19" ht="37">
      <c r="A24">
        <v>148</v>
      </c>
      <c r="B24" s="126" t="s">
        <v>47</v>
      </c>
      <c r="C24" s="27">
        <f>VLOOKUP(B24,Elements!$A$2:$B$435,2,0)</f>
        <v>10</v>
      </c>
      <c r="D24">
        <v>3</v>
      </c>
      <c r="E24" t="str">
        <f>VLOOKUP(D24,Categories!$A$2:$B$8,2,0)</f>
        <v>P2P</v>
      </c>
      <c r="F24">
        <v>1</v>
      </c>
      <c r="G24" t="str">
        <f>VLOOKUP(F24,Subcategories!$A$2:$B$29,2,0)</f>
        <v>Catalogs</v>
      </c>
      <c r="H24" t="str">
        <f t="shared" si="0"/>
        <v>3-1-10</v>
      </c>
      <c r="I24">
        <f>VLOOKUP(H24,SuiteCatSubElem!$F$2:$G$666,2,0)</f>
        <v>147</v>
      </c>
      <c r="J24">
        <v>1</v>
      </c>
      <c r="K24">
        <v>10</v>
      </c>
      <c r="M24" t="s">
        <v>50</v>
      </c>
      <c r="N24" s="60">
        <v>43101</v>
      </c>
      <c r="O24" t="s">
        <v>50</v>
      </c>
      <c r="P24">
        <v>10</v>
      </c>
      <c r="Q24" t="s">
        <v>1358</v>
      </c>
      <c r="R24" s="54" t="s">
        <v>915</v>
      </c>
      <c r="S24" s="113" t="s">
        <v>806</v>
      </c>
    </row>
    <row r="25" spans="1:19" ht="37">
      <c r="A25">
        <v>173</v>
      </c>
      <c r="B25" s="126" t="s">
        <v>47</v>
      </c>
      <c r="C25" s="27">
        <f>VLOOKUP(B25,Elements!$A$2:$B$435,2,0)</f>
        <v>10</v>
      </c>
      <c r="D25">
        <v>3</v>
      </c>
      <c r="E25" t="str">
        <f>VLOOKUP(D25,Categories!$A$2:$B$8,2,0)</f>
        <v>P2P</v>
      </c>
      <c r="F25">
        <v>2</v>
      </c>
      <c r="G25" t="str">
        <f>VLOOKUP(F25,Subcategories!$A$2:$B$29,2,0)</f>
        <v>Shopping / Requisitioning</v>
      </c>
      <c r="H25" t="str">
        <f t="shared" si="0"/>
        <v>3-2-10</v>
      </c>
      <c r="I25">
        <f>VLOOKUP(H25,SuiteCatSubElem!$F$2:$G$666,2,0)</f>
        <v>172</v>
      </c>
      <c r="J25">
        <v>1</v>
      </c>
      <c r="K25">
        <v>10</v>
      </c>
      <c r="M25" t="s">
        <v>50</v>
      </c>
      <c r="N25" s="60">
        <v>43101</v>
      </c>
      <c r="O25" t="s">
        <v>50</v>
      </c>
      <c r="P25">
        <v>35</v>
      </c>
      <c r="Q25" t="s">
        <v>1358</v>
      </c>
      <c r="R25" s="54" t="s">
        <v>915</v>
      </c>
      <c r="S25" s="113" t="s">
        <v>806</v>
      </c>
    </row>
    <row r="26" spans="1:19" ht="37">
      <c r="A26">
        <v>213</v>
      </c>
      <c r="B26" s="126" t="s">
        <v>47</v>
      </c>
      <c r="C26" s="27">
        <f>VLOOKUP(B26,Elements!$A$2:$B$435,2,0)</f>
        <v>10</v>
      </c>
      <c r="D26">
        <v>3</v>
      </c>
      <c r="E26" t="str">
        <f>VLOOKUP(D26,Categories!$A$2:$B$8,2,0)</f>
        <v>P2P</v>
      </c>
      <c r="F26">
        <v>7</v>
      </c>
      <c r="G26" t="str">
        <f>VLOOKUP(F26,Subcategories!$A$2:$B$29,2,0)</f>
        <v>Technology</v>
      </c>
      <c r="H26" t="str">
        <f t="shared" si="0"/>
        <v>3-7-10</v>
      </c>
      <c r="I26">
        <f>VLOOKUP(H26,SuiteCatSubElem!$F$2:$G$666,2,0)</f>
        <v>212</v>
      </c>
      <c r="J26">
        <v>1</v>
      </c>
      <c r="K26">
        <v>10</v>
      </c>
      <c r="M26" t="s">
        <v>50</v>
      </c>
      <c r="N26" s="60">
        <v>43101</v>
      </c>
      <c r="O26" t="s">
        <v>50</v>
      </c>
      <c r="P26">
        <v>75</v>
      </c>
      <c r="Q26" t="s">
        <v>1358</v>
      </c>
      <c r="R26" s="54" t="s">
        <v>915</v>
      </c>
      <c r="S26" s="113" t="s">
        <v>806</v>
      </c>
    </row>
    <row r="27" spans="1:19" ht="37">
      <c r="A27">
        <v>384</v>
      </c>
      <c r="B27" s="125" t="s">
        <v>47</v>
      </c>
      <c r="C27" s="27">
        <f>VLOOKUP(B27,Elements!$A$2:$B$435,2,0)</f>
        <v>10</v>
      </c>
      <c r="D27">
        <v>4</v>
      </c>
      <c r="E27" t="str">
        <f>VLOOKUP(D27,Categories!$A$2:$B$8,2,0)</f>
        <v>Sourcing</v>
      </c>
      <c r="F27">
        <v>7</v>
      </c>
      <c r="G27" t="str">
        <f>VLOOKUP(F27,Subcategories!$A$2:$B$29,2,0)</f>
        <v>Technology</v>
      </c>
      <c r="H27" t="str">
        <f t="shared" si="0"/>
        <v>4-7-10</v>
      </c>
      <c r="I27">
        <f>VLOOKUP(H27,SuiteCatSubElem!$F$2:$G$666,2,0)</f>
        <v>378</v>
      </c>
      <c r="J27">
        <v>1</v>
      </c>
      <c r="K27">
        <v>10</v>
      </c>
      <c r="M27" t="s">
        <v>50</v>
      </c>
      <c r="N27" s="60">
        <v>43101</v>
      </c>
      <c r="O27" t="s">
        <v>50</v>
      </c>
      <c r="P27">
        <v>135</v>
      </c>
      <c r="Q27" t="s">
        <v>1358</v>
      </c>
      <c r="R27" s="54" t="s">
        <v>915</v>
      </c>
      <c r="S27" s="113" t="s">
        <v>806</v>
      </c>
    </row>
    <row r="28" spans="1:19" ht="37">
      <c r="A28">
        <v>475</v>
      </c>
      <c r="B28" s="126" t="s">
        <v>47</v>
      </c>
      <c r="C28" s="27">
        <f>VLOOKUP(B28,Elements!$A$2:$B$435,2,0)</f>
        <v>10</v>
      </c>
      <c r="D28">
        <v>5</v>
      </c>
      <c r="E28" t="str">
        <f>VLOOKUP(D28,Categories!$A$2:$B$8,2,0)</f>
        <v>SA</v>
      </c>
      <c r="F28">
        <v>7</v>
      </c>
      <c r="G28" t="str">
        <f>VLOOKUP(F28,Subcategories!$A$2:$B$29,2,0)</f>
        <v>Technology</v>
      </c>
      <c r="H28" t="str">
        <f t="shared" si="0"/>
        <v>5-7-10</v>
      </c>
      <c r="I28">
        <f>VLOOKUP(H28,SuiteCatSubElem!$F$2:$G$666,2,0)</f>
        <v>469</v>
      </c>
      <c r="J28">
        <v>1</v>
      </c>
      <c r="K28">
        <v>10</v>
      </c>
      <c r="M28" t="s">
        <v>50</v>
      </c>
      <c r="N28" s="60">
        <v>43101</v>
      </c>
      <c r="O28" t="s">
        <v>50</v>
      </c>
      <c r="P28">
        <v>61</v>
      </c>
      <c r="Q28" t="s">
        <v>1358</v>
      </c>
      <c r="R28" s="54" t="s">
        <v>915</v>
      </c>
      <c r="S28" s="113" t="s">
        <v>806</v>
      </c>
    </row>
    <row r="29" spans="1:19" ht="37">
      <c r="A29">
        <v>578</v>
      </c>
      <c r="B29" s="125" t="s">
        <v>47</v>
      </c>
      <c r="C29" s="27">
        <f>VLOOKUP(B29,Elements!$A$2:$B$435,2,0)</f>
        <v>10</v>
      </c>
      <c r="D29">
        <v>6</v>
      </c>
      <c r="E29" t="str">
        <f>VLOOKUP(D29,Categories!$A$2:$B$8,2,0)</f>
        <v>SXM</v>
      </c>
      <c r="F29">
        <v>7</v>
      </c>
      <c r="G29" t="str">
        <f>VLOOKUP(F29,Subcategories!$A$2:$B$29,2,0)</f>
        <v>Technology</v>
      </c>
      <c r="H29" t="str">
        <f t="shared" si="0"/>
        <v>6-7-10</v>
      </c>
      <c r="I29">
        <f>VLOOKUP(H29,SuiteCatSubElem!$F$2:$G$666,2,0)</f>
        <v>572</v>
      </c>
      <c r="J29">
        <v>1</v>
      </c>
      <c r="K29">
        <v>10</v>
      </c>
      <c r="M29" t="s">
        <v>50</v>
      </c>
      <c r="N29" s="60">
        <v>43101</v>
      </c>
      <c r="O29" t="s">
        <v>50</v>
      </c>
      <c r="P29">
        <v>79</v>
      </c>
      <c r="Q29" t="s">
        <v>1358</v>
      </c>
      <c r="R29" s="54" t="s">
        <v>915</v>
      </c>
      <c r="S29" s="113" t="s">
        <v>806</v>
      </c>
    </row>
    <row r="30" spans="1:19" ht="30">
      <c r="A30">
        <v>11</v>
      </c>
      <c r="B30" s="126" t="s">
        <v>48</v>
      </c>
      <c r="C30" s="27">
        <f>VLOOKUP(B30,Elements!$A$2:$B$435,2,0)</f>
        <v>11</v>
      </c>
      <c r="D30">
        <v>1</v>
      </c>
      <c r="E30" t="str">
        <f>VLOOKUP(D30,Categories!$A$2:$B$8,2,0)</f>
        <v>ePRO</v>
      </c>
      <c r="F30">
        <v>1</v>
      </c>
      <c r="G30" t="str">
        <f>VLOOKUP(F30,Subcategories!$A$2:$B$29,2,0)</f>
        <v>Catalogs</v>
      </c>
      <c r="H30" t="str">
        <f t="shared" si="0"/>
        <v>1-1-11</v>
      </c>
      <c r="I30">
        <f>VLOOKUP(H30,SuiteCatSubElem!$F$2:$G$666,2,0)</f>
        <v>11</v>
      </c>
      <c r="J30">
        <v>1</v>
      </c>
      <c r="K30">
        <v>11</v>
      </c>
      <c r="M30" t="s">
        <v>50</v>
      </c>
      <c r="N30" s="60">
        <v>43101</v>
      </c>
      <c r="O30" t="s">
        <v>50</v>
      </c>
      <c r="P30">
        <v>11</v>
      </c>
      <c r="Q30" t="s">
        <v>1358</v>
      </c>
      <c r="R30" s="55" t="s">
        <v>1103</v>
      </c>
      <c r="S30" s="109" t="s">
        <v>298</v>
      </c>
    </row>
    <row r="31" spans="1:19" ht="30">
      <c r="A31">
        <v>149</v>
      </c>
      <c r="B31" s="126" t="s">
        <v>48</v>
      </c>
      <c r="C31" s="27">
        <f>VLOOKUP(B31,Elements!$A$2:$B$435,2,0)</f>
        <v>11</v>
      </c>
      <c r="D31">
        <v>3</v>
      </c>
      <c r="E31" t="str">
        <f>VLOOKUP(D31,Categories!$A$2:$B$8,2,0)</f>
        <v>P2P</v>
      </c>
      <c r="F31">
        <v>1</v>
      </c>
      <c r="G31" t="str">
        <f>VLOOKUP(F31,Subcategories!$A$2:$B$29,2,0)</f>
        <v>Catalogs</v>
      </c>
      <c r="H31" t="str">
        <f t="shared" si="0"/>
        <v>3-1-11</v>
      </c>
      <c r="I31">
        <f>VLOOKUP(H31,SuiteCatSubElem!$F$2:$G$666,2,0)</f>
        <v>148</v>
      </c>
      <c r="J31">
        <v>1</v>
      </c>
      <c r="K31">
        <v>11</v>
      </c>
      <c r="M31" t="s">
        <v>50</v>
      </c>
      <c r="N31" s="60">
        <v>43101</v>
      </c>
      <c r="O31" t="s">
        <v>50</v>
      </c>
      <c r="P31">
        <v>11</v>
      </c>
      <c r="Q31" t="s">
        <v>1358</v>
      </c>
      <c r="R31" s="55" t="s">
        <v>1103</v>
      </c>
      <c r="S31" s="109" t="s">
        <v>298</v>
      </c>
    </row>
    <row r="32" spans="1:19" ht="24">
      <c r="A32">
        <v>12</v>
      </c>
      <c r="B32" s="126" t="s">
        <v>520</v>
      </c>
      <c r="C32" s="27">
        <f>VLOOKUP(B32,Elements!$A$2:$B$435,2,0)</f>
        <v>12</v>
      </c>
      <c r="D32">
        <v>1</v>
      </c>
      <c r="E32" t="str">
        <f>VLOOKUP(D32,Categories!$A$2:$B$8,2,0)</f>
        <v>ePRO</v>
      </c>
      <c r="F32">
        <v>1</v>
      </c>
      <c r="G32" t="str">
        <f>VLOOKUP(F32,Subcategories!$A$2:$B$29,2,0)</f>
        <v>Catalogs</v>
      </c>
      <c r="H32" t="str">
        <f t="shared" si="0"/>
        <v>1-1-12</v>
      </c>
      <c r="I32">
        <f>VLOOKUP(H32,SuiteCatSubElem!$F$2:$G$666,2,0)</f>
        <v>12</v>
      </c>
      <c r="J32">
        <v>1</v>
      </c>
      <c r="K32">
        <v>12</v>
      </c>
      <c r="M32" t="s">
        <v>50</v>
      </c>
      <c r="N32" s="60">
        <v>43101</v>
      </c>
      <c r="O32" t="s">
        <v>50</v>
      </c>
      <c r="P32">
        <v>12</v>
      </c>
      <c r="Q32" t="s">
        <v>1358</v>
      </c>
      <c r="R32" s="54" t="s">
        <v>1104</v>
      </c>
      <c r="S32" s="109" t="s">
        <v>298</v>
      </c>
    </row>
    <row r="33" spans="1:19" ht="24">
      <c r="A33">
        <v>150</v>
      </c>
      <c r="B33" s="126" t="s">
        <v>520</v>
      </c>
      <c r="C33" s="27">
        <f>VLOOKUP(B33,Elements!$A$2:$B$435,2,0)</f>
        <v>12</v>
      </c>
      <c r="D33">
        <v>3</v>
      </c>
      <c r="E33" t="str">
        <f>VLOOKUP(D33,Categories!$A$2:$B$8,2,0)</f>
        <v>P2P</v>
      </c>
      <c r="F33">
        <v>1</v>
      </c>
      <c r="G33" t="str">
        <f>VLOOKUP(F33,Subcategories!$A$2:$B$29,2,0)</f>
        <v>Catalogs</v>
      </c>
      <c r="H33" t="str">
        <f t="shared" si="0"/>
        <v>3-1-12</v>
      </c>
      <c r="I33">
        <f>VLOOKUP(H33,SuiteCatSubElem!$F$2:$G$666,2,0)</f>
        <v>149</v>
      </c>
      <c r="J33">
        <v>1</v>
      </c>
      <c r="K33">
        <v>12</v>
      </c>
      <c r="M33" t="s">
        <v>50</v>
      </c>
      <c r="N33" s="60">
        <v>43101</v>
      </c>
      <c r="O33" t="s">
        <v>50</v>
      </c>
      <c r="P33">
        <v>12</v>
      </c>
      <c r="Q33" t="s">
        <v>1358</v>
      </c>
      <c r="R33" s="54" t="s">
        <v>1104</v>
      </c>
      <c r="S33" s="109" t="s">
        <v>298</v>
      </c>
    </row>
    <row r="34" spans="1:19" ht="24">
      <c r="A34">
        <v>13</v>
      </c>
      <c r="B34" s="126" t="s">
        <v>51</v>
      </c>
      <c r="C34" s="27">
        <f>VLOOKUP(B34,Elements!$A$2:$B$435,2,0)</f>
        <v>13</v>
      </c>
      <c r="D34">
        <v>1</v>
      </c>
      <c r="E34" t="str">
        <f>VLOOKUP(D34,Categories!$A$2:$B$8,2,0)</f>
        <v>ePRO</v>
      </c>
      <c r="F34">
        <v>2</v>
      </c>
      <c r="G34" t="str">
        <f>VLOOKUP(F34,Subcategories!$A$2:$B$29,2,0)</f>
        <v>Shopping / Requisitioning</v>
      </c>
      <c r="H34" t="str">
        <f t="shared" si="0"/>
        <v>1-2-13</v>
      </c>
      <c r="I34">
        <f>VLOOKUP(H34,SuiteCatSubElem!$F$2:$G$666,2,0)</f>
        <v>13</v>
      </c>
      <c r="J34">
        <v>1</v>
      </c>
      <c r="K34">
        <v>13</v>
      </c>
      <c r="M34" t="s">
        <v>50</v>
      </c>
      <c r="N34" s="60">
        <v>43101</v>
      </c>
      <c r="O34" t="s">
        <v>50</v>
      </c>
      <c r="P34">
        <v>13</v>
      </c>
      <c r="Q34" t="s">
        <v>1358</v>
      </c>
      <c r="R34" s="44" t="s">
        <v>1105</v>
      </c>
      <c r="S34" s="109" t="s">
        <v>298</v>
      </c>
    </row>
    <row r="35" spans="1:19" ht="24">
      <c r="A35">
        <v>151</v>
      </c>
      <c r="B35" s="126" t="s">
        <v>51</v>
      </c>
      <c r="C35" s="27">
        <f>VLOOKUP(B35,Elements!$A$2:$B$435,2,0)</f>
        <v>13</v>
      </c>
      <c r="D35">
        <v>3</v>
      </c>
      <c r="E35" t="str">
        <f>VLOOKUP(D35,Categories!$A$2:$B$8,2,0)</f>
        <v>P2P</v>
      </c>
      <c r="F35">
        <v>2</v>
      </c>
      <c r="G35" t="str">
        <f>VLOOKUP(F35,Subcategories!$A$2:$B$29,2,0)</f>
        <v>Shopping / Requisitioning</v>
      </c>
      <c r="H35" t="str">
        <f t="shared" si="0"/>
        <v>3-2-13</v>
      </c>
      <c r="I35">
        <f>VLOOKUP(H35,SuiteCatSubElem!$F$2:$G$666,2,0)</f>
        <v>150</v>
      </c>
      <c r="J35">
        <v>1</v>
      </c>
      <c r="K35">
        <v>13</v>
      </c>
      <c r="M35" t="s">
        <v>50</v>
      </c>
      <c r="N35" s="60">
        <v>43101</v>
      </c>
      <c r="O35" t="s">
        <v>50</v>
      </c>
      <c r="P35">
        <v>13</v>
      </c>
      <c r="Q35" t="s">
        <v>1358</v>
      </c>
      <c r="R35" s="44" t="s">
        <v>1105</v>
      </c>
      <c r="S35" s="109" t="s">
        <v>298</v>
      </c>
    </row>
    <row r="36" spans="1:19" ht="48">
      <c r="A36">
        <v>14</v>
      </c>
      <c r="B36" s="126" t="s">
        <v>52</v>
      </c>
      <c r="C36" s="27">
        <f>VLOOKUP(B36,Elements!$A$2:$B$435,2,0)</f>
        <v>14</v>
      </c>
      <c r="D36">
        <v>1</v>
      </c>
      <c r="E36" t="str">
        <f>VLOOKUP(D36,Categories!$A$2:$B$8,2,0)</f>
        <v>ePRO</v>
      </c>
      <c r="F36">
        <v>2</v>
      </c>
      <c r="G36" t="str">
        <f>VLOOKUP(F36,Subcategories!$A$2:$B$29,2,0)</f>
        <v>Shopping / Requisitioning</v>
      </c>
      <c r="H36" t="str">
        <f t="shared" si="0"/>
        <v>1-2-14</v>
      </c>
      <c r="I36">
        <f>VLOOKUP(H36,SuiteCatSubElem!$F$2:$G$666,2,0)</f>
        <v>14</v>
      </c>
      <c r="J36">
        <v>1</v>
      </c>
      <c r="K36">
        <v>14</v>
      </c>
      <c r="M36" t="s">
        <v>50</v>
      </c>
      <c r="N36" s="60">
        <v>43101</v>
      </c>
      <c r="O36" t="s">
        <v>50</v>
      </c>
      <c r="P36">
        <v>14</v>
      </c>
      <c r="Q36" t="s">
        <v>1358</v>
      </c>
      <c r="R36" s="44" t="s">
        <v>1106</v>
      </c>
      <c r="S36" s="109" t="s">
        <v>298</v>
      </c>
    </row>
    <row r="37" spans="1:19" ht="48">
      <c r="A37">
        <v>152</v>
      </c>
      <c r="B37" s="126" t="s">
        <v>52</v>
      </c>
      <c r="C37" s="27">
        <f>VLOOKUP(B37,Elements!$A$2:$B$435,2,0)</f>
        <v>14</v>
      </c>
      <c r="D37">
        <v>3</v>
      </c>
      <c r="E37" t="str">
        <f>VLOOKUP(D37,Categories!$A$2:$B$8,2,0)</f>
        <v>P2P</v>
      </c>
      <c r="F37">
        <v>2</v>
      </c>
      <c r="G37" t="str">
        <f>VLOOKUP(F37,Subcategories!$A$2:$B$29,2,0)</f>
        <v>Shopping / Requisitioning</v>
      </c>
      <c r="H37" t="str">
        <f t="shared" si="0"/>
        <v>3-2-14</v>
      </c>
      <c r="I37">
        <f>VLOOKUP(H37,SuiteCatSubElem!$F$2:$G$666,2,0)</f>
        <v>151</v>
      </c>
      <c r="J37">
        <v>1</v>
      </c>
      <c r="K37">
        <v>14</v>
      </c>
      <c r="M37" t="s">
        <v>50</v>
      </c>
      <c r="N37" s="60">
        <v>43101</v>
      </c>
      <c r="O37" t="s">
        <v>50</v>
      </c>
      <c r="P37">
        <v>14</v>
      </c>
      <c r="Q37" t="s">
        <v>1358</v>
      </c>
      <c r="R37" s="44" t="s">
        <v>1106</v>
      </c>
      <c r="S37" s="109" t="s">
        <v>298</v>
      </c>
    </row>
    <row r="38" spans="1:19" ht="48">
      <c r="A38">
        <v>15</v>
      </c>
      <c r="B38" s="126" t="s">
        <v>511</v>
      </c>
      <c r="C38" s="27">
        <f>VLOOKUP(B38,Elements!$A$2:$B$435,2,0)</f>
        <v>15</v>
      </c>
      <c r="D38">
        <v>1</v>
      </c>
      <c r="E38" t="str">
        <f>VLOOKUP(D38,Categories!$A$2:$B$8,2,0)</f>
        <v>ePRO</v>
      </c>
      <c r="F38">
        <v>2</v>
      </c>
      <c r="G38" t="str">
        <f>VLOOKUP(F38,Subcategories!$A$2:$B$29,2,0)</f>
        <v>Shopping / Requisitioning</v>
      </c>
      <c r="H38" t="str">
        <f t="shared" si="0"/>
        <v>1-2-15</v>
      </c>
      <c r="I38">
        <f>VLOOKUP(H38,SuiteCatSubElem!$F$2:$G$666,2,0)</f>
        <v>15</v>
      </c>
      <c r="J38">
        <v>1</v>
      </c>
      <c r="K38">
        <v>15</v>
      </c>
      <c r="M38" t="s">
        <v>50</v>
      </c>
      <c r="N38" s="60">
        <v>43101</v>
      </c>
      <c r="O38" t="s">
        <v>50</v>
      </c>
      <c r="P38">
        <v>15</v>
      </c>
      <c r="Q38" t="s">
        <v>1358</v>
      </c>
      <c r="R38" s="44" t="s">
        <v>1107</v>
      </c>
      <c r="S38" s="109" t="s">
        <v>298</v>
      </c>
    </row>
    <row r="39" spans="1:19" ht="48">
      <c r="A39">
        <v>153</v>
      </c>
      <c r="B39" s="126" t="s">
        <v>511</v>
      </c>
      <c r="C39" s="27">
        <f>VLOOKUP(B39,Elements!$A$2:$B$435,2,0)</f>
        <v>15</v>
      </c>
      <c r="D39">
        <v>3</v>
      </c>
      <c r="E39" t="str">
        <f>VLOOKUP(D39,Categories!$A$2:$B$8,2,0)</f>
        <v>P2P</v>
      </c>
      <c r="F39">
        <v>2</v>
      </c>
      <c r="G39" t="str">
        <f>VLOOKUP(F39,Subcategories!$A$2:$B$29,2,0)</f>
        <v>Shopping / Requisitioning</v>
      </c>
      <c r="H39" t="str">
        <f t="shared" si="0"/>
        <v>3-2-15</v>
      </c>
      <c r="I39">
        <f>VLOOKUP(H39,SuiteCatSubElem!$F$2:$G$666,2,0)</f>
        <v>152</v>
      </c>
      <c r="J39">
        <v>1</v>
      </c>
      <c r="K39">
        <v>15</v>
      </c>
      <c r="M39" t="s">
        <v>50</v>
      </c>
      <c r="N39" s="60">
        <v>43101</v>
      </c>
      <c r="O39" t="s">
        <v>50</v>
      </c>
      <c r="P39">
        <v>15</v>
      </c>
      <c r="Q39" t="s">
        <v>1358</v>
      </c>
      <c r="R39" s="45" t="s">
        <v>1107</v>
      </c>
      <c r="S39" s="109" t="s">
        <v>298</v>
      </c>
    </row>
    <row r="40" spans="1:19" ht="24">
      <c r="A40">
        <v>16</v>
      </c>
      <c r="B40" s="126" t="s">
        <v>54</v>
      </c>
      <c r="C40" s="27">
        <f>VLOOKUP(B40,Elements!$A$2:$B$435,2,0)</f>
        <v>16</v>
      </c>
      <c r="D40">
        <v>1</v>
      </c>
      <c r="E40" t="str">
        <f>VLOOKUP(D40,Categories!$A$2:$B$8,2,0)</f>
        <v>ePRO</v>
      </c>
      <c r="F40">
        <v>2</v>
      </c>
      <c r="G40" t="str">
        <f>VLOOKUP(F40,Subcategories!$A$2:$B$29,2,0)</f>
        <v>Shopping / Requisitioning</v>
      </c>
      <c r="H40" t="str">
        <f t="shared" si="0"/>
        <v>1-2-16</v>
      </c>
      <c r="I40">
        <f>VLOOKUP(H40,SuiteCatSubElem!$F$2:$G$666,2,0)</f>
        <v>16</v>
      </c>
      <c r="J40">
        <v>1</v>
      </c>
      <c r="K40">
        <v>16</v>
      </c>
      <c r="M40" t="s">
        <v>50</v>
      </c>
      <c r="N40" s="60">
        <v>43101</v>
      </c>
      <c r="O40" t="s">
        <v>50</v>
      </c>
      <c r="P40">
        <v>16</v>
      </c>
      <c r="Q40" t="s">
        <v>1358</v>
      </c>
      <c r="R40" s="45" t="s">
        <v>1108</v>
      </c>
      <c r="S40" s="109" t="s">
        <v>298</v>
      </c>
    </row>
    <row r="41" spans="1:19" ht="24">
      <c r="A41">
        <v>154</v>
      </c>
      <c r="B41" s="126" t="s">
        <v>54</v>
      </c>
      <c r="C41" s="27">
        <f>VLOOKUP(B41,Elements!$A$2:$B$435,2,0)</f>
        <v>16</v>
      </c>
      <c r="D41">
        <v>3</v>
      </c>
      <c r="E41" t="str">
        <f>VLOOKUP(D41,Categories!$A$2:$B$8,2,0)</f>
        <v>P2P</v>
      </c>
      <c r="F41">
        <v>2</v>
      </c>
      <c r="G41" t="str">
        <f>VLOOKUP(F41,Subcategories!$A$2:$B$29,2,0)</f>
        <v>Shopping / Requisitioning</v>
      </c>
      <c r="H41" t="str">
        <f t="shared" si="0"/>
        <v>3-2-16</v>
      </c>
      <c r="I41">
        <f>VLOOKUP(H41,SuiteCatSubElem!$F$2:$G$666,2,0)</f>
        <v>153</v>
      </c>
      <c r="J41">
        <v>1</v>
      </c>
      <c r="K41">
        <v>16</v>
      </c>
      <c r="M41" t="s">
        <v>50</v>
      </c>
      <c r="N41" s="60">
        <v>43101</v>
      </c>
      <c r="O41" t="s">
        <v>50</v>
      </c>
      <c r="P41">
        <v>16</v>
      </c>
      <c r="Q41" t="s">
        <v>1358</v>
      </c>
      <c r="R41" s="44" t="s">
        <v>1108</v>
      </c>
      <c r="S41" s="109" t="s">
        <v>298</v>
      </c>
    </row>
    <row r="42" spans="1:19" ht="84">
      <c r="A42">
        <v>17</v>
      </c>
      <c r="B42" s="126" t="s">
        <v>55</v>
      </c>
      <c r="C42" s="27">
        <f>VLOOKUP(B42,Elements!$A$2:$B$435,2,0)</f>
        <v>17</v>
      </c>
      <c r="D42">
        <v>1</v>
      </c>
      <c r="E42" t="str">
        <f>VLOOKUP(D42,Categories!$A$2:$B$8,2,0)</f>
        <v>ePRO</v>
      </c>
      <c r="F42">
        <v>2</v>
      </c>
      <c r="G42" t="str">
        <f>VLOOKUP(F42,Subcategories!$A$2:$B$29,2,0)</f>
        <v>Shopping / Requisitioning</v>
      </c>
      <c r="H42" t="str">
        <f t="shared" si="0"/>
        <v>1-2-17</v>
      </c>
      <c r="I42">
        <f>VLOOKUP(H42,SuiteCatSubElem!$F$2:$G$666,2,0)</f>
        <v>17</v>
      </c>
      <c r="J42">
        <v>1</v>
      </c>
      <c r="K42">
        <v>17</v>
      </c>
      <c r="M42" t="s">
        <v>50</v>
      </c>
      <c r="N42" s="60">
        <v>43101</v>
      </c>
      <c r="O42" t="s">
        <v>50</v>
      </c>
      <c r="P42">
        <v>17</v>
      </c>
      <c r="Q42" t="s">
        <v>1358</v>
      </c>
      <c r="R42" s="44" t="s">
        <v>1109</v>
      </c>
      <c r="S42" s="109" t="s">
        <v>298</v>
      </c>
    </row>
    <row r="43" spans="1:19" ht="84">
      <c r="A43">
        <v>155</v>
      </c>
      <c r="B43" s="126" t="s">
        <v>55</v>
      </c>
      <c r="C43" s="27">
        <f>VLOOKUP(B43,Elements!$A$2:$B$435,2,0)</f>
        <v>17</v>
      </c>
      <c r="D43">
        <v>3</v>
      </c>
      <c r="E43" t="str">
        <f>VLOOKUP(D43,Categories!$A$2:$B$8,2,0)</f>
        <v>P2P</v>
      </c>
      <c r="F43">
        <v>2</v>
      </c>
      <c r="G43" t="str">
        <f>VLOOKUP(F43,Subcategories!$A$2:$B$29,2,0)</f>
        <v>Shopping / Requisitioning</v>
      </c>
      <c r="H43" t="str">
        <f t="shared" si="0"/>
        <v>3-2-17</v>
      </c>
      <c r="I43">
        <f>VLOOKUP(H43,SuiteCatSubElem!$F$2:$G$666,2,0)</f>
        <v>154</v>
      </c>
      <c r="J43">
        <v>1</v>
      </c>
      <c r="K43">
        <v>17</v>
      </c>
      <c r="M43" t="s">
        <v>50</v>
      </c>
      <c r="N43" s="60">
        <v>43101</v>
      </c>
      <c r="O43" t="s">
        <v>50</v>
      </c>
      <c r="P43">
        <v>17</v>
      </c>
      <c r="Q43" t="s">
        <v>1358</v>
      </c>
      <c r="R43" s="44" t="s">
        <v>1109</v>
      </c>
      <c r="S43" s="109" t="s">
        <v>298</v>
      </c>
    </row>
    <row r="44" spans="1:19" ht="48">
      <c r="A44">
        <v>18</v>
      </c>
      <c r="B44" s="126" t="s">
        <v>56</v>
      </c>
      <c r="C44" s="27">
        <f>VLOOKUP(B44,Elements!$A$2:$B$435,2,0)</f>
        <v>18</v>
      </c>
      <c r="D44">
        <v>1</v>
      </c>
      <c r="E44" t="str">
        <f>VLOOKUP(D44,Categories!$A$2:$B$8,2,0)</f>
        <v>ePRO</v>
      </c>
      <c r="F44">
        <v>2</v>
      </c>
      <c r="G44" t="str">
        <f>VLOOKUP(F44,Subcategories!$A$2:$B$29,2,0)</f>
        <v>Shopping / Requisitioning</v>
      </c>
      <c r="H44" t="str">
        <f t="shared" si="0"/>
        <v>1-2-18</v>
      </c>
      <c r="I44">
        <f>VLOOKUP(H44,SuiteCatSubElem!$F$2:$G$666,2,0)</f>
        <v>18</v>
      </c>
      <c r="J44">
        <v>1</v>
      </c>
      <c r="K44">
        <v>18</v>
      </c>
      <c r="M44" t="s">
        <v>50</v>
      </c>
      <c r="N44" s="60">
        <v>43101</v>
      </c>
      <c r="O44" t="s">
        <v>50</v>
      </c>
      <c r="P44">
        <v>18</v>
      </c>
      <c r="Q44" t="s">
        <v>1358</v>
      </c>
      <c r="R44" s="44" t="s">
        <v>1110</v>
      </c>
      <c r="S44" s="109" t="s">
        <v>298</v>
      </c>
    </row>
    <row r="45" spans="1:19" ht="48">
      <c r="A45">
        <v>156</v>
      </c>
      <c r="B45" s="126" t="s">
        <v>56</v>
      </c>
      <c r="C45" s="27">
        <f>VLOOKUP(B45,Elements!$A$2:$B$435,2,0)</f>
        <v>18</v>
      </c>
      <c r="D45">
        <v>3</v>
      </c>
      <c r="E45" t="str">
        <f>VLOOKUP(D45,Categories!$A$2:$B$8,2,0)</f>
        <v>P2P</v>
      </c>
      <c r="F45">
        <v>2</v>
      </c>
      <c r="G45" t="str">
        <f>VLOOKUP(F45,Subcategories!$A$2:$B$29,2,0)</f>
        <v>Shopping / Requisitioning</v>
      </c>
      <c r="H45" t="str">
        <f t="shared" si="0"/>
        <v>3-2-18</v>
      </c>
      <c r="I45">
        <f>VLOOKUP(H45,SuiteCatSubElem!$F$2:$G$666,2,0)</f>
        <v>155</v>
      </c>
      <c r="J45">
        <v>1</v>
      </c>
      <c r="K45">
        <v>18</v>
      </c>
      <c r="M45" t="s">
        <v>50</v>
      </c>
      <c r="N45" s="60">
        <v>43101</v>
      </c>
      <c r="O45" t="s">
        <v>50</v>
      </c>
      <c r="P45">
        <v>18</v>
      </c>
      <c r="Q45" t="s">
        <v>1358</v>
      </c>
      <c r="R45" s="44" t="s">
        <v>1110</v>
      </c>
      <c r="S45" s="109" t="s">
        <v>298</v>
      </c>
    </row>
    <row r="46" spans="1:19" ht="204">
      <c r="A46">
        <v>19</v>
      </c>
      <c r="B46" s="126" t="s">
        <v>57</v>
      </c>
      <c r="C46" s="27">
        <f>VLOOKUP(B46,Elements!$A$2:$B$435,2,0)</f>
        <v>19</v>
      </c>
      <c r="D46">
        <v>1</v>
      </c>
      <c r="E46" t="str">
        <f>VLOOKUP(D46,Categories!$A$2:$B$8,2,0)</f>
        <v>ePRO</v>
      </c>
      <c r="F46">
        <v>2</v>
      </c>
      <c r="G46" t="str">
        <f>VLOOKUP(F46,Subcategories!$A$2:$B$29,2,0)</f>
        <v>Shopping / Requisitioning</v>
      </c>
      <c r="H46" t="str">
        <f t="shared" si="0"/>
        <v>1-2-19</v>
      </c>
      <c r="I46">
        <f>VLOOKUP(H46,SuiteCatSubElem!$F$2:$G$666,2,0)</f>
        <v>19</v>
      </c>
      <c r="J46">
        <v>1</v>
      </c>
      <c r="K46">
        <v>19</v>
      </c>
      <c r="M46" t="s">
        <v>50</v>
      </c>
      <c r="N46" s="60">
        <v>43101</v>
      </c>
      <c r="O46" t="s">
        <v>50</v>
      </c>
      <c r="P46">
        <v>19</v>
      </c>
      <c r="Q46" t="s">
        <v>1358</v>
      </c>
      <c r="R46" s="44" t="s">
        <v>1111</v>
      </c>
      <c r="S46" s="109" t="s">
        <v>298</v>
      </c>
    </row>
    <row r="47" spans="1:19" ht="204">
      <c r="A47">
        <v>157</v>
      </c>
      <c r="B47" s="126" t="s">
        <v>57</v>
      </c>
      <c r="C47" s="27">
        <f>VLOOKUP(B47,Elements!$A$2:$B$435,2,0)</f>
        <v>19</v>
      </c>
      <c r="D47">
        <v>3</v>
      </c>
      <c r="E47" t="str">
        <f>VLOOKUP(D47,Categories!$A$2:$B$8,2,0)</f>
        <v>P2P</v>
      </c>
      <c r="F47">
        <v>2</v>
      </c>
      <c r="G47" t="str">
        <f>VLOOKUP(F47,Subcategories!$A$2:$B$29,2,0)</f>
        <v>Shopping / Requisitioning</v>
      </c>
      <c r="H47" t="str">
        <f t="shared" si="0"/>
        <v>3-2-19</v>
      </c>
      <c r="I47">
        <f>VLOOKUP(H47,SuiteCatSubElem!$F$2:$G$666,2,0)</f>
        <v>156</v>
      </c>
      <c r="J47">
        <v>1</v>
      </c>
      <c r="K47">
        <v>19</v>
      </c>
      <c r="M47" t="s">
        <v>50</v>
      </c>
      <c r="N47" s="60">
        <v>43101</v>
      </c>
      <c r="O47" t="s">
        <v>50</v>
      </c>
      <c r="P47">
        <v>19</v>
      </c>
      <c r="Q47" t="s">
        <v>1358</v>
      </c>
      <c r="R47" s="44" t="s">
        <v>1111</v>
      </c>
      <c r="S47" s="109" t="s">
        <v>298</v>
      </c>
    </row>
    <row r="48" spans="1:19">
      <c r="A48">
        <v>20</v>
      </c>
      <c r="B48" s="126" t="s">
        <v>58</v>
      </c>
      <c r="C48" s="27">
        <f>VLOOKUP(B48,Elements!$A$2:$B$435,2,0)</f>
        <v>20</v>
      </c>
      <c r="D48">
        <v>1</v>
      </c>
      <c r="E48" t="str">
        <f>VLOOKUP(D48,Categories!$A$2:$B$8,2,0)</f>
        <v>ePRO</v>
      </c>
      <c r="F48">
        <v>2</v>
      </c>
      <c r="G48" t="str">
        <f>VLOOKUP(F48,Subcategories!$A$2:$B$29,2,0)</f>
        <v>Shopping / Requisitioning</v>
      </c>
      <c r="H48" t="str">
        <f t="shared" si="0"/>
        <v>1-2-20</v>
      </c>
      <c r="I48">
        <f>VLOOKUP(H48,SuiteCatSubElem!$F$2:$G$666,2,0)</f>
        <v>20</v>
      </c>
      <c r="J48">
        <v>1</v>
      </c>
      <c r="K48">
        <v>20</v>
      </c>
      <c r="M48" t="s">
        <v>50</v>
      </c>
      <c r="N48" s="60">
        <v>43101</v>
      </c>
      <c r="O48" t="s">
        <v>50</v>
      </c>
      <c r="P48">
        <v>20</v>
      </c>
      <c r="Q48" t="s">
        <v>1358</v>
      </c>
      <c r="R48" s="44" t="s">
        <v>1112</v>
      </c>
      <c r="S48" s="109" t="s">
        <v>298</v>
      </c>
    </row>
    <row r="49" spans="1:19">
      <c r="A49">
        <v>158</v>
      </c>
      <c r="B49" s="131" t="s">
        <v>58</v>
      </c>
      <c r="C49" s="27">
        <f>VLOOKUP(B49,Elements!$A$2:$B$435,2,0)</f>
        <v>20</v>
      </c>
      <c r="D49">
        <v>3</v>
      </c>
      <c r="E49" t="str">
        <f>VLOOKUP(D49,Categories!$A$2:$B$8,2,0)</f>
        <v>P2P</v>
      </c>
      <c r="F49">
        <v>2</v>
      </c>
      <c r="G49" t="str">
        <f>VLOOKUP(F49,Subcategories!$A$2:$B$29,2,0)</f>
        <v>Shopping / Requisitioning</v>
      </c>
      <c r="H49" t="str">
        <f t="shared" si="0"/>
        <v>3-2-20</v>
      </c>
      <c r="I49">
        <f>VLOOKUP(H49,SuiteCatSubElem!$F$2:$G$666,2,0)</f>
        <v>157</v>
      </c>
      <c r="J49">
        <v>1</v>
      </c>
      <c r="K49">
        <v>20</v>
      </c>
      <c r="M49" t="s">
        <v>50</v>
      </c>
      <c r="N49" s="60">
        <v>43101</v>
      </c>
      <c r="O49" t="s">
        <v>50</v>
      </c>
      <c r="P49">
        <v>20</v>
      </c>
      <c r="Q49" t="s">
        <v>1358</v>
      </c>
      <c r="R49" s="44" t="s">
        <v>1112</v>
      </c>
      <c r="S49" s="109" t="s">
        <v>298</v>
      </c>
    </row>
    <row r="50" spans="1:19" ht="108">
      <c r="A50">
        <v>21</v>
      </c>
      <c r="B50" s="126" t="s">
        <v>59</v>
      </c>
      <c r="C50" s="27">
        <f>VLOOKUP(B50,Elements!$A$2:$B$435,2,0)</f>
        <v>21</v>
      </c>
      <c r="D50">
        <v>1</v>
      </c>
      <c r="E50" t="str">
        <f>VLOOKUP(D50,Categories!$A$2:$B$8,2,0)</f>
        <v>ePRO</v>
      </c>
      <c r="F50">
        <v>2</v>
      </c>
      <c r="G50" t="str">
        <f>VLOOKUP(F50,Subcategories!$A$2:$B$29,2,0)</f>
        <v>Shopping / Requisitioning</v>
      </c>
      <c r="H50" t="str">
        <f t="shared" si="0"/>
        <v>1-2-21</v>
      </c>
      <c r="I50">
        <f>VLOOKUP(H50,SuiteCatSubElem!$F$2:$G$666,2,0)</f>
        <v>21</v>
      </c>
      <c r="J50">
        <v>1</v>
      </c>
      <c r="K50">
        <v>21</v>
      </c>
      <c r="M50" t="s">
        <v>50</v>
      </c>
      <c r="N50" s="60">
        <v>43101</v>
      </c>
      <c r="O50" t="s">
        <v>50</v>
      </c>
      <c r="P50">
        <v>21</v>
      </c>
      <c r="Q50" t="s">
        <v>1358</v>
      </c>
      <c r="R50" s="44" t="s">
        <v>1113</v>
      </c>
      <c r="S50" s="109" t="s">
        <v>298</v>
      </c>
    </row>
    <row r="51" spans="1:19" ht="108">
      <c r="A51">
        <v>159</v>
      </c>
      <c r="B51" s="126" t="s">
        <v>59</v>
      </c>
      <c r="C51" s="27">
        <f>VLOOKUP(B51,Elements!$A$2:$B$435,2,0)</f>
        <v>21</v>
      </c>
      <c r="D51">
        <v>3</v>
      </c>
      <c r="E51" t="str">
        <f>VLOOKUP(D51,Categories!$A$2:$B$8,2,0)</f>
        <v>P2P</v>
      </c>
      <c r="F51">
        <v>2</v>
      </c>
      <c r="G51" t="str">
        <f>VLOOKUP(F51,Subcategories!$A$2:$B$29,2,0)</f>
        <v>Shopping / Requisitioning</v>
      </c>
      <c r="H51" t="str">
        <f t="shared" si="0"/>
        <v>3-2-21</v>
      </c>
      <c r="I51">
        <f>VLOOKUP(H51,SuiteCatSubElem!$F$2:$G$666,2,0)</f>
        <v>158</v>
      </c>
      <c r="J51">
        <v>1</v>
      </c>
      <c r="K51">
        <v>21</v>
      </c>
      <c r="M51" t="s">
        <v>50</v>
      </c>
      <c r="N51" s="60">
        <v>43101</v>
      </c>
      <c r="O51" t="s">
        <v>50</v>
      </c>
      <c r="P51">
        <v>21</v>
      </c>
      <c r="Q51" t="s">
        <v>1358</v>
      </c>
      <c r="R51" s="44" t="s">
        <v>1113</v>
      </c>
      <c r="S51" s="109" t="s">
        <v>298</v>
      </c>
    </row>
    <row r="52" spans="1:19" ht="24">
      <c r="A52">
        <v>22</v>
      </c>
      <c r="B52" s="126" t="s">
        <v>60</v>
      </c>
      <c r="C52" s="27">
        <f>VLOOKUP(B52,Elements!$A$2:$B$435,2,0)</f>
        <v>22</v>
      </c>
      <c r="D52">
        <v>1</v>
      </c>
      <c r="E52" t="str">
        <f>VLOOKUP(D52,Categories!$A$2:$B$8,2,0)</f>
        <v>ePRO</v>
      </c>
      <c r="F52">
        <v>2</v>
      </c>
      <c r="G52" t="str">
        <f>VLOOKUP(F52,Subcategories!$A$2:$B$29,2,0)</f>
        <v>Shopping / Requisitioning</v>
      </c>
      <c r="H52" t="str">
        <f t="shared" si="0"/>
        <v>1-2-22</v>
      </c>
      <c r="I52">
        <f>VLOOKUP(H52,SuiteCatSubElem!$F$2:$G$666,2,0)</f>
        <v>22</v>
      </c>
      <c r="J52">
        <v>1</v>
      </c>
      <c r="K52">
        <v>22</v>
      </c>
      <c r="M52" t="s">
        <v>50</v>
      </c>
      <c r="N52" s="60">
        <v>43101</v>
      </c>
      <c r="O52" t="s">
        <v>50</v>
      </c>
      <c r="P52">
        <v>22</v>
      </c>
      <c r="Q52" t="s">
        <v>1358</v>
      </c>
      <c r="R52" s="54" t="s">
        <v>1114</v>
      </c>
      <c r="S52" s="109" t="s">
        <v>298</v>
      </c>
    </row>
    <row r="53" spans="1:19" ht="24">
      <c r="A53">
        <v>160</v>
      </c>
      <c r="B53" s="126" t="s">
        <v>60</v>
      </c>
      <c r="C53" s="27">
        <f>VLOOKUP(B53,Elements!$A$2:$B$435,2,0)</f>
        <v>22</v>
      </c>
      <c r="D53">
        <v>3</v>
      </c>
      <c r="E53" t="str">
        <f>VLOOKUP(D53,Categories!$A$2:$B$8,2,0)</f>
        <v>P2P</v>
      </c>
      <c r="F53">
        <v>2</v>
      </c>
      <c r="G53" t="str">
        <f>VLOOKUP(F53,Subcategories!$A$2:$B$29,2,0)</f>
        <v>Shopping / Requisitioning</v>
      </c>
      <c r="H53" t="str">
        <f t="shared" si="0"/>
        <v>3-2-22</v>
      </c>
      <c r="I53">
        <f>VLOOKUP(H53,SuiteCatSubElem!$F$2:$G$666,2,0)</f>
        <v>159</v>
      </c>
      <c r="J53">
        <v>1</v>
      </c>
      <c r="K53">
        <v>22</v>
      </c>
      <c r="M53" t="s">
        <v>50</v>
      </c>
      <c r="N53" s="60">
        <v>43101</v>
      </c>
      <c r="O53" t="s">
        <v>50</v>
      </c>
      <c r="P53">
        <v>22</v>
      </c>
      <c r="Q53" t="s">
        <v>1358</v>
      </c>
      <c r="R53" s="54" t="s">
        <v>1114</v>
      </c>
      <c r="S53" s="109" t="s">
        <v>298</v>
      </c>
    </row>
    <row r="54" spans="1:19" ht="36">
      <c r="A54">
        <v>23</v>
      </c>
      <c r="B54" s="126" t="s">
        <v>61</v>
      </c>
      <c r="C54" s="27">
        <f>VLOOKUP(B54,Elements!$A$2:$B$435,2,0)</f>
        <v>23</v>
      </c>
      <c r="D54">
        <v>1</v>
      </c>
      <c r="E54" t="str">
        <f>VLOOKUP(D54,Categories!$A$2:$B$8,2,0)</f>
        <v>ePRO</v>
      </c>
      <c r="F54">
        <v>2</v>
      </c>
      <c r="G54" t="str">
        <f>VLOOKUP(F54,Subcategories!$A$2:$B$29,2,0)</f>
        <v>Shopping / Requisitioning</v>
      </c>
      <c r="H54" t="str">
        <f t="shared" si="0"/>
        <v>1-2-23</v>
      </c>
      <c r="I54">
        <f>VLOOKUP(H54,SuiteCatSubElem!$F$2:$G$666,2,0)</f>
        <v>23</v>
      </c>
      <c r="J54">
        <v>1</v>
      </c>
      <c r="K54">
        <v>23</v>
      </c>
      <c r="M54" t="s">
        <v>50</v>
      </c>
      <c r="N54" s="60">
        <v>43101</v>
      </c>
      <c r="O54" t="s">
        <v>50</v>
      </c>
      <c r="P54">
        <v>23</v>
      </c>
      <c r="Q54" t="s">
        <v>1358</v>
      </c>
      <c r="R54" s="44" t="s">
        <v>1115</v>
      </c>
      <c r="S54" s="109" t="s">
        <v>298</v>
      </c>
    </row>
    <row r="55" spans="1:19" ht="36">
      <c r="A55">
        <v>161</v>
      </c>
      <c r="B55" s="126" t="s">
        <v>61</v>
      </c>
      <c r="C55" s="27">
        <f>VLOOKUP(B55,Elements!$A$2:$B$435,2,0)</f>
        <v>23</v>
      </c>
      <c r="D55">
        <v>3</v>
      </c>
      <c r="E55" t="str">
        <f>VLOOKUP(D55,Categories!$A$2:$B$8,2,0)</f>
        <v>P2P</v>
      </c>
      <c r="F55">
        <v>2</v>
      </c>
      <c r="G55" t="str">
        <f>VLOOKUP(F55,Subcategories!$A$2:$B$29,2,0)</f>
        <v>Shopping / Requisitioning</v>
      </c>
      <c r="H55" t="str">
        <f t="shared" si="0"/>
        <v>3-2-23</v>
      </c>
      <c r="I55">
        <f>VLOOKUP(H55,SuiteCatSubElem!$F$2:$G$666,2,0)</f>
        <v>160</v>
      </c>
      <c r="J55">
        <v>1</v>
      </c>
      <c r="K55">
        <v>23</v>
      </c>
      <c r="M55" t="s">
        <v>50</v>
      </c>
      <c r="N55" s="60">
        <v>43101</v>
      </c>
      <c r="O55" t="s">
        <v>50</v>
      </c>
      <c r="P55">
        <v>23</v>
      </c>
      <c r="Q55" t="s">
        <v>1358</v>
      </c>
      <c r="R55" s="44" t="s">
        <v>1115</v>
      </c>
      <c r="S55" s="109" t="s">
        <v>298</v>
      </c>
    </row>
    <row r="56" spans="1:19" ht="36">
      <c r="A56">
        <v>24</v>
      </c>
      <c r="B56" s="126" t="s">
        <v>529</v>
      </c>
      <c r="C56" s="27">
        <f>VLOOKUP(B56,Elements!$A$2:$B$435,2,0)</f>
        <v>24</v>
      </c>
      <c r="D56">
        <v>1</v>
      </c>
      <c r="E56" t="str">
        <f>VLOOKUP(D56,Categories!$A$2:$B$8,2,0)</f>
        <v>ePRO</v>
      </c>
      <c r="F56">
        <v>2</v>
      </c>
      <c r="G56" t="str">
        <f>VLOOKUP(F56,Subcategories!$A$2:$B$29,2,0)</f>
        <v>Shopping / Requisitioning</v>
      </c>
      <c r="H56" t="str">
        <f t="shared" si="0"/>
        <v>1-2-24</v>
      </c>
      <c r="I56">
        <f>VLOOKUP(H56,SuiteCatSubElem!$F$2:$G$666,2,0)</f>
        <v>24</v>
      </c>
      <c r="J56">
        <v>1</v>
      </c>
      <c r="K56">
        <v>24</v>
      </c>
      <c r="M56" t="s">
        <v>50</v>
      </c>
      <c r="N56" s="60">
        <v>43101</v>
      </c>
      <c r="O56" t="s">
        <v>50</v>
      </c>
      <c r="P56">
        <v>24</v>
      </c>
      <c r="Q56" t="s">
        <v>1358</v>
      </c>
      <c r="R56" s="44" t="s">
        <v>1116</v>
      </c>
      <c r="S56" s="109" t="s">
        <v>298</v>
      </c>
    </row>
    <row r="57" spans="1:19" ht="36">
      <c r="A57">
        <v>162</v>
      </c>
      <c r="B57" s="126" t="s">
        <v>529</v>
      </c>
      <c r="C57" s="27">
        <f>VLOOKUP(B57,Elements!$A$2:$B$435,2,0)</f>
        <v>24</v>
      </c>
      <c r="D57">
        <v>3</v>
      </c>
      <c r="E57" t="str">
        <f>VLOOKUP(D57,Categories!$A$2:$B$8,2,0)</f>
        <v>P2P</v>
      </c>
      <c r="F57">
        <v>2</v>
      </c>
      <c r="G57" t="str">
        <f>VLOOKUP(F57,Subcategories!$A$2:$B$29,2,0)</f>
        <v>Shopping / Requisitioning</v>
      </c>
      <c r="H57" t="str">
        <f t="shared" si="0"/>
        <v>3-2-24</v>
      </c>
      <c r="I57">
        <f>VLOOKUP(H57,SuiteCatSubElem!$F$2:$G$666,2,0)</f>
        <v>161</v>
      </c>
      <c r="J57">
        <v>1</v>
      </c>
      <c r="K57">
        <v>24</v>
      </c>
      <c r="M57" t="s">
        <v>50</v>
      </c>
      <c r="N57" s="60">
        <v>43101</v>
      </c>
      <c r="O57" t="s">
        <v>50</v>
      </c>
      <c r="P57">
        <v>24</v>
      </c>
      <c r="Q57" t="s">
        <v>1358</v>
      </c>
      <c r="R57" s="44" t="s">
        <v>1116</v>
      </c>
      <c r="S57" s="109" t="s">
        <v>298</v>
      </c>
    </row>
    <row r="58" spans="1:19" ht="72">
      <c r="A58">
        <v>25</v>
      </c>
      <c r="B58" s="126" t="s">
        <v>63</v>
      </c>
      <c r="C58" s="27">
        <f>VLOOKUP(B58,Elements!$A$2:$B$435,2,0)</f>
        <v>25</v>
      </c>
      <c r="D58">
        <v>1</v>
      </c>
      <c r="E58" t="str">
        <f>VLOOKUP(D58,Categories!$A$2:$B$8,2,0)</f>
        <v>ePRO</v>
      </c>
      <c r="F58">
        <v>2</v>
      </c>
      <c r="G58" t="str">
        <f>VLOOKUP(F58,Subcategories!$A$2:$B$29,2,0)</f>
        <v>Shopping / Requisitioning</v>
      </c>
      <c r="H58" t="str">
        <f t="shared" si="0"/>
        <v>1-2-25</v>
      </c>
      <c r="I58">
        <f>VLOOKUP(H58,SuiteCatSubElem!$F$2:$G$666,2,0)</f>
        <v>25</v>
      </c>
      <c r="J58">
        <v>1</v>
      </c>
      <c r="K58">
        <v>25</v>
      </c>
      <c r="M58" t="s">
        <v>50</v>
      </c>
      <c r="N58" s="60">
        <v>43101</v>
      </c>
      <c r="O58" t="s">
        <v>50</v>
      </c>
      <c r="P58">
        <v>25</v>
      </c>
      <c r="Q58" t="s">
        <v>1358</v>
      </c>
      <c r="R58" s="44" t="s">
        <v>1117</v>
      </c>
      <c r="S58" s="109" t="s">
        <v>298</v>
      </c>
    </row>
    <row r="59" spans="1:19" ht="72">
      <c r="A59">
        <v>163</v>
      </c>
      <c r="B59" s="126" t="s">
        <v>63</v>
      </c>
      <c r="C59" s="27">
        <f>VLOOKUP(B59,Elements!$A$2:$B$435,2,0)</f>
        <v>25</v>
      </c>
      <c r="D59">
        <v>3</v>
      </c>
      <c r="E59" t="str">
        <f>VLOOKUP(D59,Categories!$A$2:$B$8,2,0)</f>
        <v>P2P</v>
      </c>
      <c r="F59">
        <v>2</v>
      </c>
      <c r="G59" t="str">
        <f>VLOOKUP(F59,Subcategories!$A$2:$B$29,2,0)</f>
        <v>Shopping / Requisitioning</v>
      </c>
      <c r="H59" t="str">
        <f t="shared" si="0"/>
        <v>3-2-25</v>
      </c>
      <c r="I59">
        <f>VLOOKUP(H59,SuiteCatSubElem!$F$2:$G$666,2,0)</f>
        <v>162</v>
      </c>
      <c r="J59">
        <v>1</v>
      </c>
      <c r="K59">
        <v>25</v>
      </c>
      <c r="M59" t="s">
        <v>50</v>
      </c>
      <c r="N59" s="60">
        <v>43101</v>
      </c>
      <c r="O59" t="s">
        <v>50</v>
      </c>
      <c r="P59">
        <v>25</v>
      </c>
      <c r="Q59" t="s">
        <v>1358</v>
      </c>
      <c r="R59" s="44" t="s">
        <v>1117</v>
      </c>
      <c r="S59" s="109" t="s">
        <v>298</v>
      </c>
    </row>
    <row r="60" spans="1:19" ht="48">
      <c r="A60">
        <v>26</v>
      </c>
      <c r="B60" s="126" t="s">
        <v>64</v>
      </c>
      <c r="C60" s="27">
        <f>VLOOKUP(B60,Elements!$A$2:$B$435,2,0)</f>
        <v>26</v>
      </c>
      <c r="D60">
        <v>1</v>
      </c>
      <c r="E60" t="str">
        <f>VLOOKUP(D60,Categories!$A$2:$B$8,2,0)</f>
        <v>ePRO</v>
      </c>
      <c r="F60">
        <v>2</v>
      </c>
      <c r="G60" t="str">
        <f>VLOOKUP(F60,Subcategories!$A$2:$B$29,2,0)</f>
        <v>Shopping / Requisitioning</v>
      </c>
      <c r="H60" t="str">
        <f t="shared" si="0"/>
        <v>1-2-26</v>
      </c>
      <c r="I60">
        <f>VLOOKUP(H60,SuiteCatSubElem!$F$2:$G$666,2,0)</f>
        <v>26</v>
      </c>
      <c r="J60">
        <v>1</v>
      </c>
      <c r="K60">
        <v>26</v>
      </c>
      <c r="M60" t="s">
        <v>50</v>
      </c>
      <c r="N60" s="60">
        <v>43101</v>
      </c>
      <c r="O60" t="s">
        <v>50</v>
      </c>
      <c r="P60">
        <v>26</v>
      </c>
      <c r="Q60" t="s">
        <v>1358</v>
      </c>
      <c r="R60" s="44" t="s">
        <v>1118</v>
      </c>
      <c r="S60" s="109" t="s">
        <v>298</v>
      </c>
    </row>
    <row r="61" spans="1:19" ht="48">
      <c r="A61">
        <v>164</v>
      </c>
      <c r="B61" s="126" t="s">
        <v>64</v>
      </c>
      <c r="C61" s="27">
        <f>VLOOKUP(B61,Elements!$A$2:$B$435,2,0)</f>
        <v>26</v>
      </c>
      <c r="D61">
        <v>3</v>
      </c>
      <c r="E61" t="str">
        <f>VLOOKUP(D61,Categories!$A$2:$B$8,2,0)</f>
        <v>P2P</v>
      </c>
      <c r="F61">
        <v>2</v>
      </c>
      <c r="G61" t="str">
        <f>VLOOKUP(F61,Subcategories!$A$2:$B$29,2,0)</f>
        <v>Shopping / Requisitioning</v>
      </c>
      <c r="H61" t="str">
        <f t="shared" si="0"/>
        <v>3-2-26</v>
      </c>
      <c r="I61">
        <f>VLOOKUP(H61,SuiteCatSubElem!$F$2:$G$666,2,0)</f>
        <v>163</v>
      </c>
      <c r="J61">
        <v>1</v>
      </c>
      <c r="K61">
        <v>26</v>
      </c>
      <c r="M61" t="s">
        <v>50</v>
      </c>
      <c r="N61" s="60">
        <v>43101</v>
      </c>
      <c r="O61" t="s">
        <v>50</v>
      </c>
      <c r="P61">
        <v>26</v>
      </c>
      <c r="Q61" t="s">
        <v>1358</v>
      </c>
      <c r="R61" s="44" t="s">
        <v>1118</v>
      </c>
      <c r="S61" s="109" t="s">
        <v>298</v>
      </c>
    </row>
    <row r="62" spans="1:19" ht="120">
      <c r="A62">
        <v>27</v>
      </c>
      <c r="B62" s="126" t="s">
        <v>528</v>
      </c>
      <c r="C62" s="27">
        <f>VLOOKUP(B62,Elements!$A$2:$B$435,2,0)</f>
        <v>27</v>
      </c>
      <c r="D62">
        <v>1</v>
      </c>
      <c r="E62" t="str">
        <f>VLOOKUP(D62,Categories!$A$2:$B$8,2,0)</f>
        <v>ePRO</v>
      </c>
      <c r="F62">
        <v>2</v>
      </c>
      <c r="G62" t="str">
        <f>VLOOKUP(F62,Subcategories!$A$2:$B$29,2,0)</f>
        <v>Shopping / Requisitioning</v>
      </c>
      <c r="H62" t="str">
        <f t="shared" si="0"/>
        <v>1-2-27</v>
      </c>
      <c r="I62">
        <f>VLOOKUP(H62,SuiteCatSubElem!$F$2:$G$666,2,0)</f>
        <v>27</v>
      </c>
      <c r="J62">
        <v>1</v>
      </c>
      <c r="K62">
        <v>27</v>
      </c>
      <c r="M62" t="s">
        <v>50</v>
      </c>
      <c r="N62" s="60">
        <v>43101</v>
      </c>
      <c r="O62" t="s">
        <v>50</v>
      </c>
      <c r="P62">
        <v>27</v>
      </c>
      <c r="Q62" t="s">
        <v>1358</v>
      </c>
      <c r="R62" s="44" t="s">
        <v>1119</v>
      </c>
      <c r="S62" s="109" t="s">
        <v>298</v>
      </c>
    </row>
    <row r="63" spans="1:19" ht="120">
      <c r="A63">
        <v>165</v>
      </c>
      <c r="B63" s="126" t="s">
        <v>528</v>
      </c>
      <c r="C63" s="27">
        <f>VLOOKUP(B63,Elements!$A$2:$B$435,2,0)</f>
        <v>27</v>
      </c>
      <c r="D63">
        <v>3</v>
      </c>
      <c r="E63" t="str">
        <f>VLOOKUP(D63,Categories!$A$2:$B$8,2,0)</f>
        <v>P2P</v>
      </c>
      <c r="F63">
        <v>2</v>
      </c>
      <c r="G63" t="str">
        <f>VLOOKUP(F63,Subcategories!$A$2:$B$29,2,0)</f>
        <v>Shopping / Requisitioning</v>
      </c>
      <c r="H63" t="str">
        <f t="shared" si="0"/>
        <v>3-2-27</v>
      </c>
      <c r="I63">
        <f>VLOOKUP(H63,SuiteCatSubElem!$F$2:$G$666,2,0)</f>
        <v>164</v>
      </c>
      <c r="J63">
        <v>1</v>
      </c>
      <c r="K63">
        <v>27</v>
      </c>
      <c r="M63" t="s">
        <v>50</v>
      </c>
      <c r="N63" s="60">
        <v>43101</v>
      </c>
      <c r="O63" t="s">
        <v>50</v>
      </c>
      <c r="P63">
        <v>27</v>
      </c>
      <c r="Q63" t="s">
        <v>1358</v>
      </c>
      <c r="R63" s="44" t="s">
        <v>1119</v>
      </c>
      <c r="S63" s="109" t="s">
        <v>298</v>
      </c>
    </row>
    <row r="64" spans="1:19" ht="37">
      <c r="A64">
        <v>28</v>
      </c>
      <c r="B64" s="126" t="s">
        <v>66</v>
      </c>
      <c r="C64" s="27">
        <f>VLOOKUP(B64,Elements!$A$2:$B$435,2,0)</f>
        <v>28</v>
      </c>
      <c r="D64">
        <v>1</v>
      </c>
      <c r="E64" t="str">
        <f>VLOOKUP(D64,Categories!$A$2:$B$8,2,0)</f>
        <v>ePRO</v>
      </c>
      <c r="F64">
        <v>2</v>
      </c>
      <c r="G64" t="str">
        <f>VLOOKUP(F64,Subcategories!$A$2:$B$29,2,0)</f>
        <v>Shopping / Requisitioning</v>
      </c>
      <c r="H64" t="str">
        <f t="shared" si="0"/>
        <v>1-2-28</v>
      </c>
      <c r="I64">
        <f>VLOOKUP(H64,SuiteCatSubElem!$F$2:$G$666,2,0)</f>
        <v>28</v>
      </c>
      <c r="J64">
        <v>1</v>
      </c>
      <c r="K64">
        <v>28</v>
      </c>
      <c r="M64" t="s">
        <v>50</v>
      </c>
      <c r="N64" s="60">
        <v>43101</v>
      </c>
      <c r="O64" t="s">
        <v>50</v>
      </c>
      <c r="P64">
        <v>28</v>
      </c>
      <c r="Q64" t="s">
        <v>1358</v>
      </c>
      <c r="R64" s="55" t="s">
        <v>1120</v>
      </c>
      <c r="S64" s="109" t="s">
        <v>298</v>
      </c>
    </row>
    <row r="65" spans="1:19" ht="37">
      <c r="A65">
        <v>166</v>
      </c>
      <c r="B65" s="126" t="s">
        <v>66</v>
      </c>
      <c r="C65" s="27">
        <f>VLOOKUP(B65,Elements!$A$2:$B$435,2,0)</f>
        <v>28</v>
      </c>
      <c r="D65">
        <v>3</v>
      </c>
      <c r="E65" t="str">
        <f>VLOOKUP(D65,Categories!$A$2:$B$8,2,0)</f>
        <v>P2P</v>
      </c>
      <c r="F65">
        <v>2</v>
      </c>
      <c r="G65" t="str">
        <f>VLOOKUP(F65,Subcategories!$A$2:$B$29,2,0)</f>
        <v>Shopping / Requisitioning</v>
      </c>
      <c r="H65" t="str">
        <f t="shared" si="0"/>
        <v>3-2-28</v>
      </c>
      <c r="I65">
        <f>VLOOKUP(H65,SuiteCatSubElem!$F$2:$G$666,2,0)</f>
        <v>165</v>
      </c>
      <c r="J65">
        <v>1</v>
      </c>
      <c r="K65">
        <v>28</v>
      </c>
      <c r="M65" t="s">
        <v>50</v>
      </c>
      <c r="N65" s="60">
        <v>43101</v>
      </c>
      <c r="O65" t="s">
        <v>50</v>
      </c>
      <c r="P65">
        <v>28</v>
      </c>
      <c r="Q65" t="s">
        <v>1358</v>
      </c>
      <c r="R65" s="55" t="s">
        <v>1120</v>
      </c>
      <c r="S65" s="109" t="s">
        <v>298</v>
      </c>
    </row>
    <row r="66" spans="1:19" ht="48">
      <c r="A66">
        <v>29</v>
      </c>
      <c r="B66" s="126" t="s">
        <v>67</v>
      </c>
      <c r="C66" s="27">
        <f>VLOOKUP(B66,Elements!$A$2:$B$435,2,0)</f>
        <v>29</v>
      </c>
      <c r="D66">
        <v>1</v>
      </c>
      <c r="E66" t="str">
        <f>VLOOKUP(D66,Categories!$A$2:$B$8,2,0)</f>
        <v>ePRO</v>
      </c>
      <c r="F66">
        <v>2</v>
      </c>
      <c r="G66" t="str">
        <f>VLOOKUP(F66,Subcategories!$A$2:$B$29,2,0)</f>
        <v>Shopping / Requisitioning</v>
      </c>
      <c r="H66" t="str">
        <f t="shared" ref="H66:H129" si="1">_xlfn.CONCAT(D66,"-",F66,"-",C66)</f>
        <v>1-2-29</v>
      </c>
      <c r="I66">
        <f>VLOOKUP(H66,SuiteCatSubElem!$F$2:$G$666,2,0)</f>
        <v>29</v>
      </c>
      <c r="J66">
        <v>1</v>
      </c>
      <c r="K66">
        <v>29</v>
      </c>
      <c r="M66" t="s">
        <v>50</v>
      </c>
      <c r="N66" s="60">
        <v>43101</v>
      </c>
      <c r="O66" t="s">
        <v>50</v>
      </c>
      <c r="P66">
        <v>29</v>
      </c>
      <c r="Q66" t="s">
        <v>1358</v>
      </c>
      <c r="R66" s="44" t="s">
        <v>1121</v>
      </c>
      <c r="S66" s="109" t="s">
        <v>298</v>
      </c>
    </row>
    <row r="67" spans="1:19" ht="48">
      <c r="A67">
        <v>167</v>
      </c>
      <c r="B67" s="126" t="s">
        <v>67</v>
      </c>
      <c r="C67" s="27">
        <f>VLOOKUP(B67,Elements!$A$2:$B$435,2,0)</f>
        <v>29</v>
      </c>
      <c r="D67">
        <v>3</v>
      </c>
      <c r="E67" t="str">
        <f>VLOOKUP(D67,Categories!$A$2:$B$8,2,0)</f>
        <v>P2P</v>
      </c>
      <c r="F67">
        <v>2</v>
      </c>
      <c r="G67" t="str">
        <f>VLOOKUP(F67,Subcategories!$A$2:$B$29,2,0)</f>
        <v>Shopping / Requisitioning</v>
      </c>
      <c r="H67" t="str">
        <f t="shared" si="1"/>
        <v>3-2-29</v>
      </c>
      <c r="I67">
        <f>VLOOKUP(H67,SuiteCatSubElem!$F$2:$G$666,2,0)</f>
        <v>166</v>
      </c>
      <c r="J67">
        <v>1</v>
      </c>
      <c r="K67">
        <v>29</v>
      </c>
      <c r="M67" t="s">
        <v>50</v>
      </c>
      <c r="N67" s="60">
        <v>43101</v>
      </c>
      <c r="O67" t="s">
        <v>50</v>
      </c>
      <c r="P67">
        <v>29</v>
      </c>
      <c r="Q67" t="s">
        <v>1358</v>
      </c>
      <c r="R67" s="44" t="s">
        <v>1121</v>
      </c>
      <c r="S67" s="109" t="s">
        <v>298</v>
      </c>
    </row>
    <row r="68" spans="1:19" ht="48">
      <c r="A68">
        <v>30</v>
      </c>
      <c r="B68" s="126" t="s">
        <v>68</v>
      </c>
      <c r="C68" s="27">
        <f>VLOOKUP(B68,Elements!$A$2:$B$435,2,0)</f>
        <v>30</v>
      </c>
      <c r="D68">
        <v>1</v>
      </c>
      <c r="E68" t="str">
        <f>VLOOKUP(D68,Categories!$A$2:$B$8,2,0)</f>
        <v>ePRO</v>
      </c>
      <c r="F68">
        <v>2</v>
      </c>
      <c r="G68" t="str">
        <f>VLOOKUP(F68,Subcategories!$A$2:$B$29,2,0)</f>
        <v>Shopping / Requisitioning</v>
      </c>
      <c r="H68" t="str">
        <f t="shared" si="1"/>
        <v>1-2-30</v>
      </c>
      <c r="I68">
        <f>VLOOKUP(H68,SuiteCatSubElem!$F$2:$G$666,2,0)</f>
        <v>30</v>
      </c>
      <c r="J68">
        <v>1</v>
      </c>
      <c r="K68">
        <v>30</v>
      </c>
      <c r="M68" t="s">
        <v>50</v>
      </c>
      <c r="N68" s="60">
        <v>43101</v>
      </c>
      <c r="O68" t="s">
        <v>50</v>
      </c>
      <c r="P68">
        <v>30</v>
      </c>
      <c r="Q68" t="s">
        <v>1358</v>
      </c>
      <c r="R68" s="44" t="s">
        <v>1122</v>
      </c>
      <c r="S68" s="109" t="s">
        <v>298</v>
      </c>
    </row>
    <row r="69" spans="1:19" ht="48">
      <c r="A69">
        <v>168</v>
      </c>
      <c r="B69" s="126" t="s">
        <v>68</v>
      </c>
      <c r="C69" s="27">
        <f>VLOOKUP(B69,Elements!$A$2:$B$435,2,0)</f>
        <v>30</v>
      </c>
      <c r="D69">
        <v>3</v>
      </c>
      <c r="E69" t="str">
        <f>VLOOKUP(D69,Categories!$A$2:$B$8,2,0)</f>
        <v>P2P</v>
      </c>
      <c r="F69">
        <v>2</v>
      </c>
      <c r="G69" t="str">
        <f>VLOOKUP(F69,Subcategories!$A$2:$B$29,2,0)</f>
        <v>Shopping / Requisitioning</v>
      </c>
      <c r="H69" t="str">
        <f t="shared" si="1"/>
        <v>3-2-30</v>
      </c>
      <c r="I69">
        <f>VLOOKUP(H69,SuiteCatSubElem!$F$2:$G$666,2,0)</f>
        <v>167</v>
      </c>
      <c r="J69">
        <v>1</v>
      </c>
      <c r="K69">
        <v>30</v>
      </c>
      <c r="M69" t="s">
        <v>50</v>
      </c>
      <c r="N69" s="60">
        <v>43101</v>
      </c>
      <c r="O69" t="s">
        <v>50</v>
      </c>
      <c r="P69">
        <v>30</v>
      </c>
      <c r="Q69" t="s">
        <v>1358</v>
      </c>
      <c r="R69" s="44" t="s">
        <v>1122</v>
      </c>
      <c r="S69" s="109" t="s">
        <v>298</v>
      </c>
    </row>
    <row r="70" spans="1:19" ht="24">
      <c r="A70">
        <v>31</v>
      </c>
      <c r="B70" s="126" t="s">
        <v>69</v>
      </c>
      <c r="C70" s="27">
        <f>VLOOKUP(B70,Elements!$A$2:$B$435,2,0)</f>
        <v>31</v>
      </c>
      <c r="D70">
        <v>1</v>
      </c>
      <c r="E70" t="str">
        <f>VLOOKUP(D70,Categories!$A$2:$B$8,2,0)</f>
        <v>ePRO</v>
      </c>
      <c r="F70">
        <v>2</v>
      </c>
      <c r="G70" t="str">
        <f>VLOOKUP(F70,Subcategories!$A$2:$B$29,2,0)</f>
        <v>Shopping / Requisitioning</v>
      </c>
      <c r="H70" t="str">
        <f t="shared" si="1"/>
        <v>1-2-31</v>
      </c>
      <c r="I70">
        <f>VLOOKUP(H70,SuiteCatSubElem!$F$2:$G$666,2,0)</f>
        <v>31</v>
      </c>
      <c r="J70">
        <v>1</v>
      </c>
      <c r="K70">
        <v>31</v>
      </c>
      <c r="M70" t="s">
        <v>50</v>
      </c>
      <c r="N70" s="60">
        <v>43101</v>
      </c>
      <c r="O70" t="s">
        <v>50</v>
      </c>
      <c r="P70">
        <v>31</v>
      </c>
      <c r="Q70" t="s">
        <v>1358</v>
      </c>
      <c r="R70" s="44" t="s">
        <v>549</v>
      </c>
      <c r="S70" s="109" t="s">
        <v>298</v>
      </c>
    </row>
    <row r="71" spans="1:19" ht="24">
      <c r="A71">
        <v>169</v>
      </c>
      <c r="B71" s="131" t="s">
        <v>69</v>
      </c>
      <c r="C71" s="27">
        <f>VLOOKUP(B71,Elements!$A$2:$B$435,2,0)</f>
        <v>31</v>
      </c>
      <c r="D71">
        <v>3</v>
      </c>
      <c r="E71" t="str">
        <f>VLOOKUP(D71,Categories!$A$2:$B$8,2,0)</f>
        <v>P2P</v>
      </c>
      <c r="F71">
        <v>2</v>
      </c>
      <c r="G71" t="str">
        <f>VLOOKUP(F71,Subcategories!$A$2:$B$29,2,0)</f>
        <v>Shopping / Requisitioning</v>
      </c>
      <c r="H71" t="str">
        <f t="shared" si="1"/>
        <v>3-2-31</v>
      </c>
      <c r="I71">
        <f>VLOOKUP(H71,SuiteCatSubElem!$F$2:$G$666,2,0)</f>
        <v>168</v>
      </c>
      <c r="J71">
        <v>1</v>
      </c>
      <c r="K71">
        <v>31</v>
      </c>
      <c r="M71" t="s">
        <v>50</v>
      </c>
      <c r="N71" s="60">
        <v>43101</v>
      </c>
      <c r="O71" t="s">
        <v>50</v>
      </c>
      <c r="P71">
        <v>31</v>
      </c>
      <c r="Q71" t="s">
        <v>1358</v>
      </c>
      <c r="R71" s="44" t="s">
        <v>549</v>
      </c>
      <c r="S71" s="109" t="s">
        <v>298</v>
      </c>
    </row>
    <row r="72" spans="1:19" ht="36">
      <c r="A72">
        <v>32</v>
      </c>
      <c r="B72" s="126" t="s">
        <v>32</v>
      </c>
      <c r="C72" s="27">
        <f>VLOOKUP(B72,Elements!$A$2:$B$435,2,0)</f>
        <v>32</v>
      </c>
      <c r="D72">
        <v>1</v>
      </c>
      <c r="E72" t="str">
        <f>VLOOKUP(D72,Categories!$A$2:$B$8,2,0)</f>
        <v>ePRO</v>
      </c>
      <c r="F72">
        <v>2</v>
      </c>
      <c r="G72" t="str">
        <f>VLOOKUP(F72,Subcategories!$A$2:$B$29,2,0)</f>
        <v>Shopping / Requisitioning</v>
      </c>
      <c r="H72" t="str">
        <f t="shared" si="1"/>
        <v>1-2-32</v>
      </c>
      <c r="I72">
        <f>VLOOKUP(H72,SuiteCatSubElem!$F$2:$G$666,2,0)</f>
        <v>32</v>
      </c>
      <c r="J72">
        <v>1</v>
      </c>
      <c r="K72">
        <v>32</v>
      </c>
      <c r="M72" t="s">
        <v>50</v>
      </c>
      <c r="N72" s="60">
        <v>43101</v>
      </c>
      <c r="O72" t="s">
        <v>50</v>
      </c>
      <c r="P72">
        <v>32</v>
      </c>
      <c r="Q72" t="s">
        <v>1358</v>
      </c>
      <c r="R72" s="44" t="s">
        <v>1123</v>
      </c>
      <c r="S72" s="109" t="s">
        <v>298</v>
      </c>
    </row>
    <row r="73" spans="1:19" ht="36">
      <c r="A73">
        <v>170</v>
      </c>
      <c r="B73" s="126" t="s">
        <v>32</v>
      </c>
      <c r="C73" s="27">
        <f>VLOOKUP(B73,Elements!$A$2:$B$435,2,0)</f>
        <v>32</v>
      </c>
      <c r="D73">
        <v>3</v>
      </c>
      <c r="E73" t="str">
        <f>VLOOKUP(D73,Categories!$A$2:$B$8,2,0)</f>
        <v>P2P</v>
      </c>
      <c r="F73">
        <v>2</v>
      </c>
      <c r="G73" t="str">
        <f>VLOOKUP(F73,Subcategories!$A$2:$B$29,2,0)</f>
        <v>Shopping / Requisitioning</v>
      </c>
      <c r="H73" t="str">
        <f t="shared" si="1"/>
        <v>3-2-32</v>
      </c>
      <c r="I73">
        <f>VLOOKUP(H73,SuiteCatSubElem!$F$2:$G$666,2,0)</f>
        <v>169</v>
      </c>
      <c r="J73">
        <v>1</v>
      </c>
      <c r="K73">
        <v>32</v>
      </c>
      <c r="M73" t="s">
        <v>50</v>
      </c>
      <c r="N73" s="60">
        <v>43101</v>
      </c>
      <c r="O73" t="s">
        <v>50</v>
      </c>
      <c r="P73">
        <v>32</v>
      </c>
      <c r="Q73" t="s">
        <v>1358</v>
      </c>
      <c r="R73" s="44" t="s">
        <v>1123</v>
      </c>
      <c r="S73" s="109" t="s">
        <v>298</v>
      </c>
    </row>
    <row r="74" spans="1:19">
      <c r="A74">
        <v>33</v>
      </c>
      <c r="B74" s="126" t="s">
        <v>70</v>
      </c>
      <c r="C74" s="27">
        <f>VLOOKUP(B74,Elements!$A$2:$B$435,2,0)</f>
        <v>33</v>
      </c>
      <c r="D74">
        <v>1</v>
      </c>
      <c r="E74" t="str">
        <f>VLOOKUP(D74,Categories!$A$2:$B$8,2,0)</f>
        <v>ePRO</v>
      </c>
      <c r="F74">
        <v>2</v>
      </c>
      <c r="G74" t="str">
        <f>VLOOKUP(F74,Subcategories!$A$2:$B$29,2,0)</f>
        <v>Shopping / Requisitioning</v>
      </c>
      <c r="H74" t="str">
        <f t="shared" si="1"/>
        <v>1-2-33</v>
      </c>
      <c r="I74">
        <f>VLOOKUP(H74,SuiteCatSubElem!$F$2:$G$666,2,0)</f>
        <v>33</v>
      </c>
      <c r="J74">
        <v>1</v>
      </c>
      <c r="K74">
        <v>33</v>
      </c>
      <c r="M74" t="s">
        <v>50</v>
      </c>
      <c r="N74" s="60">
        <v>43101</v>
      </c>
      <c r="O74" t="s">
        <v>50</v>
      </c>
      <c r="P74">
        <v>33</v>
      </c>
      <c r="Q74" t="s">
        <v>1358</v>
      </c>
      <c r="R74" s="44" t="s">
        <v>1124</v>
      </c>
      <c r="S74" s="109" t="s">
        <v>298</v>
      </c>
    </row>
    <row r="75" spans="1:19">
      <c r="A75">
        <v>171</v>
      </c>
      <c r="B75" s="126" t="s">
        <v>70</v>
      </c>
      <c r="C75" s="27">
        <f>VLOOKUP(B75,Elements!$A$2:$B$435,2,0)</f>
        <v>33</v>
      </c>
      <c r="D75">
        <v>3</v>
      </c>
      <c r="E75" t="str">
        <f>VLOOKUP(D75,Categories!$A$2:$B$8,2,0)</f>
        <v>P2P</v>
      </c>
      <c r="F75">
        <v>2</v>
      </c>
      <c r="G75" t="str">
        <f>VLOOKUP(F75,Subcategories!$A$2:$B$29,2,0)</f>
        <v>Shopping / Requisitioning</v>
      </c>
      <c r="H75" t="str">
        <f t="shared" si="1"/>
        <v>3-2-33</v>
      </c>
      <c r="I75">
        <f>VLOOKUP(H75,SuiteCatSubElem!$F$2:$G$666,2,0)</f>
        <v>170</v>
      </c>
      <c r="J75">
        <v>1</v>
      </c>
      <c r="K75">
        <v>33</v>
      </c>
      <c r="M75" t="s">
        <v>50</v>
      </c>
      <c r="N75" s="60">
        <v>43101</v>
      </c>
      <c r="O75" t="s">
        <v>50</v>
      </c>
      <c r="P75">
        <v>33</v>
      </c>
      <c r="Q75" t="s">
        <v>1358</v>
      </c>
      <c r="R75" s="44" t="s">
        <v>1124</v>
      </c>
      <c r="S75" s="109" t="s">
        <v>298</v>
      </c>
    </row>
    <row r="76" spans="1:19" ht="24">
      <c r="A76">
        <v>34</v>
      </c>
      <c r="B76" s="126" t="s">
        <v>71</v>
      </c>
      <c r="C76" s="27">
        <f>VLOOKUP(B76,Elements!$A$2:$B$435,2,0)</f>
        <v>34</v>
      </c>
      <c r="D76">
        <v>1</v>
      </c>
      <c r="E76" t="str">
        <f>VLOOKUP(D76,Categories!$A$2:$B$8,2,0)</f>
        <v>ePRO</v>
      </c>
      <c r="F76">
        <v>2</v>
      </c>
      <c r="G76" t="str">
        <f>VLOOKUP(F76,Subcategories!$A$2:$B$29,2,0)</f>
        <v>Shopping / Requisitioning</v>
      </c>
      <c r="H76" t="str">
        <f t="shared" si="1"/>
        <v>1-2-34</v>
      </c>
      <c r="I76">
        <f>VLOOKUP(H76,SuiteCatSubElem!$F$2:$G$666,2,0)</f>
        <v>34</v>
      </c>
      <c r="J76">
        <v>1</v>
      </c>
      <c r="K76">
        <v>34</v>
      </c>
      <c r="M76" t="s">
        <v>50</v>
      </c>
      <c r="N76" s="60">
        <v>43101</v>
      </c>
      <c r="O76" t="s">
        <v>50</v>
      </c>
      <c r="P76">
        <v>34</v>
      </c>
      <c r="Q76" t="s">
        <v>1358</v>
      </c>
      <c r="R76" s="45" t="s">
        <v>1126</v>
      </c>
      <c r="S76" s="109" t="s">
        <v>298</v>
      </c>
    </row>
    <row r="77" spans="1:19" ht="24">
      <c r="A77">
        <v>172</v>
      </c>
      <c r="B77" s="126" t="s">
        <v>71</v>
      </c>
      <c r="C77" s="27">
        <f>VLOOKUP(B77,Elements!$A$2:$B$435,2,0)</f>
        <v>34</v>
      </c>
      <c r="D77">
        <v>3</v>
      </c>
      <c r="E77" t="str">
        <f>VLOOKUP(D77,Categories!$A$2:$B$8,2,0)</f>
        <v>P2P</v>
      </c>
      <c r="F77">
        <v>2</v>
      </c>
      <c r="G77" t="str">
        <f>VLOOKUP(F77,Subcategories!$A$2:$B$29,2,0)</f>
        <v>Shopping / Requisitioning</v>
      </c>
      <c r="H77" t="str">
        <f t="shared" si="1"/>
        <v>3-2-34</v>
      </c>
      <c r="I77">
        <f>VLOOKUP(H77,SuiteCatSubElem!$F$2:$G$666,2,0)</f>
        <v>171</v>
      </c>
      <c r="J77">
        <v>1</v>
      </c>
      <c r="K77">
        <v>34</v>
      </c>
      <c r="M77" t="s">
        <v>50</v>
      </c>
      <c r="N77" s="60">
        <v>43101</v>
      </c>
      <c r="O77" t="s">
        <v>50</v>
      </c>
      <c r="P77">
        <v>34</v>
      </c>
      <c r="Q77" t="s">
        <v>1358</v>
      </c>
      <c r="R77" s="44" t="s">
        <v>1126</v>
      </c>
      <c r="S77" s="109" t="s">
        <v>298</v>
      </c>
    </row>
    <row r="78" spans="1:19" ht="60">
      <c r="A78">
        <v>36</v>
      </c>
      <c r="B78" s="126" t="s">
        <v>514</v>
      </c>
      <c r="C78" s="27">
        <f>VLOOKUP(B78,Elements!$A$2:$B$435,2,0)</f>
        <v>35</v>
      </c>
      <c r="D78">
        <v>1</v>
      </c>
      <c r="E78" t="str">
        <f>VLOOKUP(D78,Categories!$A$2:$B$8,2,0)</f>
        <v>ePRO</v>
      </c>
      <c r="F78">
        <v>3</v>
      </c>
      <c r="G78" t="str">
        <f>VLOOKUP(F78,Subcategories!$A$2:$B$29,2,0)</f>
        <v>Ordering</v>
      </c>
      <c r="H78" t="str">
        <f t="shared" si="1"/>
        <v>1-3-35</v>
      </c>
      <c r="I78">
        <f>VLOOKUP(H78,SuiteCatSubElem!$F$2:$G$666,2,0)</f>
        <v>36</v>
      </c>
      <c r="J78">
        <v>1</v>
      </c>
      <c r="K78">
        <v>35</v>
      </c>
      <c r="M78" t="s">
        <v>50</v>
      </c>
      <c r="N78" s="60">
        <v>43101</v>
      </c>
      <c r="O78" t="s">
        <v>50</v>
      </c>
      <c r="P78">
        <v>36</v>
      </c>
      <c r="Q78" t="s">
        <v>1358</v>
      </c>
      <c r="R78" s="44" t="s">
        <v>1127</v>
      </c>
      <c r="S78" s="109" t="s">
        <v>298</v>
      </c>
    </row>
    <row r="79" spans="1:19" ht="60">
      <c r="A79">
        <v>174</v>
      </c>
      <c r="B79" s="126" t="s">
        <v>514</v>
      </c>
      <c r="C79" s="27">
        <f>VLOOKUP(B79,Elements!$A$2:$B$435,2,0)</f>
        <v>35</v>
      </c>
      <c r="D79">
        <v>3</v>
      </c>
      <c r="E79" t="str">
        <f>VLOOKUP(D79,Categories!$A$2:$B$8,2,0)</f>
        <v>P2P</v>
      </c>
      <c r="F79">
        <v>3</v>
      </c>
      <c r="G79" t="str">
        <f>VLOOKUP(F79,Subcategories!$A$2:$B$29,2,0)</f>
        <v>Ordering</v>
      </c>
      <c r="H79" t="str">
        <f t="shared" si="1"/>
        <v>3-3-35</v>
      </c>
      <c r="I79">
        <f>VLOOKUP(H79,SuiteCatSubElem!$F$2:$G$666,2,0)</f>
        <v>173</v>
      </c>
      <c r="J79">
        <v>1</v>
      </c>
      <c r="K79">
        <v>35</v>
      </c>
      <c r="M79" t="s">
        <v>50</v>
      </c>
      <c r="N79" s="60">
        <v>43101</v>
      </c>
      <c r="O79" t="s">
        <v>50</v>
      </c>
      <c r="P79">
        <v>36</v>
      </c>
      <c r="Q79" t="s">
        <v>1358</v>
      </c>
      <c r="R79" s="44" t="s">
        <v>1127</v>
      </c>
      <c r="S79" s="109" t="s">
        <v>298</v>
      </c>
    </row>
    <row r="80" spans="1:19" ht="120">
      <c r="A80">
        <v>37</v>
      </c>
      <c r="B80" s="126" t="s">
        <v>513</v>
      </c>
      <c r="C80" s="27">
        <f>VLOOKUP(B80,Elements!$A$2:$B$435,2,0)</f>
        <v>36</v>
      </c>
      <c r="D80">
        <v>1</v>
      </c>
      <c r="E80" t="str">
        <f>VLOOKUP(D80,Categories!$A$2:$B$8,2,0)</f>
        <v>ePRO</v>
      </c>
      <c r="F80">
        <v>3</v>
      </c>
      <c r="G80" t="str">
        <f>VLOOKUP(F80,Subcategories!$A$2:$B$29,2,0)</f>
        <v>Ordering</v>
      </c>
      <c r="H80" t="str">
        <f t="shared" si="1"/>
        <v>1-3-36</v>
      </c>
      <c r="I80">
        <f>VLOOKUP(H80,SuiteCatSubElem!$F$2:$G$666,2,0)</f>
        <v>37</v>
      </c>
      <c r="J80">
        <v>1</v>
      </c>
      <c r="K80">
        <v>36</v>
      </c>
      <c r="M80" t="s">
        <v>50</v>
      </c>
      <c r="N80" s="60">
        <v>43101</v>
      </c>
      <c r="O80" t="s">
        <v>50</v>
      </c>
      <c r="P80">
        <v>37</v>
      </c>
      <c r="Q80" t="s">
        <v>1358</v>
      </c>
      <c r="R80" s="44" t="s">
        <v>1128</v>
      </c>
      <c r="S80" s="109" t="s">
        <v>298</v>
      </c>
    </row>
    <row r="81" spans="1:19" ht="120">
      <c r="A81">
        <v>175</v>
      </c>
      <c r="B81" s="126" t="s">
        <v>513</v>
      </c>
      <c r="C81" s="27">
        <f>VLOOKUP(B81,Elements!$A$2:$B$435,2,0)</f>
        <v>36</v>
      </c>
      <c r="D81">
        <v>3</v>
      </c>
      <c r="E81" t="str">
        <f>VLOOKUP(D81,Categories!$A$2:$B$8,2,0)</f>
        <v>P2P</v>
      </c>
      <c r="F81">
        <v>3</v>
      </c>
      <c r="G81" t="str">
        <f>VLOOKUP(F81,Subcategories!$A$2:$B$29,2,0)</f>
        <v>Ordering</v>
      </c>
      <c r="H81" t="str">
        <f t="shared" si="1"/>
        <v>3-3-36</v>
      </c>
      <c r="I81">
        <f>VLOOKUP(H81,SuiteCatSubElem!$F$2:$G$666,2,0)</f>
        <v>174</v>
      </c>
      <c r="J81">
        <v>1</v>
      </c>
      <c r="K81">
        <v>36</v>
      </c>
      <c r="M81" t="s">
        <v>50</v>
      </c>
      <c r="N81" s="60">
        <v>43101</v>
      </c>
      <c r="O81" t="s">
        <v>50</v>
      </c>
      <c r="P81">
        <v>37</v>
      </c>
      <c r="Q81" t="s">
        <v>1358</v>
      </c>
      <c r="R81" s="44" t="s">
        <v>1128</v>
      </c>
      <c r="S81" s="109" t="s">
        <v>298</v>
      </c>
    </row>
    <row r="82" spans="1:19" ht="24">
      <c r="A82">
        <v>38</v>
      </c>
      <c r="B82" s="126" t="s">
        <v>74</v>
      </c>
      <c r="C82" s="27">
        <f>VLOOKUP(B82,Elements!$A$2:$B$435,2,0)</f>
        <v>37</v>
      </c>
      <c r="D82">
        <v>1</v>
      </c>
      <c r="E82" t="str">
        <f>VLOOKUP(D82,Categories!$A$2:$B$8,2,0)</f>
        <v>ePRO</v>
      </c>
      <c r="F82">
        <v>3</v>
      </c>
      <c r="G82" t="str">
        <f>VLOOKUP(F82,Subcategories!$A$2:$B$29,2,0)</f>
        <v>Ordering</v>
      </c>
      <c r="H82" t="str">
        <f t="shared" si="1"/>
        <v>1-3-37</v>
      </c>
      <c r="I82">
        <f>VLOOKUP(H82,SuiteCatSubElem!$F$2:$G$666,2,0)</f>
        <v>38</v>
      </c>
      <c r="J82">
        <v>1</v>
      </c>
      <c r="K82">
        <v>37</v>
      </c>
      <c r="M82" t="s">
        <v>50</v>
      </c>
      <c r="N82" s="60">
        <v>43101</v>
      </c>
      <c r="O82" t="s">
        <v>50</v>
      </c>
      <c r="P82">
        <v>38</v>
      </c>
      <c r="Q82" t="s">
        <v>1358</v>
      </c>
      <c r="R82" s="44" t="s">
        <v>1129</v>
      </c>
      <c r="S82" s="109" t="s">
        <v>298</v>
      </c>
    </row>
    <row r="83" spans="1:19" ht="24">
      <c r="A83">
        <v>176</v>
      </c>
      <c r="B83" s="126" t="s">
        <v>74</v>
      </c>
      <c r="C83" s="27">
        <f>VLOOKUP(B83,Elements!$A$2:$B$435,2,0)</f>
        <v>37</v>
      </c>
      <c r="D83">
        <v>3</v>
      </c>
      <c r="E83" t="str">
        <f>VLOOKUP(D83,Categories!$A$2:$B$8,2,0)</f>
        <v>P2P</v>
      </c>
      <c r="F83">
        <v>3</v>
      </c>
      <c r="G83" t="str">
        <f>VLOOKUP(F83,Subcategories!$A$2:$B$29,2,0)</f>
        <v>Ordering</v>
      </c>
      <c r="H83" t="str">
        <f t="shared" si="1"/>
        <v>3-3-37</v>
      </c>
      <c r="I83">
        <f>VLOOKUP(H83,SuiteCatSubElem!$F$2:$G$666,2,0)</f>
        <v>175</v>
      </c>
      <c r="J83">
        <v>1</v>
      </c>
      <c r="K83">
        <v>37</v>
      </c>
      <c r="M83" t="s">
        <v>50</v>
      </c>
      <c r="N83" s="60">
        <v>43101</v>
      </c>
      <c r="O83" t="s">
        <v>50</v>
      </c>
      <c r="P83">
        <v>38</v>
      </c>
      <c r="Q83" t="s">
        <v>1358</v>
      </c>
      <c r="R83" s="44" t="s">
        <v>1129</v>
      </c>
      <c r="S83" s="109" t="s">
        <v>298</v>
      </c>
    </row>
    <row r="84" spans="1:19" ht="25">
      <c r="A84">
        <v>39</v>
      </c>
      <c r="B84" s="126" t="s">
        <v>75</v>
      </c>
      <c r="C84" s="27">
        <f>VLOOKUP(B84,Elements!$A$2:$B$435,2,0)</f>
        <v>38</v>
      </c>
      <c r="D84">
        <v>1</v>
      </c>
      <c r="E84" t="str">
        <f>VLOOKUP(D84,Categories!$A$2:$B$8,2,0)</f>
        <v>ePRO</v>
      </c>
      <c r="F84">
        <v>3</v>
      </c>
      <c r="G84" t="str">
        <f>VLOOKUP(F84,Subcategories!$A$2:$B$29,2,0)</f>
        <v>Ordering</v>
      </c>
      <c r="H84" t="str">
        <f t="shared" si="1"/>
        <v>1-3-38</v>
      </c>
      <c r="I84">
        <f>VLOOKUP(H84,SuiteCatSubElem!$F$2:$G$666,2,0)</f>
        <v>39</v>
      </c>
      <c r="J84">
        <v>1</v>
      </c>
      <c r="K84">
        <v>38</v>
      </c>
      <c r="M84" t="s">
        <v>50</v>
      </c>
      <c r="N84" s="60">
        <v>43101</v>
      </c>
      <c r="O84" t="s">
        <v>50</v>
      </c>
      <c r="P84">
        <v>39</v>
      </c>
      <c r="Q84" t="s">
        <v>1358</v>
      </c>
      <c r="R84" s="55" t="s">
        <v>1130</v>
      </c>
      <c r="S84" s="109" t="s">
        <v>298</v>
      </c>
    </row>
    <row r="85" spans="1:19" ht="25">
      <c r="A85">
        <v>177</v>
      </c>
      <c r="B85" s="126" t="s">
        <v>75</v>
      </c>
      <c r="C85" s="27">
        <f>VLOOKUP(B85,Elements!$A$2:$B$435,2,0)</f>
        <v>38</v>
      </c>
      <c r="D85">
        <v>3</v>
      </c>
      <c r="E85" t="str">
        <f>VLOOKUP(D85,Categories!$A$2:$B$8,2,0)</f>
        <v>P2P</v>
      </c>
      <c r="F85">
        <v>3</v>
      </c>
      <c r="G85" t="str">
        <f>VLOOKUP(F85,Subcategories!$A$2:$B$29,2,0)</f>
        <v>Ordering</v>
      </c>
      <c r="H85" t="str">
        <f t="shared" si="1"/>
        <v>3-3-38</v>
      </c>
      <c r="I85">
        <f>VLOOKUP(H85,SuiteCatSubElem!$F$2:$G$666,2,0)</f>
        <v>176</v>
      </c>
      <c r="J85">
        <v>1</v>
      </c>
      <c r="K85">
        <v>38</v>
      </c>
      <c r="M85" t="s">
        <v>50</v>
      </c>
      <c r="N85" s="60">
        <v>43101</v>
      </c>
      <c r="O85" t="s">
        <v>50</v>
      </c>
      <c r="P85">
        <v>39</v>
      </c>
      <c r="Q85" t="s">
        <v>1358</v>
      </c>
      <c r="R85" s="55" t="s">
        <v>1130</v>
      </c>
      <c r="S85" s="109" t="s">
        <v>298</v>
      </c>
    </row>
    <row r="86" spans="1:19" ht="60">
      <c r="A86">
        <v>40</v>
      </c>
      <c r="B86" s="126" t="s">
        <v>76</v>
      </c>
      <c r="C86" s="27">
        <f>VLOOKUP(B86,Elements!$A$2:$B$435,2,0)</f>
        <v>39</v>
      </c>
      <c r="D86" s="53">
        <v>1</v>
      </c>
      <c r="E86" t="str">
        <f>VLOOKUP(D86,Categories!$A$2:$B$8,2,0)</f>
        <v>ePRO</v>
      </c>
      <c r="F86">
        <v>3</v>
      </c>
      <c r="G86" t="str">
        <f>VLOOKUP(F86,Subcategories!$A$2:$B$29,2,0)</f>
        <v>Ordering</v>
      </c>
      <c r="H86" t="str">
        <f t="shared" si="1"/>
        <v>1-3-39</v>
      </c>
      <c r="I86">
        <f>VLOOKUP(H86,SuiteCatSubElem!$F$2:$G$666,2,0)</f>
        <v>40</v>
      </c>
      <c r="J86" s="53">
        <v>1</v>
      </c>
      <c r="K86">
        <v>39</v>
      </c>
      <c r="L86" s="53"/>
      <c r="M86" t="s">
        <v>50</v>
      </c>
      <c r="N86" s="60">
        <v>43101</v>
      </c>
      <c r="O86" t="s">
        <v>50</v>
      </c>
      <c r="P86">
        <v>40</v>
      </c>
      <c r="Q86" t="s">
        <v>1358</v>
      </c>
      <c r="R86" s="44" t="s">
        <v>1131</v>
      </c>
      <c r="S86" s="112" t="s">
        <v>298</v>
      </c>
    </row>
    <row r="87" spans="1:19" ht="60">
      <c r="A87">
        <v>178</v>
      </c>
      <c r="B87" s="126" t="s">
        <v>76</v>
      </c>
      <c r="C87" s="27">
        <f>VLOOKUP(B87,Elements!$A$2:$B$435,2,0)</f>
        <v>39</v>
      </c>
      <c r="D87">
        <v>3</v>
      </c>
      <c r="E87" t="str">
        <f>VLOOKUP(D87,Categories!$A$2:$B$8,2,0)</f>
        <v>P2P</v>
      </c>
      <c r="F87">
        <v>3</v>
      </c>
      <c r="G87" t="str">
        <f>VLOOKUP(F87,Subcategories!$A$2:$B$29,2,0)</f>
        <v>Ordering</v>
      </c>
      <c r="H87" t="str">
        <f t="shared" si="1"/>
        <v>3-3-39</v>
      </c>
      <c r="I87">
        <f>VLOOKUP(H87,SuiteCatSubElem!$F$2:$G$666,2,0)</f>
        <v>177</v>
      </c>
      <c r="J87">
        <v>1</v>
      </c>
      <c r="K87">
        <v>39</v>
      </c>
      <c r="M87" t="s">
        <v>50</v>
      </c>
      <c r="N87" s="60">
        <v>43101</v>
      </c>
      <c r="O87" t="s">
        <v>50</v>
      </c>
      <c r="P87">
        <v>40</v>
      </c>
      <c r="Q87" t="s">
        <v>1358</v>
      </c>
      <c r="R87" s="44" t="s">
        <v>1131</v>
      </c>
      <c r="S87" s="109" t="s">
        <v>298</v>
      </c>
    </row>
    <row r="88" spans="1:19" ht="72">
      <c r="A88">
        <v>41</v>
      </c>
      <c r="B88" s="126" t="s">
        <v>77</v>
      </c>
      <c r="C88" s="27">
        <f>VLOOKUP(B88,Elements!$A$2:$B$435,2,0)</f>
        <v>40</v>
      </c>
      <c r="D88">
        <v>1</v>
      </c>
      <c r="E88" t="str">
        <f>VLOOKUP(D88,Categories!$A$2:$B$8,2,0)</f>
        <v>ePRO</v>
      </c>
      <c r="F88">
        <v>3</v>
      </c>
      <c r="G88" t="str">
        <f>VLOOKUP(F88,Subcategories!$A$2:$B$29,2,0)</f>
        <v>Ordering</v>
      </c>
      <c r="H88" t="str">
        <f t="shared" si="1"/>
        <v>1-3-40</v>
      </c>
      <c r="I88">
        <f>VLOOKUP(H88,SuiteCatSubElem!$F$2:$G$666,2,0)</f>
        <v>41</v>
      </c>
      <c r="J88">
        <v>1</v>
      </c>
      <c r="K88">
        <v>40</v>
      </c>
      <c r="M88" t="s">
        <v>50</v>
      </c>
      <c r="N88" s="60">
        <v>43101</v>
      </c>
      <c r="O88" t="s">
        <v>50</v>
      </c>
      <c r="P88">
        <v>41</v>
      </c>
      <c r="Q88" t="s">
        <v>1358</v>
      </c>
      <c r="R88" s="44" t="s">
        <v>1132</v>
      </c>
      <c r="S88" s="109" t="s">
        <v>298</v>
      </c>
    </row>
    <row r="89" spans="1:19" ht="72">
      <c r="A89">
        <v>179</v>
      </c>
      <c r="B89" s="126" t="s">
        <v>77</v>
      </c>
      <c r="C89" s="27">
        <f>VLOOKUP(B89,Elements!$A$2:$B$435,2,0)</f>
        <v>40</v>
      </c>
      <c r="D89">
        <v>3</v>
      </c>
      <c r="E89" t="str">
        <f>VLOOKUP(D89,Categories!$A$2:$B$8,2,0)</f>
        <v>P2P</v>
      </c>
      <c r="F89">
        <v>3</v>
      </c>
      <c r="G89" t="str">
        <f>VLOOKUP(F89,Subcategories!$A$2:$B$29,2,0)</f>
        <v>Ordering</v>
      </c>
      <c r="H89" t="str">
        <f t="shared" si="1"/>
        <v>3-3-40</v>
      </c>
      <c r="I89">
        <f>VLOOKUP(H89,SuiteCatSubElem!$F$2:$G$666,2,0)</f>
        <v>178</v>
      </c>
      <c r="J89">
        <v>1</v>
      </c>
      <c r="K89">
        <v>40</v>
      </c>
      <c r="M89" t="s">
        <v>50</v>
      </c>
      <c r="N89" s="60">
        <v>43101</v>
      </c>
      <c r="O89" t="s">
        <v>50</v>
      </c>
      <c r="P89">
        <v>41</v>
      </c>
      <c r="Q89" t="s">
        <v>1358</v>
      </c>
      <c r="R89" s="44" t="s">
        <v>1132</v>
      </c>
      <c r="S89" s="109" t="s">
        <v>298</v>
      </c>
    </row>
    <row r="90" spans="1:19" s="4" customFormat="1" ht="37" thickBot="1">
      <c r="A90">
        <v>42</v>
      </c>
      <c r="B90" s="129" t="s">
        <v>78</v>
      </c>
      <c r="C90" s="27">
        <f>VLOOKUP(B90,Elements!$A$2:$B$435,2,0)</f>
        <v>41</v>
      </c>
      <c r="D90" s="4">
        <v>1</v>
      </c>
      <c r="E90" t="str">
        <f>VLOOKUP(D90,Categories!$A$2:$B$8,2,0)</f>
        <v>ePRO</v>
      </c>
      <c r="F90">
        <v>3</v>
      </c>
      <c r="G90" t="str">
        <f>VLOOKUP(F90,Subcategories!$A$2:$B$29,2,0)</f>
        <v>Ordering</v>
      </c>
      <c r="H90" t="str">
        <f t="shared" si="1"/>
        <v>1-3-41</v>
      </c>
      <c r="I90">
        <f>VLOOKUP(H90,SuiteCatSubElem!$F$2:$G$666,2,0)</f>
        <v>42</v>
      </c>
      <c r="J90" s="4">
        <v>1</v>
      </c>
      <c r="K90">
        <v>41</v>
      </c>
      <c r="M90" t="s">
        <v>50</v>
      </c>
      <c r="N90" s="60">
        <v>43101</v>
      </c>
      <c r="O90" t="s">
        <v>50</v>
      </c>
      <c r="P90">
        <v>42</v>
      </c>
      <c r="Q90" t="s">
        <v>1358</v>
      </c>
      <c r="R90" s="44" t="s">
        <v>1133</v>
      </c>
      <c r="S90" s="114" t="s">
        <v>298</v>
      </c>
    </row>
    <row r="91" spans="1:19" ht="36">
      <c r="A91">
        <v>180</v>
      </c>
      <c r="B91" s="130" t="s">
        <v>78</v>
      </c>
      <c r="C91" s="27">
        <f>VLOOKUP(B91,Elements!$A$2:$B$435,2,0)</f>
        <v>41</v>
      </c>
      <c r="D91">
        <v>3</v>
      </c>
      <c r="E91" t="str">
        <f>VLOOKUP(D91,Categories!$A$2:$B$8,2,0)</f>
        <v>P2P</v>
      </c>
      <c r="F91">
        <v>3</v>
      </c>
      <c r="G91" t="str">
        <f>VLOOKUP(F91,Subcategories!$A$2:$B$29,2,0)</f>
        <v>Ordering</v>
      </c>
      <c r="H91" t="str">
        <f t="shared" si="1"/>
        <v>3-3-41</v>
      </c>
      <c r="I91">
        <f>VLOOKUP(H91,SuiteCatSubElem!$F$2:$G$666,2,0)</f>
        <v>179</v>
      </c>
      <c r="J91">
        <v>1</v>
      </c>
      <c r="K91">
        <v>41</v>
      </c>
      <c r="M91" t="s">
        <v>50</v>
      </c>
      <c r="N91" s="60">
        <v>43101</v>
      </c>
      <c r="O91" t="s">
        <v>50</v>
      </c>
      <c r="P91">
        <v>42</v>
      </c>
      <c r="Q91" t="s">
        <v>1358</v>
      </c>
      <c r="R91" s="44" t="s">
        <v>1133</v>
      </c>
      <c r="S91" s="109" t="s">
        <v>298</v>
      </c>
    </row>
    <row r="92" spans="1:19" ht="36">
      <c r="A92">
        <v>43</v>
      </c>
      <c r="B92" s="126" t="s">
        <v>79</v>
      </c>
      <c r="C92" s="27">
        <f>VLOOKUP(B92,Elements!$A$2:$B$435,2,0)</f>
        <v>42</v>
      </c>
      <c r="D92">
        <v>1</v>
      </c>
      <c r="E92" t="str">
        <f>VLOOKUP(D92,Categories!$A$2:$B$8,2,0)</f>
        <v>ePRO</v>
      </c>
      <c r="F92">
        <v>3</v>
      </c>
      <c r="G92" t="str">
        <f>VLOOKUP(F92,Subcategories!$A$2:$B$29,2,0)</f>
        <v>Ordering</v>
      </c>
      <c r="H92" t="str">
        <f t="shared" si="1"/>
        <v>1-3-42</v>
      </c>
      <c r="I92">
        <f>VLOOKUP(H92,SuiteCatSubElem!$F$2:$G$666,2,0)</f>
        <v>43</v>
      </c>
      <c r="J92">
        <v>1</v>
      </c>
      <c r="K92">
        <v>42</v>
      </c>
      <c r="M92" t="s">
        <v>50</v>
      </c>
      <c r="N92" s="60">
        <v>43101</v>
      </c>
      <c r="O92" t="s">
        <v>50</v>
      </c>
      <c r="P92">
        <v>43</v>
      </c>
      <c r="Q92" t="s">
        <v>1358</v>
      </c>
      <c r="R92" s="44" t="s">
        <v>1134</v>
      </c>
      <c r="S92" s="109" t="s">
        <v>298</v>
      </c>
    </row>
    <row r="93" spans="1:19" ht="36">
      <c r="A93">
        <v>181</v>
      </c>
      <c r="B93" s="126" t="s">
        <v>79</v>
      </c>
      <c r="C93" s="27">
        <f>VLOOKUP(B93,Elements!$A$2:$B$435,2,0)</f>
        <v>42</v>
      </c>
      <c r="D93">
        <v>3</v>
      </c>
      <c r="E93" t="str">
        <f>VLOOKUP(D93,Categories!$A$2:$B$8,2,0)</f>
        <v>P2P</v>
      </c>
      <c r="F93">
        <v>3</v>
      </c>
      <c r="G93" t="str">
        <f>VLOOKUP(F93,Subcategories!$A$2:$B$29,2,0)</f>
        <v>Ordering</v>
      </c>
      <c r="H93" t="str">
        <f t="shared" si="1"/>
        <v>3-3-42</v>
      </c>
      <c r="I93">
        <f>VLOOKUP(H93,SuiteCatSubElem!$F$2:$G$666,2,0)</f>
        <v>180</v>
      </c>
      <c r="J93">
        <v>1</v>
      </c>
      <c r="K93">
        <v>42</v>
      </c>
      <c r="M93" t="s">
        <v>50</v>
      </c>
      <c r="N93" s="60">
        <v>43101</v>
      </c>
      <c r="O93" t="s">
        <v>50</v>
      </c>
      <c r="P93">
        <v>43</v>
      </c>
      <c r="Q93" t="s">
        <v>1358</v>
      </c>
      <c r="R93" s="44" t="s">
        <v>1134</v>
      </c>
      <c r="S93" s="109" t="s">
        <v>298</v>
      </c>
    </row>
    <row r="94" spans="1:19" ht="48">
      <c r="A94">
        <v>44</v>
      </c>
      <c r="B94" s="126" t="s">
        <v>80</v>
      </c>
      <c r="C94" s="27">
        <f>VLOOKUP(B94,Elements!$A$2:$B$435,2,0)</f>
        <v>43</v>
      </c>
      <c r="D94">
        <v>1</v>
      </c>
      <c r="E94" t="str">
        <f>VLOOKUP(D94,Categories!$A$2:$B$8,2,0)</f>
        <v>ePRO</v>
      </c>
      <c r="F94">
        <v>3</v>
      </c>
      <c r="G94" t="str">
        <f>VLOOKUP(F94,Subcategories!$A$2:$B$29,2,0)</f>
        <v>Ordering</v>
      </c>
      <c r="H94" t="str">
        <f t="shared" si="1"/>
        <v>1-3-43</v>
      </c>
      <c r="I94">
        <f>VLOOKUP(H94,SuiteCatSubElem!$F$2:$G$666,2,0)</f>
        <v>44</v>
      </c>
      <c r="J94">
        <v>1</v>
      </c>
      <c r="K94">
        <v>43</v>
      </c>
      <c r="M94" t="s">
        <v>50</v>
      </c>
      <c r="N94" s="60">
        <v>43101</v>
      </c>
      <c r="O94" t="s">
        <v>50</v>
      </c>
      <c r="P94">
        <v>44</v>
      </c>
      <c r="Q94" t="s">
        <v>1358</v>
      </c>
      <c r="R94" s="44" t="s">
        <v>1135</v>
      </c>
      <c r="S94" s="109" t="s">
        <v>298</v>
      </c>
    </row>
    <row r="95" spans="1:19" ht="48">
      <c r="A95">
        <v>182</v>
      </c>
      <c r="B95" s="126" t="s">
        <v>80</v>
      </c>
      <c r="C95" s="27">
        <f>VLOOKUP(B95,Elements!$A$2:$B$435,2,0)</f>
        <v>43</v>
      </c>
      <c r="D95">
        <v>3</v>
      </c>
      <c r="E95" t="str">
        <f>VLOOKUP(D95,Categories!$A$2:$B$8,2,0)</f>
        <v>P2P</v>
      </c>
      <c r="F95">
        <v>3</v>
      </c>
      <c r="G95" t="str">
        <f>VLOOKUP(F95,Subcategories!$A$2:$B$29,2,0)</f>
        <v>Ordering</v>
      </c>
      <c r="H95" t="str">
        <f t="shared" si="1"/>
        <v>3-3-43</v>
      </c>
      <c r="I95">
        <f>VLOOKUP(H95,SuiteCatSubElem!$F$2:$G$666,2,0)</f>
        <v>181</v>
      </c>
      <c r="J95">
        <v>1</v>
      </c>
      <c r="K95">
        <v>43</v>
      </c>
      <c r="M95" t="s">
        <v>50</v>
      </c>
      <c r="N95" s="60">
        <v>43101</v>
      </c>
      <c r="O95" t="s">
        <v>50</v>
      </c>
      <c r="P95">
        <v>44</v>
      </c>
      <c r="Q95" t="s">
        <v>1358</v>
      </c>
      <c r="R95" s="44" t="s">
        <v>1135</v>
      </c>
      <c r="S95" s="109" t="s">
        <v>298</v>
      </c>
    </row>
    <row r="96" spans="1:19" ht="36">
      <c r="A96">
        <v>45</v>
      </c>
      <c r="B96" s="126" t="s">
        <v>81</v>
      </c>
      <c r="C96" s="27">
        <f>VLOOKUP(B96,Elements!$A$2:$B$435,2,0)</f>
        <v>44</v>
      </c>
      <c r="D96">
        <v>1</v>
      </c>
      <c r="E96" t="str">
        <f>VLOOKUP(D96,Categories!$A$2:$B$8,2,0)</f>
        <v>ePRO</v>
      </c>
      <c r="F96">
        <v>3</v>
      </c>
      <c r="G96" t="str">
        <f>VLOOKUP(F96,Subcategories!$A$2:$B$29,2,0)</f>
        <v>Ordering</v>
      </c>
      <c r="H96" t="str">
        <f t="shared" si="1"/>
        <v>1-3-44</v>
      </c>
      <c r="I96">
        <f>VLOOKUP(H96,SuiteCatSubElem!$F$2:$G$666,2,0)</f>
        <v>45</v>
      </c>
      <c r="J96">
        <v>1</v>
      </c>
      <c r="K96">
        <v>44</v>
      </c>
      <c r="M96" t="s">
        <v>50</v>
      </c>
      <c r="N96" s="60">
        <v>43101</v>
      </c>
      <c r="O96" t="s">
        <v>50</v>
      </c>
      <c r="P96">
        <v>45</v>
      </c>
      <c r="Q96" t="s">
        <v>1358</v>
      </c>
      <c r="R96" s="44" t="s">
        <v>1136</v>
      </c>
      <c r="S96" s="109" t="s">
        <v>298</v>
      </c>
    </row>
    <row r="97" spans="1:19" ht="36">
      <c r="A97">
        <v>57</v>
      </c>
      <c r="B97" s="126" t="s">
        <v>81</v>
      </c>
      <c r="C97" s="27">
        <f>VLOOKUP(B97,Elements!$A$2:$B$435,2,0)</f>
        <v>44</v>
      </c>
      <c r="D97">
        <v>1</v>
      </c>
      <c r="E97" t="str">
        <f>VLOOKUP(D97,Categories!$A$2:$B$8,2,0)</f>
        <v>ePRO</v>
      </c>
      <c r="F97">
        <v>4</v>
      </c>
      <c r="G97" t="str">
        <f>VLOOKUP(F97,Subcategories!$A$2:$B$29,2,0)</f>
        <v>Receiving</v>
      </c>
      <c r="H97" t="str">
        <f t="shared" si="1"/>
        <v>1-4-44</v>
      </c>
      <c r="I97">
        <f>VLOOKUP(H97,SuiteCatSubElem!$F$2:$G$666,2,0)</f>
        <v>57</v>
      </c>
      <c r="J97">
        <v>1</v>
      </c>
      <c r="K97">
        <v>44</v>
      </c>
      <c r="M97" t="s">
        <v>50</v>
      </c>
      <c r="N97" s="60">
        <v>43101</v>
      </c>
      <c r="O97" t="s">
        <v>50</v>
      </c>
      <c r="P97">
        <v>57</v>
      </c>
      <c r="Q97" t="s">
        <v>1358</v>
      </c>
      <c r="R97" s="44" t="s">
        <v>1136</v>
      </c>
      <c r="S97" s="109" t="s">
        <v>298</v>
      </c>
    </row>
    <row r="98" spans="1:19" ht="36">
      <c r="A98">
        <v>183</v>
      </c>
      <c r="B98" s="126" t="s">
        <v>81</v>
      </c>
      <c r="C98" s="27">
        <f>VLOOKUP(B98,Elements!$A$2:$B$435,2,0)</f>
        <v>44</v>
      </c>
      <c r="D98">
        <v>3</v>
      </c>
      <c r="E98" t="str">
        <f>VLOOKUP(D98,Categories!$A$2:$B$8,2,0)</f>
        <v>P2P</v>
      </c>
      <c r="F98">
        <v>3</v>
      </c>
      <c r="G98" t="str">
        <f>VLOOKUP(F98,Subcategories!$A$2:$B$29,2,0)</f>
        <v>Ordering</v>
      </c>
      <c r="H98" t="str">
        <f t="shared" si="1"/>
        <v>3-3-44</v>
      </c>
      <c r="I98">
        <f>VLOOKUP(H98,SuiteCatSubElem!$F$2:$G$666,2,0)</f>
        <v>182</v>
      </c>
      <c r="J98">
        <v>1</v>
      </c>
      <c r="K98">
        <v>44</v>
      </c>
      <c r="M98" t="s">
        <v>50</v>
      </c>
      <c r="N98" s="60">
        <v>43101</v>
      </c>
      <c r="O98" t="s">
        <v>50</v>
      </c>
      <c r="P98">
        <v>45</v>
      </c>
      <c r="Q98" t="s">
        <v>1358</v>
      </c>
      <c r="R98" s="44" t="s">
        <v>1136</v>
      </c>
      <c r="S98" s="109" t="s">
        <v>298</v>
      </c>
    </row>
    <row r="99" spans="1:19" ht="36">
      <c r="A99">
        <v>195</v>
      </c>
      <c r="B99" s="126" t="s">
        <v>81</v>
      </c>
      <c r="C99" s="27">
        <f>VLOOKUP(B99,Elements!$A$2:$B$435,2,0)</f>
        <v>44</v>
      </c>
      <c r="D99">
        <v>3</v>
      </c>
      <c r="E99" t="str">
        <f>VLOOKUP(D99,Categories!$A$2:$B$8,2,0)</f>
        <v>P2P</v>
      </c>
      <c r="F99">
        <v>4</v>
      </c>
      <c r="G99" t="str">
        <f>VLOOKUP(F99,Subcategories!$A$2:$B$29,2,0)</f>
        <v>Receiving</v>
      </c>
      <c r="H99" t="str">
        <f t="shared" si="1"/>
        <v>3-4-44</v>
      </c>
      <c r="I99">
        <f>VLOOKUP(H99,SuiteCatSubElem!$F$2:$G$666,2,0)</f>
        <v>194</v>
      </c>
      <c r="J99">
        <v>1</v>
      </c>
      <c r="K99">
        <v>44</v>
      </c>
      <c r="M99" t="s">
        <v>50</v>
      </c>
      <c r="N99" s="60">
        <v>43101</v>
      </c>
      <c r="O99" t="s">
        <v>50</v>
      </c>
      <c r="P99">
        <v>57</v>
      </c>
      <c r="Q99" t="s">
        <v>1358</v>
      </c>
      <c r="R99" s="44" t="s">
        <v>1136</v>
      </c>
      <c r="S99" s="109" t="s">
        <v>298</v>
      </c>
    </row>
    <row r="100" spans="1:19" ht="24">
      <c r="A100">
        <v>46</v>
      </c>
      <c r="B100" s="126" t="s">
        <v>82</v>
      </c>
      <c r="C100" s="27">
        <f>VLOOKUP(B100,Elements!$A$2:$B$435,2,0)</f>
        <v>45</v>
      </c>
      <c r="D100">
        <v>1</v>
      </c>
      <c r="E100" t="str">
        <f>VLOOKUP(D100,Categories!$A$2:$B$8,2,0)</f>
        <v>ePRO</v>
      </c>
      <c r="F100">
        <v>3</v>
      </c>
      <c r="G100" t="str">
        <f>VLOOKUP(F100,Subcategories!$A$2:$B$29,2,0)</f>
        <v>Ordering</v>
      </c>
      <c r="H100" t="str">
        <f t="shared" si="1"/>
        <v>1-3-45</v>
      </c>
      <c r="I100">
        <f>VLOOKUP(H100,SuiteCatSubElem!$F$2:$G$666,2,0)</f>
        <v>46</v>
      </c>
      <c r="J100">
        <v>1</v>
      </c>
      <c r="K100">
        <v>45</v>
      </c>
      <c r="M100" t="s">
        <v>50</v>
      </c>
      <c r="N100" s="60">
        <v>43101</v>
      </c>
      <c r="O100" t="s">
        <v>50</v>
      </c>
      <c r="P100">
        <v>46</v>
      </c>
      <c r="Q100" t="s">
        <v>1358</v>
      </c>
      <c r="R100" s="44" t="s">
        <v>1137</v>
      </c>
      <c r="S100" s="109" t="s">
        <v>298</v>
      </c>
    </row>
    <row r="101" spans="1:19" ht="24">
      <c r="A101">
        <v>184</v>
      </c>
      <c r="B101" s="126" t="s">
        <v>82</v>
      </c>
      <c r="C101" s="27">
        <f>VLOOKUP(B101,Elements!$A$2:$B$435,2,0)</f>
        <v>45</v>
      </c>
      <c r="D101">
        <v>3</v>
      </c>
      <c r="E101" t="str">
        <f>VLOOKUP(D101,Categories!$A$2:$B$8,2,0)</f>
        <v>P2P</v>
      </c>
      <c r="F101">
        <v>3</v>
      </c>
      <c r="G101" t="str">
        <f>VLOOKUP(F101,Subcategories!$A$2:$B$29,2,0)</f>
        <v>Ordering</v>
      </c>
      <c r="H101" t="str">
        <f t="shared" si="1"/>
        <v>3-3-45</v>
      </c>
      <c r="I101">
        <f>VLOOKUP(H101,SuiteCatSubElem!$F$2:$G$666,2,0)</f>
        <v>183</v>
      </c>
      <c r="J101">
        <v>1</v>
      </c>
      <c r="K101">
        <v>45</v>
      </c>
      <c r="M101" t="s">
        <v>50</v>
      </c>
      <c r="N101" s="60">
        <v>43101</v>
      </c>
      <c r="O101" t="s">
        <v>50</v>
      </c>
      <c r="P101">
        <v>46</v>
      </c>
      <c r="Q101" t="s">
        <v>1358</v>
      </c>
      <c r="R101" s="44" t="s">
        <v>1137</v>
      </c>
      <c r="S101" s="109" t="s">
        <v>298</v>
      </c>
    </row>
    <row r="102" spans="1:19">
      <c r="A102">
        <v>47</v>
      </c>
      <c r="B102" s="131" t="s">
        <v>83</v>
      </c>
      <c r="C102" s="27">
        <f>VLOOKUP(B102,Elements!$A$2:$B$435,2,0)</f>
        <v>46</v>
      </c>
      <c r="D102">
        <v>1</v>
      </c>
      <c r="E102" t="str">
        <f>VLOOKUP(D102,Categories!$A$2:$B$8,2,0)</f>
        <v>ePRO</v>
      </c>
      <c r="F102">
        <v>3</v>
      </c>
      <c r="G102" t="str">
        <f>VLOOKUP(F102,Subcategories!$A$2:$B$29,2,0)</f>
        <v>Ordering</v>
      </c>
      <c r="H102" t="str">
        <f t="shared" si="1"/>
        <v>1-3-46</v>
      </c>
      <c r="I102">
        <f>VLOOKUP(H102,SuiteCatSubElem!$F$2:$G$666,2,0)</f>
        <v>47</v>
      </c>
      <c r="J102">
        <v>1</v>
      </c>
      <c r="K102">
        <v>46</v>
      </c>
      <c r="M102" t="s">
        <v>50</v>
      </c>
      <c r="N102" s="60">
        <v>43101</v>
      </c>
      <c r="O102" t="s">
        <v>50</v>
      </c>
      <c r="P102">
        <v>47</v>
      </c>
      <c r="Q102" t="s">
        <v>1358</v>
      </c>
      <c r="R102" s="44" t="s">
        <v>1138</v>
      </c>
      <c r="S102" s="109" t="s">
        <v>298</v>
      </c>
    </row>
    <row r="103" spans="1:19">
      <c r="A103">
        <v>185</v>
      </c>
      <c r="B103" s="126" t="s">
        <v>83</v>
      </c>
      <c r="C103" s="27">
        <f>VLOOKUP(B103,Elements!$A$2:$B$435,2,0)</f>
        <v>46</v>
      </c>
      <c r="D103">
        <v>3</v>
      </c>
      <c r="E103" t="str">
        <f>VLOOKUP(D103,Categories!$A$2:$B$8,2,0)</f>
        <v>P2P</v>
      </c>
      <c r="F103">
        <v>3</v>
      </c>
      <c r="G103" t="str">
        <f>VLOOKUP(F103,Subcategories!$A$2:$B$29,2,0)</f>
        <v>Ordering</v>
      </c>
      <c r="H103" t="str">
        <f t="shared" si="1"/>
        <v>3-3-46</v>
      </c>
      <c r="I103">
        <f>VLOOKUP(H103,SuiteCatSubElem!$F$2:$G$666,2,0)</f>
        <v>184</v>
      </c>
      <c r="J103">
        <v>1</v>
      </c>
      <c r="K103">
        <v>46</v>
      </c>
      <c r="M103" t="s">
        <v>50</v>
      </c>
      <c r="N103" s="60">
        <v>43101</v>
      </c>
      <c r="O103" t="s">
        <v>50</v>
      </c>
      <c r="P103">
        <v>47</v>
      </c>
      <c r="Q103" t="s">
        <v>1358</v>
      </c>
      <c r="R103" s="44" t="s">
        <v>1138</v>
      </c>
      <c r="S103" s="109" t="s">
        <v>298</v>
      </c>
    </row>
    <row r="104" spans="1:19" ht="24">
      <c r="A104">
        <v>49</v>
      </c>
      <c r="B104" s="126" t="s">
        <v>85</v>
      </c>
      <c r="C104" s="27">
        <f>VLOOKUP(B104,Elements!$A$2:$B$435,2,0)</f>
        <v>47</v>
      </c>
      <c r="D104">
        <v>1</v>
      </c>
      <c r="E104" t="str">
        <f>VLOOKUP(D104,Categories!$A$2:$B$8,2,0)</f>
        <v>ePRO</v>
      </c>
      <c r="F104">
        <v>3</v>
      </c>
      <c r="G104" t="str">
        <f>VLOOKUP(F104,Subcategories!$A$2:$B$29,2,0)</f>
        <v>Ordering</v>
      </c>
      <c r="H104" t="str">
        <f t="shared" si="1"/>
        <v>1-3-47</v>
      </c>
      <c r="I104">
        <f>VLOOKUP(H104,SuiteCatSubElem!$F$2:$G$666,2,0)</f>
        <v>49</v>
      </c>
      <c r="J104">
        <v>1</v>
      </c>
      <c r="K104">
        <v>47</v>
      </c>
      <c r="M104" t="s">
        <v>50</v>
      </c>
      <c r="N104" s="60">
        <v>43101</v>
      </c>
      <c r="O104" t="s">
        <v>50</v>
      </c>
      <c r="P104">
        <v>49</v>
      </c>
      <c r="Q104" t="s">
        <v>1358</v>
      </c>
      <c r="R104" s="44" t="s">
        <v>1139</v>
      </c>
      <c r="S104" s="109" t="s">
        <v>298</v>
      </c>
    </row>
    <row r="105" spans="1:19" ht="24">
      <c r="A105">
        <v>187</v>
      </c>
      <c r="B105" s="126" t="s">
        <v>85</v>
      </c>
      <c r="C105" s="27">
        <f>VLOOKUP(B105,Elements!$A$2:$B$435,2,0)</f>
        <v>47</v>
      </c>
      <c r="D105">
        <v>3</v>
      </c>
      <c r="E105" t="str">
        <f>VLOOKUP(D105,Categories!$A$2:$B$8,2,0)</f>
        <v>P2P</v>
      </c>
      <c r="F105">
        <v>3</v>
      </c>
      <c r="G105" t="str">
        <f>VLOOKUP(F105,Subcategories!$A$2:$B$29,2,0)</f>
        <v>Ordering</v>
      </c>
      <c r="H105" t="str">
        <f t="shared" si="1"/>
        <v>3-3-47</v>
      </c>
      <c r="I105">
        <f>VLOOKUP(H105,SuiteCatSubElem!$F$2:$G$666,2,0)</f>
        <v>186</v>
      </c>
      <c r="J105">
        <v>1</v>
      </c>
      <c r="K105">
        <v>47</v>
      </c>
      <c r="M105" t="s">
        <v>50</v>
      </c>
      <c r="N105" s="60">
        <v>43101</v>
      </c>
      <c r="O105" t="s">
        <v>50</v>
      </c>
      <c r="P105">
        <v>49</v>
      </c>
      <c r="Q105" t="s">
        <v>1358</v>
      </c>
      <c r="R105" s="44" t="s">
        <v>1139</v>
      </c>
      <c r="S105" s="109" t="s">
        <v>298</v>
      </c>
    </row>
    <row r="106" spans="1:19" ht="36">
      <c r="A106">
        <v>50</v>
      </c>
      <c r="B106" s="126" t="s">
        <v>517</v>
      </c>
      <c r="C106" s="27">
        <f>VLOOKUP(B106,Elements!$A$2:$B$435,2,0)</f>
        <v>48</v>
      </c>
      <c r="D106">
        <v>1</v>
      </c>
      <c r="E106" t="str">
        <f>VLOOKUP(D106,Categories!$A$2:$B$8,2,0)</f>
        <v>ePRO</v>
      </c>
      <c r="F106">
        <v>4</v>
      </c>
      <c r="G106" t="str">
        <f>VLOOKUP(F106,Subcategories!$A$2:$B$29,2,0)</f>
        <v>Receiving</v>
      </c>
      <c r="H106" t="str">
        <f t="shared" si="1"/>
        <v>1-4-48</v>
      </c>
      <c r="I106">
        <f>VLOOKUP(H106,SuiteCatSubElem!$F$2:$G$666,2,0)</f>
        <v>50</v>
      </c>
      <c r="J106">
        <v>1</v>
      </c>
      <c r="K106">
        <v>48</v>
      </c>
      <c r="M106" t="s">
        <v>50</v>
      </c>
      <c r="N106" s="60">
        <v>43101</v>
      </c>
      <c r="O106" t="s">
        <v>50</v>
      </c>
      <c r="P106">
        <v>50</v>
      </c>
      <c r="Q106" t="s">
        <v>1358</v>
      </c>
      <c r="R106" s="44" t="s">
        <v>1140</v>
      </c>
      <c r="S106" s="109" t="s">
        <v>298</v>
      </c>
    </row>
    <row r="107" spans="1:19" ht="36">
      <c r="A107">
        <v>188</v>
      </c>
      <c r="B107" s="126" t="s">
        <v>517</v>
      </c>
      <c r="C107" s="27">
        <f>VLOOKUP(B107,Elements!$A$2:$B$435,2,0)</f>
        <v>48</v>
      </c>
      <c r="D107">
        <v>3</v>
      </c>
      <c r="E107" t="str">
        <f>VLOOKUP(D107,Categories!$A$2:$B$8,2,0)</f>
        <v>P2P</v>
      </c>
      <c r="F107">
        <v>4</v>
      </c>
      <c r="G107" t="str">
        <f>VLOOKUP(F107,Subcategories!$A$2:$B$29,2,0)</f>
        <v>Receiving</v>
      </c>
      <c r="H107" t="str">
        <f t="shared" si="1"/>
        <v>3-4-48</v>
      </c>
      <c r="I107">
        <f>VLOOKUP(H107,SuiteCatSubElem!$F$2:$G$666,2,0)</f>
        <v>187</v>
      </c>
      <c r="J107">
        <v>1</v>
      </c>
      <c r="K107">
        <v>48</v>
      </c>
      <c r="M107" t="s">
        <v>50</v>
      </c>
      <c r="N107" s="60">
        <v>43101</v>
      </c>
      <c r="O107" t="s">
        <v>50</v>
      </c>
      <c r="P107">
        <v>50</v>
      </c>
      <c r="Q107" t="s">
        <v>1358</v>
      </c>
      <c r="R107" s="45" t="s">
        <v>1140</v>
      </c>
      <c r="S107" s="109" t="s">
        <v>298</v>
      </c>
    </row>
    <row r="108" spans="1:19" ht="24">
      <c r="A108">
        <v>51</v>
      </c>
      <c r="B108" s="126" t="s">
        <v>527</v>
      </c>
      <c r="C108" s="27">
        <f>VLOOKUP(B108,Elements!$A$2:$B$435,2,0)</f>
        <v>49</v>
      </c>
      <c r="D108">
        <v>1</v>
      </c>
      <c r="E108" t="str">
        <f>VLOOKUP(D108,Categories!$A$2:$B$8,2,0)</f>
        <v>ePRO</v>
      </c>
      <c r="F108">
        <v>4</v>
      </c>
      <c r="G108" t="str">
        <f>VLOOKUP(F108,Subcategories!$A$2:$B$29,2,0)</f>
        <v>Receiving</v>
      </c>
      <c r="H108" t="str">
        <f t="shared" si="1"/>
        <v>1-4-49</v>
      </c>
      <c r="I108">
        <f>VLOOKUP(H108,SuiteCatSubElem!$F$2:$G$666,2,0)</f>
        <v>51</v>
      </c>
      <c r="J108">
        <v>1</v>
      </c>
      <c r="K108">
        <v>49</v>
      </c>
      <c r="M108" t="s">
        <v>50</v>
      </c>
      <c r="N108" s="60">
        <v>43101</v>
      </c>
      <c r="O108" t="s">
        <v>50</v>
      </c>
      <c r="P108">
        <v>51</v>
      </c>
      <c r="Q108" t="s">
        <v>1358</v>
      </c>
      <c r="R108" s="44" t="s">
        <v>1141</v>
      </c>
      <c r="S108" s="109" t="s">
        <v>298</v>
      </c>
    </row>
    <row r="109" spans="1:19" ht="24">
      <c r="A109">
        <v>189</v>
      </c>
      <c r="B109" s="126" t="s">
        <v>527</v>
      </c>
      <c r="C109" s="27">
        <f>VLOOKUP(B109,Elements!$A$2:$B$435,2,0)</f>
        <v>49</v>
      </c>
      <c r="D109" s="53">
        <v>3</v>
      </c>
      <c r="E109" t="str">
        <f>VLOOKUP(D109,Categories!$A$2:$B$8,2,0)</f>
        <v>P2P</v>
      </c>
      <c r="F109">
        <v>4</v>
      </c>
      <c r="G109" t="str">
        <f>VLOOKUP(F109,Subcategories!$A$2:$B$29,2,0)</f>
        <v>Receiving</v>
      </c>
      <c r="H109" t="str">
        <f t="shared" si="1"/>
        <v>3-4-49</v>
      </c>
      <c r="I109">
        <f>VLOOKUP(H109,SuiteCatSubElem!$F$2:$G$666,2,0)</f>
        <v>188</v>
      </c>
      <c r="J109" s="53">
        <v>1</v>
      </c>
      <c r="K109">
        <v>49</v>
      </c>
      <c r="L109" s="53"/>
      <c r="M109" t="s">
        <v>50</v>
      </c>
      <c r="N109" s="60">
        <v>43101</v>
      </c>
      <c r="O109" t="s">
        <v>50</v>
      </c>
      <c r="P109">
        <v>51</v>
      </c>
      <c r="Q109" t="s">
        <v>1358</v>
      </c>
      <c r="R109" s="44" t="s">
        <v>1141</v>
      </c>
      <c r="S109" s="112" t="s">
        <v>298</v>
      </c>
    </row>
    <row r="110" spans="1:19" ht="84">
      <c r="A110">
        <v>52</v>
      </c>
      <c r="B110" s="140" t="s">
        <v>88</v>
      </c>
      <c r="C110" s="27">
        <f>VLOOKUP(B110,Elements!$A$2:$B$435,2,0)</f>
        <v>50</v>
      </c>
      <c r="D110">
        <v>1</v>
      </c>
      <c r="E110" t="str">
        <f>VLOOKUP(D110,Categories!$A$2:$B$8,2,0)</f>
        <v>ePRO</v>
      </c>
      <c r="F110">
        <v>4</v>
      </c>
      <c r="G110" t="str">
        <f>VLOOKUP(F110,Subcategories!$A$2:$B$29,2,0)</f>
        <v>Receiving</v>
      </c>
      <c r="H110" t="str">
        <f t="shared" si="1"/>
        <v>1-4-50</v>
      </c>
      <c r="I110">
        <f>VLOOKUP(H110,SuiteCatSubElem!$F$2:$G$666,2,0)</f>
        <v>52</v>
      </c>
      <c r="J110">
        <v>1</v>
      </c>
      <c r="K110">
        <v>50</v>
      </c>
      <c r="M110" t="s">
        <v>50</v>
      </c>
      <c r="N110" s="60">
        <v>43101</v>
      </c>
      <c r="O110" t="s">
        <v>50</v>
      </c>
      <c r="P110">
        <v>52</v>
      </c>
      <c r="Q110" t="s">
        <v>1358</v>
      </c>
      <c r="R110" s="44" t="s">
        <v>1142</v>
      </c>
      <c r="S110" s="109" t="s">
        <v>298</v>
      </c>
    </row>
    <row r="111" spans="1:19" ht="84">
      <c r="A111">
        <v>190</v>
      </c>
      <c r="B111" s="126" t="s">
        <v>88</v>
      </c>
      <c r="C111" s="27">
        <f>VLOOKUP(B111,Elements!$A$2:$B$435,2,0)</f>
        <v>50</v>
      </c>
      <c r="D111">
        <v>3</v>
      </c>
      <c r="E111" t="str">
        <f>VLOOKUP(D111,Categories!$A$2:$B$8,2,0)</f>
        <v>P2P</v>
      </c>
      <c r="F111">
        <v>4</v>
      </c>
      <c r="G111" t="str">
        <f>VLOOKUP(F111,Subcategories!$A$2:$B$29,2,0)</f>
        <v>Receiving</v>
      </c>
      <c r="H111" t="str">
        <f t="shared" si="1"/>
        <v>3-4-50</v>
      </c>
      <c r="I111">
        <f>VLOOKUP(H111,SuiteCatSubElem!$F$2:$G$666,2,0)</f>
        <v>189</v>
      </c>
      <c r="J111">
        <v>1</v>
      </c>
      <c r="K111">
        <v>50</v>
      </c>
      <c r="M111" t="s">
        <v>50</v>
      </c>
      <c r="N111" s="60">
        <v>43101</v>
      </c>
      <c r="O111" t="s">
        <v>50</v>
      </c>
      <c r="P111">
        <v>52</v>
      </c>
      <c r="Q111" t="s">
        <v>1358</v>
      </c>
      <c r="R111" s="44" t="s">
        <v>1142</v>
      </c>
      <c r="S111" s="109" t="s">
        <v>298</v>
      </c>
    </row>
    <row r="112" spans="1:19" ht="36">
      <c r="A112">
        <v>53</v>
      </c>
      <c r="B112" s="126" t="s">
        <v>516</v>
      </c>
      <c r="C112" s="27">
        <f>VLOOKUP(B112,Elements!$A$2:$B$435,2,0)</f>
        <v>51</v>
      </c>
      <c r="D112">
        <v>1</v>
      </c>
      <c r="E112" t="str">
        <f>VLOOKUP(D112,Categories!$A$2:$B$8,2,0)</f>
        <v>ePRO</v>
      </c>
      <c r="F112">
        <v>4</v>
      </c>
      <c r="G112" t="str">
        <f>VLOOKUP(F112,Subcategories!$A$2:$B$29,2,0)</f>
        <v>Receiving</v>
      </c>
      <c r="H112" t="str">
        <f t="shared" si="1"/>
        <v>1-4-51</v>
      </c>
      <c r="I112">
        <f>VLOOKUP(H112,SuiteCatSubElem!$F$2:$G$666,2,0)</f>
        <v>53</v>
      </c>
      <c r="J112">
        <v>1</v>
      </c>
      <c r="K112">
        <v>51</v>
      </c>
      <c r="M112" t="s">
        <v>50</v>
      </c>
      <c r="N112" s="60">
        <v>43101</v>
      </c>
      <c r="O112" t="s">
        <v>50</v>
      </c>
      <c r="P112">
        <v>53</v>
      </c>
      <c r="Q112" t="s">
        <v>1358</v>
      </c>
      <c r="R112" s="44" t="s">
        <v>1143</v>
      </c>
      <c r="S112" s="109" t="s">
        <v>298</v>
      </c>
    </row>
    <row r="113" spans="1:19" ht="36">
      <c r="A113">
        <v>191</v>
      </c>
      <c r="B113" s="126" t="s">
        <v>516</v>
      </c>
      <c r="C113" s="27">
        <f>VLOOKUP(B113,Elements!$A$2:$B$435,2,0)</f>
        <v>51</v>
      </c>
      <c r="D113">
        <v>3</v>
      </c>
      <c r="E113" t="str">
        <f>VLOOKUP(D113,Categories!$A$2:$B$8,2,0)</f>
        <v>P2P</v>
      </c>
      <c r="F113">
        <v>4</v>
      </c>
      <c r="G113" t="str">
        <f>VLOOKUP(F113,Subcategories!$A$2:$B$29,2,0)</f>
        <v>Receiving</v>
      </c>
      <c r="H113" t="str">
        <f t="shared" si="1"/>
        <v>3-4-51</v>
      </c>
      <c r="I113">
        <f>VLOOKUP(H113,SuiteCatSubElem!$F$2:$G$666,2,0)</f>
        <v>190</v>
      </c>
      <c r="J113">
        <v>1</v>
      </c>
      <c r="K113">
        <v>51</v>
      </c>
      <c r="M113" t="s">
        <v>50</v>
      </c>
      <c r="N113" s="60">
        <v>43101</v>
      </c>
      <c r="O113" t="s">
        <v>50</v>
      </c>
      <c r="P113">
        <v>53</v>
      </c>
      <c r="Q113" t="s">
        <v>1358</v>
      </c>
      <c r="R113" s="44" t="s">
        <v>1143</v>
      </c>
      <c r="S113" s="109" t="s">
        <v>298</v>
      </c>
    </row>
    <row r="114" spans="1:19">
      <c r="A114">
        <v>54</v>
      </c>
      <c r="B114" s="126" t="s">
        <v>90</v>
      </c>
      <c r="C114" s="27">
        <f>VLOOKUP(B114,Elements!$A$2:$B$435,2,0)</f>
        <v>52</v>
      </c>
      <c r="D114">
        <v>1</v>
      </c>
      <c r="E114" t="str">
        <f>VLOOKUP(D114,Categories!$A$2:$B$8,2,0)</f>
        <v>ePRO</v>
      </c>
      <c r="F114">
        <v>4</v>
      </c>
      <c r="G114" t="str">
        <f>VLOOKUP(F114,Subcategories!$A$2:$B$29,2,0)</f>
        <v>Receiving</v>
      </c>
      <c r="H114" t="str">
        <f t="shared" si="1"/>
        <v>1-4-52</v>
      </c>
      <c r="I114">
        <f>VLOOKUP(H114,SuiteCatSubElem!$F$2:$G$666,2,0)</f>
        <v>54</v>
      </c>
      <c r="J114">
        <v>1</v>
      </c>
      <c r="K114">
        <v>52</v>
      </c>
      <c r="M114" t="s">
        <v>50</v>
      </c>
      <c r="N114" s="60">
        <v>43101</v>
      </c>
      <c r="O114" t="s">
        <v>50</v>
      </c>
      <c r="P114">
        <v>54</v>
      </c>
      <c r="Q114" t="s">
        <v>1358</v>
      </c>
      <c r="R114" s="44" t="s">
        <v>1144</v>
      </c>
      <c r="S114" s="109" t="s">
        <v>298</v>
      </c>
    </row>
    <row r="115" spans="1:19">
      <c r="A115">
        <v>192</v>
      </c>
      <c r="B115" s="126" t="s">
        <v>90</v>
      </c>
      <c r="C115" s="27">
        <f>VLOOKUP(B115,Elements!$A$2:$B$435,2,0)</f>
        <v>52</v>
      </c>
      <c r="D115">
        <v>3</v>
      </c>
      <c r="E115" t="str">
        <f>VLOOKUP(D115,Categories!$A$2:$B$8,2,0)</f>
        <v>P2P</v>
      </c>
      <c r="F115">
        <v>4</v>
      </c>
      <c r="G115" t="str">
        <f>VLOOKUP(F115,Subcategories!$A$2:$B$29,2,0)</f>
        <v>Receiving</v>
      </c>
      <c r="H115" t="str">
        <f t="shared" si="1"/>
        <v>3-4-52</v>
      </c>
      <c r="I115">
        <f>VLOOKUP(H115,SuiteCatSubElem!$F$2:$G$666,2,0)</f>
        <v>191</v>
      </c>
      <c r="J115">
        <v>1</v>
      </c>
      <c r="K115">
        <v>52</v>
      </c>
      <c r="M115" t="s">
        <v>50</v>
      </c>
      <c r="N115" s="60">
        <v>43101</v>
      </c>
      <c r="O115" t="s">
        <v>50</v>
      </c>
      <c r="P115">
        <v>54</v>
      </c>
      <c r="Q115" t="s">
        <v>1358</v>
      </c>
      <c r="R115" s="44" t="s">
        <v>1144</v>
      </c>
      <c r="S115" s="109" t="s">
        <v>298</v>
      </c>
    </row>
    <row r="116" spans="1:19">
      <c r="A116">
        <v>55</v>
      </c>
      <c r="B116" s="126" t="s">
        <v>91</v>
      </c>
      <c r="C116" s="27">
        <f>VLOOKUP(B116,Elements!$A$2:$B$435,2,0)</f>
        <v>53</v>
      </c>
      <c r="D116">
        <v>1</v>
      </c>
      <c r="E116" t="str">
        <f>VLOOKUP(D116,Categories!$A$2:$B$8,2,0)</f>
        <v>ePRO</v>
      </c>
      <c r="F116">
        <v>4</v>
      </c>
      <c r="G116" t="str">
        <f>VLOOKUP(F116,Subcategories!$A$2:$B$29,2,0)</f>
        <v>Receiving</v>
      </c>
      <c r="H116" t="str">
        <f t="shared" si="1"/>
        <v>1-4-53</v>
      </c>
      <c r="I116">
        <f>VLOOKUP(H116,SuiteCatSubElem!$F$2:$G$666,2,0)</f>
        <v>55</v>
      </c>
      <c r="J116">
        <v>1</v>
      </c>
      <c r="K116">
        <v>53</v>
      </c>
      <c r="M116" t="s">
        <v>50</v>
      </c>
      <c r="N116" s="60">
        <v>43101</v>
      </c>
      <c r="O116" t="s">
        <v>50</v>
      </c>
      <c r="P116">
        <v>55</v>
      </c>
      <c r="Q116" t="s">
        <v>1358</v>
      </c>
      <c r="R116" s="44" t="s">
        <v>1145</v>
      </c>
      <c r="S116" s="109" t="s">
        <v>298</v>
      </c>
    </row>
    <row r="117" spans="1:19">
      <c r="A117">
        <v>193</v>
      </c>
      <c r="B117" s="126" t="s">
        <v>91</v>
      </c>
      <c r="C117" s="27">
        <f>VLOOKUP(B117,Elements!$A$2:$B$435,2,0)</f>
        <v>53</v>
      </c>
      <c r="D117">
        <v>3</v>
      </c>
      <c r="E117" t="str">
        <f>VLOOKUP(D117,Categories!$A$2:$B$8,2,0)</f>
        <v>P2P</v>
      </c>
      <c r="F117">
        <v>4</v>
      </c>
      <c r="G117" t="str">
        <f>VLOOKUP(F117,Subcategories!$A$2:$B$29,2,0)</f>
        <v>Receiving</v>
      </c>
      <c r="H117" t="str">
        <f t="shared" si="1"/>
        <v>3-4-53</v>
      </c>
      <c r="I117">
        <f>VLOOKUP(H117,SuiteCatSubElem!$F$2:$G$666,2,0)</f>
        <v>192</v>
      </c>
      <c r="J117">
        <v>1</v>
      </c>
      <c r="K117">
        <v>53</v>
      </c>
      <c r="M117" t="s">
        <v>50</v>
      </c>
      <c r="N117" s="60">
        <v>43101</v>
      </c>
      <c r="O117" t="s">
        <v>50</v>
      </c>
      <c r="P117">
        <v>55</v>
      </c>
      <c r="Q117" t="s">
        <v>1358</v>
      </c>
      <c r="R117" s="44" t="s">
        <v>1145</v>
      </c>
      <c r="S117" s="109" t="s">
        <v>298</v>
      </c>
    </row>
    <row r="118" spans="1:19" ht="24">
      <c r="A118">
        <v>56</v>
      </c>
      <c r="B118" s="126" t="s">
        <v>92</v>
      </c>
      <c r="C118" s="27">
        <f>VLOOKUP(B118,Elements!$A$2:$B$435,2,0)</f>
        <v>54</v>
      </c>
      <c r="D118">
        <v>1</v>
      </c>
      <c r="E118" t="str">
        <f>VLOOKUP(D118,Categories!$A$2:$B$8,2,0)</f>
        <v>ePRO</v>
      </c>
      <c r="F118">
        <v>4</v>
      </c>
      <c r="G118" t="str">
        <f>VLOOKUP(F118,Subcategories!$A$2:$B$29,2,0)</f>
        <v>Receiving</v>
      </c>
      <c r="H118" t="str">
        <f t="shared" si="1"/>
        <v>1-4-54</v>
      </c>
      <c r="I118">
        <f>VLOOKUP(H118,SuiteCatSubElem!$F$2:$G$666,2,0)</f>
        <v>56</v>
      </c>
      <c r="J118">
        <v>1</v>
      </c>
      <c r="K118">
        <v>54</v>
      </c>
      <c r="M118" t="s">
        <v>50</v>
      </c>
      <c r="N118" s="60">
        <v>43101</v>
      </c>
      <c r="O118" t="s">
        <v>50</v>
      </c>
      <c r="P118">
        <v>56</v>
      </c>
      <c r="Q118" t="s">
        <v>1358</v>
      </c>
      <c r="R118" s="44" t="s">
        <v>1146</v>
      </c>
      <c r="S118" s="109" t="s">
        <v>298</v>
      </c>
    </row>
    <row r="119" spans="1:19" ht="24">
      <c r="A119">
        <v>194</v>
      </c>
      <c r="B119" s="126" t="s">
        <v>92</v>
      </c>
      <c r="C119" s="27">
        <f>VLOOKUP(B119,Elements!$A$2:$B$435,2,0)</f>
        <v>54</v>
      </c>
      <c r="D119">
        <v>3</v>
      </c>
      <c r="E119" t="str">
        <f>VLOOKUP(D119,Categories!$A$2:$B$8,2,0)</f>
        <v>P2P</v>
      </c>
      <c r="F119">
        <v>4</v>
      </c>
      <c r="G119" t="str">
        <f>VLOOKUP(F119,Subcategories!$A$2:$B$29,2,0)</f>
        <v>Receiving</v>
      </c>
      <c r="H119" t="str">
        <f t="shared" si="1"/>
        <v>3-4-54</v>
      </c>
      <c r="I119">
        <f>VLOOKUP(H119,SuiteCatSubElem!$F$2:$G$666,2,0)</f>
        <v>193</v>
      </c>
      <c r="J119">
        <v>1</v>
      </c>
      <c r="K119">
        <v>54</v>
      </c>
      <c r="M119" t="s">
        <v>50</v>
      </c>
      <c r="N119" s="60">
        <v>43101</v>
      </c>
      <c r="O119" t="s">
        <v>50</v>
      </c>
      <c r="P119">
        <v>56</v>
      </c>
      <c r="Q119" t="s">
        <v>1358</v>
      </c>
      <c r="R119" s="44" t="s">
        <v>1146</v>
      </c>
      <c r="S119" s="109" t="s">
        <v>298</v>
      </c>
    </row>
    <row r="120" spans="1:19" ht="144">
      <c r="A120">
        <v>58</v>
      </c>
      <c r="B120" s="126" t="s">
        <v>93</v>
      </c>
      <c r="C120" s="27">
        <f>VLOOKUP(B120,Elements!$A$2:$B$435,2,0)</f>
        <v>55</v>
      </c>
      <c r="D120">
        <v>1</v>
      </c>
      <c r="E120" t="str">
        <f>VLOOKUP(D120,Categories!$A$2:$B$8,2,0)</f>
        <v>ePRO</v>
      </c>
      <c r="F120">
        <v>5</v>
      </c>
      <c r="G120" t="str">
        <f>VLOOKUP(F120,Subcategories!$A$2:$B$29,2,0)</f>
        <v>Supplier Network</v>
      </c>
      <c r="H120" t="str">
        <f t="shared" si="1"/>
        <v>1-5-55</v>
      </c>
      <c r="I120">
        <f>VLOOKUP(H120,SuiteCatSubElem!$F$2:$G$666,2,0)</f>
        <v>58</v>
      </c>
      <c r="J120">
        <v>1</v>
      </c>
      <c r="K120">
        <v>55</v>
      </c>
      <c r="M120" t="s">
        <v>50</v>
      </c>
      <c r="N120" s="60">
        <v>43101</v>
      </c>
      <c r="O120" t="s">
        <v>50</v>
      </c>
      <c r="P120">
        <v>58</v>
      </c>
      <c r="Q120" t="s">
        <v>1358</v>
      </c>
      <c r="R120" s="44" t="s">
        <v>1147</v>
      </c>
      <c r="S120" s="109" t="s">
        <v>298</v>
      </c>
    </row>
    <row r="121" spans="1:19" ht="144">
      <c r="A121">
        <v>90</v>
      </c>
      <c r="B121" s="126" t="s">
        <v>93</v>
      </c>
      <c r="C121" s="27">
        <f>VLOOKUP(B121,Elements!$A$2:$B$435,2,0)</f>
        <v>55</v>
      </c>
      <c r="D121">
        <v>2</v>
      </c>
      <c r="E121" t="str">
        <f>VLOOKUP(D121,Categories!$A$2:$B$8,2,0)</f>
        <v>I2P</v>
      </c>
      <c r="F121">
        <v>5</v>
      </c>
      <c r="G121" t="str">
        <f>VLOOKUP(F121,Subcategories!$A$2:$B$29,2,0)</f>
        <v>Supplier Network</v>
      </c>
      <c r="H121" t="str">
        <f t="shared" si="1"/>
        <v>2-5-55</v>
      </c>
      <c r="I121">
        <f>VLOOKUP(H121,SuiteCatSubElem!$F$2:$G$666,2,0)</f>
        <v>90</v>
      </c>
      <c r="J121">
        <v>1</v>
      </c>
      <c r="K121">
        <v>55</v>
      </c>
      <c r="M121" t="s">
        <v>50</v>
      </c>
      <c r="N121" s="60">
        <v>43101</v>
      </c>
      <c r="O121" t="s">
        <v>50</v>
      </c>
      <c r="P121">
        <v>1</v>
      </c>
      <c r="Q121" t="s">
        <v>1358</v>
      </c>
      <c r="R121" s="44" t="s">
        <v>1147</v>
      </c>
      <c r="S121" s="109" t="s">
        <v>298</v>
      </c>
    </row>
    <row r="122" spans="1:19" ht="144">
      <c r="A122">
        <v>196</v>
      </c>
      <c r="B122" s="126" t="s">
        <v>93</v>
      </c>
      <c r="C122" s="27">
        <f>VLOOKUP(B122,Elements!$A$2:$B$435,2,0)</f>
        <v>55</v>
      </c>
      <c r="D122">
        <v>3</v>
      </c>
      <c r="E122" t="str">
        <f>VLOOKUP(D122,Categories!$A$2:$B$8,2,0)</f>
        <v>P2P</v>
      </c>
      <c r="F122">
        <v>5</v>
      </c>
      <c r="G122" t="str">
        <f>VLOOKUP(F122,Subcategories!$A$2:$B$29,2,0)</f>
        <v>Supplier Network</v>
      </c>
      <c r="H122" t="str">
        <f t="shared" si="1"/>
        <v>3-5-55</v>
      </c>
      <c r="I122">
        <f>VLOOKUP(H122,SuiteCatSubElem!$F$2:$G$666,2,0)</f>
        <v>195</v>
      </c>
      <c r="J122">
        <v>1</v>
      </c>
      <c r="K122">
        <v>55</v>
      </c>
      <c r="M122" t="s">
        <v>50</v>
      </c>
      <c r="N122" s="60">
        <v>43101</v>
      </c>
      <c r="O122" t="s">
        <v>50</v>
      </c>
      <c r="P122">
        <v>58</v>
      </c>
      <c r="Q122" t="s">
        <v>1358</v>
      </c>
      <c r="R122" s="105" t="s">
        <v>1147</v>
      </c>
      <c r="S122" s="109" t="s">
        <v>298</v>
      </c>
    </row>
    <row r="123" spans="1:19" ht="84">
      <c r="A123">
        <v>59</v>
      </c>
      <c r="B123" s="126" t="s">
        <v>94</v>
      </c>
      <c r="C123" s="27">
        <f>VLOOKUP(B123,Elements!$A$2:$B$435,2,0)</f>
        <v>56</v>
      </c>
      <c r="D123">
        <v>1</v>
      </c>
      <c r="E123" t="str">
        <f>VLOOKUP(D123,Categories!$A$2:$B$8,2,0)</f>
        <v>ePRO</v>
      </c>
      <c r="F123">
        <v>5</v>
      </c>
      <c r="G123" t="str">
        <f>VLOOKUP(F123,Subcategories!$A$2:$B$29,2,0)</f>
        <v>Supplier Network</v>
      </c>
      <c r="H123" t="str">
        <f t="shared" si="1"/>
        <v>1-5-56</v>
      </c>
      <c r="I123">
        <f>VLOOKUP(H123,SuiteCatSubElem!$F$2:$G$666,2,0)</f>
        <v>59</v>
      </c>
      <c r="J123">
        <v>1</v>
      </c>
      <c r="K123">
        <v>56</v>
      </c>
      <c r="M123" t="s">
        <v>50</v>
      </c>
      <c r="N123" s="60">
        <v>43101</v>
      </c>
      <c r="O123" t="s">
        <v>50</v>
      </c>
      <c r="P123">
        <v>59</v>
      </c>
      <c r="Q123" t="s">
        <v>1358</v>
      </c>
      <c r="R123" s="105" t="s">
        <v>1148</v>
      </c>
      <c r="S123" s="109" t="s">
        <v>298</v>
      </c>
    </row>
    <row r="124" spans="1:19" ht="84">
      <c r="A124">
        <v>91</v>
      </c>
      <c r="B124" s="126" t="s">
        <v>94</v>
      </c>
      <c r="C124" s="27">
        <f>VLOOKUP(B124,Elements!$A$2:$B$435,2,0)</f>
        <v>56</v>
      </c>
      <c r="D124">
        <v>2</v>
      </c>
      <c r="E124" t="str">
        <f>VLOOKUP(D124,Categories!$A$2:$B$8,2,0)</f>
        <v>I2P</v>
      </c>
      <c r="F124">
        <v>5</v>
      </c>
      <c r="G124" t="str">
        <f>VLOOKUP(F124,Subcategories!$A$2:$B$29,2,0)</f>
        <v>Supplier Network</v>
      </c>
      <c r="H124" t="str">
        <f t="shared" si="1"/>
        <v>2-5-56</v>
      </c>
      <c r="I124">
        <f>VLOOKUP(H124,SuiteCatSubElem!$F$2:$G$666,2,0)</f>
        <v>91</v>
      </c>
      <c r="J124">
        <v>1</v>
      </c>
      <c r="K124">
        <v>56</v>
      </c>
      <c r="M124" t="s">
        <v>50</v>
      </c>
      <c r="N124" s="60">
        <v>43101</v>
      </c>
      <c r="O124" t="s">
        <v>50</v>
      </c>
      <c r="P124">
        <v>2</v>
      </c>
      <c r="Q124" t="s">
        <v>1358</v>
      </c>
      <c r="R124" s="105" t="s">
        <v>1148</v>
      </c>
      <c r="S124" s="109" t="s">
        <v>298</v>
      </c>
    </row>
    <row r="125" spans="1:19" ht="84">
      <c r="A125">
        <v>197</v>
      </c>
      <c r="B125" s="126" t="s">
        <v>94</v>
      </c>
      <c r="C125" s="27">
        <f>VLOOKUP(B125,Elements!$A$2:$B$435,2,0)</f>
        <v>56</v>
      </c>
      <c r="D125">
        <v>3</v>
      </c>
      <c r="E125" t="str">
        <f>VLOOKUP(D125,Categories!$A$2:$B$8,2,0)</f>
        <v>P2P</v>
      </c>
      <c r="F125">
        <v>5</v>
      </c>
      <c r="G125" t="str">
        <f>VLOOKUP(F125,Subcategories!$A$2:$B$29,2,0)</f>
        <v>Supplier Network</v>
      </c>
      <c r="H125" t="str">
        <f t="shared" si="1"/>
        <v>3-5-56</v>
      </c>
      <c r="I125">
        <f>VLOOKUP(H125,SuiteCatSubElem!$F$2:$G$666,2,0)</f>
        <v>196</v>
      </c>
      <c r="J125">
        <v>1</v>
      </c>
      <c r="K125">
        <v>56</v>
      </c>
      <c r="M125" t="s">
        <v>50</v>
      </c>
      <c r="N125" s="60">
        <v>43101</v>
      </c>
      <c r="O125" t="s">
        <v>50</v>
      </c>
      <c r="P125">
        <v>59</v>
      </c>
      <c r="Q125" t="s">
        <v>1358</v>
      </c>
      <c r="R125" s="105" t="s">
        <v>1148</v>
      </c>
      <c r="S125" s="109" t="s">
        <v>298</v>
      </c>
    </row>
    <row r="126" spans="1:19" ht="36">
      <c r="A126">
        <v>60</v>
      </c>
      <c r="B126" s="126" t="s">
        <v>95</v>
      </c>
      <c r="C126" s="27">
        <f>VLOOKUP(B126,Elements!$A$2:$B$435,2,0)</f>
        <v>57</v>
      </c>
      <c r="D126">
        <v>1</v>
      </c>
      <c r="E126" t="str">
        <f>VLOOKUP(D126,Categories!$A$2:$B$8,2,0)</f>
        <v>ePRO</v>
      </c>
      <c r="F126">
        <v>5</v>
      </c>
      <c r="G126" t="str">
        <f>VLOOKUP(F126,Subcategories!$A$2:$B$29,2,0)</f>
        <v>Supplier Network</v>
      </c>
      <c r="H126" t="str">
        <f t="shared" si="1"/>
        <v>1-5-57</v>
      </c>
      <c r="I126">
        <f>VLOOKUP(H126,SuiteCatSubElem!$F$2:$G$666,2,0)</f>
        <v>60</v>
      </c>
      <c r="J126">
        <v>1</v>
      </c>
      <c r="K126">
        <v>57</v>
      </c>
      <c r="M126" t="s">
        <v>50</v>
      </c>
      <c r="N126" s="60">
        <v>43101</v>
      </c>
      <c r="O126" t="s">
        <v>50</v>
      </c>
      <c r="P126">
        <v>60</v>
      </c>
      <c r="Q126" t="s">
        <v>1358</v>
      </c>
      <c r="R126" s="105" t="s">
        <v>1149</v>
      </c>
      <c r="S126" s="109" t="s">
        <v>298</v>
      </c>
    </row>
    <row r="127" spans="1:19" ht="36">
      <c r="A127">
        <v>92</v>
      </c>
      <c r="B127" s="126" t="s">
        <v>95</v>
      </c>
      <c r="C127" s="27">
        <f>VLOOKUP(B127,Elements!$A$2:$B$435,2,0)</f>
        <v>57</v>
      </c>
      <c r="D127">
        <v>2</v>
      </c>
      <c r="E127" t="str">
        <f>VLOOKUP(D127,Categories!$A$2:$B$8,2,0)</f>
        <v>I2P</v>
      </c>
      <c r="F127">
        <v>5</v>
      </c>
      <c r="G127" t="str">
        <f>VLOOKUP(F127,Subcategories!$A$2:$B$29,2,0)</f>
        <v>Supplier Network</v>
      </c>
      <c r="H127" t="str">
        <f t="shared" si="1"/>
        <v>2-5-57</v>
      </c>
      <c r="I127">
        <f>VLOOKUP(H127,SuiteCatSubElem!$F$2:$G$666,2,0)</f>
        <v>92</v>
      </c>
      <c r="J127">
        <v>1</v>
      </c>
      <c r="K127">
        <v>57</v>
      </c>
      <c r="M127" t="s">
        <v>50</v>
      </c>
      <c r="N127" s="60">
        <v>43101</v>
      </c>
      <c r="O127" t="s">
        <v>50</v>
      </c>
      <c r="P127">
        <v>3</v>
      </c>
      <c r="Q127" t="s">
        <v>1358</v>
      </c>
      <c r="R127" s="105" t="s">
        <v>1149</v>
      </c>
      <c r="S127" s="109" t="s">
        <v>298</v>
      </c>
    </row>
    <row r="128" spans="1:19" ht="36">
      <c r="A128">
        <v>198</v>
      </c>
      <c r="B128" s="126" t="s">
        <v>95</v>
      </c>
      <c r="C128" s="27">
        <f>VLOOKUP(B128,Elements!$A$2:$B$435,2,0)</f>
        <v>57</v>
      </c>
      <c r="D128">
        <v>3</v>
      </c>
      <c r="E128" t="str">
        <f>VLOOKUP(D128,Categories!$A$2:$B$8,2,0)</f>
        <v>P2P</v>
      </c>
      <c r="F128">
        <v>5</v>
      </c>
      <c r="G128" t="str">
        <f>VLOOKUP(F128,Subcategories!$A$2:$B$29,2,0)</f>
        <v>Supplier Network</v>
      </c>
      <c r="H128" t="str">
        <f t="shared" si="1"/>
        <v>3-5-57</v>
      </c>
      <c r="I128">
        <f>VLOOKUP(H128,SuiteCatSubElem!$F$2:$G$666,2,0)</f>
        <v>197</v>
      </c>
      <c r="J128">
        <v>1</v>
      </c>
      <c r="K128">
        <v>57</v>
      </c>
      <c r="M128" t="s">
        <v>50</v>
      </c>
      <c r="N128" s="60">
        <v>43101</v>
      </c>
      <c r="O128" t="s">
        <v>50</v>
      </c>
      <c r="P128">
        <v>60</v>
      </c>
      <c r="Q128" t="s">
        <v>1358</v>
      </c>
      <c r="R128" s="105" t="s">
        <v>1149</v>
      </c>
      <c r="S128" s="109" t="s">
        <v>298</v>
      </c>
    </row>
    <row r="129" spans="1:19">
      <c r="A129">
        <v>61</v>
      </c>
      <c r="B129" s="126" t="s">
        <v>96</v>
      </c>
      <c r="C129" s="27">
        <f>VLOOKUP(B129,Elements!$A$2:$B$435,2,0)</f>
        <v>58</v>
      </c>
      <c r="D129">
        <v>1</v>
      </c>
      <c r="E129" t="str">
        <f>VLOOKUP(D129,Categories!$A$2:$B$8,2,0)</f>
        <v>ePRO</v>
      </c>
      <c r="F129">
        <v>5</v>
      </c>
      <c r="G129" t="str">
        <f>VLOOKUP(F129,Subcategories!$A$2:$B$29,2,0)</f>
        <v>Supplier Network</v>
      </c>
      <c r="H129" t="str">
        <f t="shared" si="1"/>
        <v>1-5-58</v>
      </c>
      <c r="I129">
        <f>VLOOKUP(H129,SuiteCatSubElem!$F$2:$G$666,2,0)</f>
        <v>61</v>
      </c>
      <c r="J129">
        <v>1</v>
      </c>
      <c r="K129">
        <v>58</v>
      </c>
      <c r="M129" t="s">
        <v>50</v>
      </c>
      <c r="N129" s="60">
        <v>43101</v>
      </c>
      <c r="O129" t="s">
        <v>50</v>
      </c>
      <c r="P129">
        <v>61</v>
      </c>
      <c r="Q129" t="s">
        <v>1358</v>
      </c>
      <c r="R129" s="105" t="s">
        <v>1150</v>
      </c>
      <c r="S129" s="109" t="s">
        <v>298</v>
      </c>
    </row>
    <row r="130" spans="1:19">
      <c r="A130">
        <v>199</v>
      </c>
      <c r="B130" s="126" t="s">
        <v>96</v>
      </c>
      <c r="C130" s="27">
        <f>VLOOKUP(B130,Elements!$A$2:$B$435,2,0)</f>
        <v>58</v>
      </c>
      <c r="D130">
        <v>3</v>
      </c>
      <c r="E130" t="str">
        <f>VLOOKUP(D130,Categories!$A$2:$B$8,2,0)</f>
        <v>P2P</v>
      </c>
      <c r="F130">
        <v>5</v>
      </c>
      <c r="G130" t="str">
        <f>VLOOKUP(F130,Subcategories!$A$2:$B$29,2,0)</f>
        <v>Supplier Network</v>
      </c>
      <c r="H130" t="str">
        <f t="shared" ref="H130:H193" si="2">_xlfn.CONCAT(D130,"-",F130,"-",C130)</f>
        <v>3-5-58</v>
      </c>
      <c r="I130">
        <f>VLOOKUP(H130,SuiteCatSubElem!$F$2:$G$666,2,0)</f>
        <v>198</v>
      </c>
      <c r="J130">
        <v>1</v>
      </c>
      <c r="K130">
        <v>58</v>
      </c>
      <c r="M130" t="s">
        <v>50</v>
      </c>
      <c r="N130" s="60">
        <v>43101</v>
      </c>
      <c r="O130" t="s">
        <v>50</v>
      </c>
      <c r="P130">
        <v>61</v>
      </c>
      <c r="Q130" t="s">
        <v>1358</v>
      </c>
      <c r="R130" s="105" t="s">
        <v>1150</v>
      </c>
      <c r="S130" s="109" t="s">
        <v>298</v>
      </c>
    </row>
    <row r="131" spans="1:19">
      <c r="A131">
        <v>62</v>
      </c>
      <c r="B131" s="126" t="s">
        <v>97</v>
      </c>
      <c r="C131" s="27">
        <f>VLOOKUP(B131,Elements!$A$2:$B$435,2,0)</f>
        <v>59</v>
      </c>
      <c r="D131" s="53">
        <v>1</v>
      </c>
      <c r="E131" t="str">
        <f>VLOOKUP(D131,Categories!$A$2:$B$8,2,0)</f>
        <v>ePRO</v>
      </c>
      <c r="F131">
        <v>5</v>
      </c>
      <c r="G131" t="str">
        <f>VLOOKUP(F131,Subcategories!$A$2:$B$29,2,0)</f>
        <v>Supplier Network</v>
      </c>
      <c r="H131" t="str">
        <f t="shared" si="2"/>
        <v>1-5-59</v>
      </c>
      <c r="I131">
        <f>VLOOKUP(H131,SuiteCatSubElem!$F$2:$G$666,2,0)</f>
        <v>62</v>
      </c>
      <c r="J131" s="53">
        <v>1</v>
      </c>
      <c r="K131">
        <v>59</v>
      </c>
      <c r="L131" s="53"/>
      <c r="M131" t="s">
        <v>50</v>
      </c>
      <c r="N131" s="60">
        <v>43101</v>
      </c>
      <c r="O131" t="s">
        <v>50</v>
      </c>
      <c r="P131">
        <v>62</v>
      </c>
      <c r="Q131" t="s">
        <v>1358</v>
      </c>
      <c r="R131" s="105" t="s">
        <v>1151</v>
      </c>
      <c r="S131" s="112" t="s">
        <v>298</v>
      </c>
    </row>
    <row r="132" spans="1:19">
      <c r="A132">
        <v>94</v>
      </c>
      <c r="B132" s="126" t="s">
        <v>97</v>
      </c>
      <c r="C132" s="27">
        <f>VLOOKUP(B132,Elements!$A$2:$B$435,2,0)</f>
        <v>59</v>
      </c>
      <c r="D132">
        <v>2</v>
      </c>
      <c r="E132" t="str">
        <f>VLOOKUP(D132,Categories!$A$2:$B$8,2,0)</f>
        <v>I2P</v>
      </c>
      <c r="F132">
        <v>5</v>
      </c>
      <c r="G132" t="str">
        <f>VLOOKUP(F132,Subcategories!$A$2:$B$29,2,0)</f>
        <v>Supplier Network</v>
      </c>
      <c r="H132" t="str">
        <f t="shared" si="2"/>
        <v>2-5-59</v>
      </c>
      <c r="I132">
        <f>VLOOKUP(H132,SuiteCatSubElem!$F$2:$G$666,2,0)</f>
        <v>93</v>
      </c>
      <c r="J132">
        <v>1</v>
      </c>
      <c r="K132">
        <v>59</v>
      </c>
      <c r="M132" t="s">
        <v>50</v>
      </c>
      <c r="N132" s="60">
        <v>43101</v>
      </c>
      <c r="O132" t="s">
        <v>50</v>
      </c>
      <c r="P132">
        <v>4</v>
      </c>
      <c r="Q132" t="s">
        <v>1358</v>
      </c>
      <c r="R132" s="105" t="s">
        <v>1151</v>
      </c>
      <c r="S132" s="109" t="s">
        <v>298</v>
      </c>
    </row>
    <row r="133" spans="1:19">
      <c r="A133">
        <v>200</v>
      </c>
      <c r="B133" s="126" t="s">
        <v>97</v>
      </c>
      <c r="C133" s="27">
        <f>VLOOKUP(B133,Elements!$A$2:$B$435,2,0)</f>
        <v>59</v>
      </c>
      <c r="D133" s="53">
        <v>3</v>
      </c>
      <c r="E133" t="str">
        <f>VLOOKUP(D133,Categories!$A$2:$B$8,2,0)</f>
        <v>P2P</v>
      </c>
      <c r="F133">
        <v>5</v>
      </c>
      <c r="G133" t="str">
        <f>VLOOKUP(F133,Subcategories!$A$2:$B$29,2,0)</f>
        <v>Supplier Network</v>
      </c>
      <c r="H133" t="str">
        <f t="shared" si="2"/>
        <v>3-5-59</v>
      </c>
      <c r="I133">
        <f>VLOOKUP(H133,SuiteCatSubElem!$F$2:$G$666,2,0)</f>
        <v>199</v>
      </c>
      <c r="J133" s="53">
        <v>1</v>
      </c>
      <c r="K133">
        <v>59</v>
      </c>
      <c r="L133" s="53"/>
      <c r="M133" t="s">
        <v>50</v>
      </c>
      <c r="N133" s="60">
        <v>43101</v>
      </c>
      <c r="O133" t="s">
        <v>50</v>
      </c>
      <c r="P133">
        <v>62</v>
      </c>
      <c r="Q133" t="s">
        <v>1358</v>
      </c>
      <c r="R133" s="105" t="s">
        <v>1151</v>
      </c>
      <c r="S133" s="112" t="s">
        <v>298</v>
      </c>
    </row>
    <row r="134" spans="1:19" ht="24">
      <c r="A134">
        <v>63</v>
      </c>
      <c r="B134" s="126" t="s">
        <v>13</v>
      </c>
      <c r="C134" s="27">
        <f>VLOOKUP(B134,Elements!$A$2:$B$435,2,0)</f>
        <v>60</v>
      </c>
      <c r="D134">
        <v>1</v>
      </c>
      <c r="E134" t="str">
        <f>VLOOKUP(D134,Categories!$A$2:$B$8,2,0)</f>
        <v>ePRO</v>
      </c>
      <c r="F134">
        <v>5</v>
      </c>
      <c r="G134" t="str">
        <f>VLOOKUP(F134,Subcategories!$A$2:$B$29,2,0)</f>
        <v>Supplier Network</v>
      </c>
      <c r="H134" t="str">
        <f t="shared" si="2"/>
        <v>1-5-60</v>
      </c>
      <c r="I134">
        <f>VLOOKUP(H134,SuiteCatSubElem!$F$2:$G$666,2,0)</f>
        <v>63</v>
      </c>
      <c r="J134">
        <v>1</v>
      </c>
      <c r="K134">
        <v>60</v>
      </c>
      <c r="M134" t="s">
        <v>50</v>
      </c>
      <c r="N134" s="60">
        <v>43101</v>
      </c>
      <c r="O134" t="s">
        <v>50</v>
      </c>
      <c r="P134">
        <v>63</v>
      </c>
      <c r="Q134" t="s">
        <v>1358</v>
      </c>
      <c r="R134" s="105" t="s">
        <v>1152</v>
      </c>
      <c r="S134" s="109" t="s">
        <v>298</v>
      </c>
    </row>
    <row r="135" spans="1:19" ht="24">
      <c r="A135">
        <v>95</v>
      </c>
      <c r="B135" s="126" t="s">
        <v>13</v>
      </c>
      <c r="C135" s="27">
        <f>VLOOKUP(B135,Elements!$A$2:$B$435,2,0)</f>
        <v>60</v>
      </c>
      <c r="D135">
        <v>2</v>
      </c>
      <c r="E135" t="str">
        <f>VLOOKUP(D135,Categories!$A$2:$B$8,2,0)</f>
        <v>I2P</v>
      </c>
      <c r="F135">
        <v>5</v>
      </c>
      <c r="G135" t="str">
        <f>VLOOKUP(F135,Subcategories!$A$2:$B$29,2,0)</f>
        <v>Supplier Network</v>
      </c>
      <c r="H135" t="str">
        <f t="shared" si="2"/>
        <v>2-5-60</v>
      </c>
      <c r="I135">
        <f>VLOOKUP(H135,SuiteCatSubElem!$F$2:$G$666,2,0)</f>
        <v>94</v>
      </c>
      <c r="J135">
        <v>1</v>
      </c>
      <c r="K135">
        <v>60</v>
      </c>
      <c r="M135" t="s">
        <v>50</v>
      </c>
      <c r="N135" s="60">
        <v>43101</v>
      </c>
      <c r="O135" t="s">
        <v>50</v>
      </c>
      <c r="P135">
        <v>5</v>
      </c>
      <c r="Q135" t="s">
        <v>1358</v>
      </c>
      <c r="R135" s="105" t="s">
        <v>1152</v>
      </c>
      <c r="S135" s="109" t="s">
        <v>298</v>
      </c>
    </row>
    <row r="136" spans="1:19" ht="24">
      <c r="A136">
        <v>201</v>
      </c>
      <c r="B136" s="126" t="s">
        <v>13</v>
      </c>
      <c r="C136" s="27">
        <f>VLOOKUP(B136,Elements!$A$2:$B$435,2,0)</f>
        <v>60</v>
      </c>
      <c r="D136">
        <v>3</v>
      </c>
      <c r="E136" t="str">
        <f>VLOOKUP(D136,Categories!$A$2:$B$8,2,0)</f>
        <v>P2P</v>
      </c>
      <c r="F136">
        <v>5</v>
      </c>
      <c r="G136" t="str">
        <f>VLOOKUP(F136,Subcategories!$A$2:$B$29,2,0)</f>
        <v>Supplier Network</v>
      </c>
      <c r="H136" t="str">
        <f t="shared" si="2"/>
        <v>3-5-60</v>
      </c>
      <c r="I136">
        <f>VLOOKUP(H136,SuiteCatSubElem!$F$2:$G$666,2,0)</f>
        <v>200</v>
      </c>
      <c r="J136">
        <v>1</v>
      </c>
      <c r="K136">
        <v>60</v>
      </c>
      <c r="M136" t="s">
        <v>50</v>
      </c>
      <c r="N136" s="60">
        <v>43101</v>
      </c>
      <c r="O136" t="s">
        <v>50</v>
      </c>
      <c r="P136">
        <v>63</v>
      </c>
      <c r="Q136" t="s">
        <v>1358</v>
      </c>
      <c r="R136" s="105" t="s">
        <v>1152</v>
      </c>
      <c r="S136" s="109" t="s">
        <v>298</v>
      </c>
    </row>
    <row r="137" spans="1:19" ht="60">
      <c r="A137">
        <v>64</v>
      </c>
      <c r="B137" s="126" t="s">
        <v>98</v>
      </c>
      <c r="C137" s="27">
        <f>VLOOKUP(B137,Elements!$A$2:$B$435,2,0)</f>
        <v>61</v>
      </c>
      <c r="D137">
        <v>1</v>
      </c>
      <c r="E137" t="str">
        <f>VLOOKUP(D137,Categories!$A$2:$B$8,2,0)</f>
        <v>ePRO</v>
      </c>
      <c r="F137">
        <v>5</v>
      </c>
      <c r="G137" t="str">
        <f>VLOOKUP(F137,Subcategories!$A$2:$B$29,2,0)</f>
        <v>Supplier Network</v>
      </c>
      <c r="H137" t="str">
        <f t="shared" si="2"/>
        <v>1-5-61</v>
      </c>
      <c r="I137">
        <f>VLOOKUP(H137,SuiteCatSubElem!$F$2:$G$666,2,0)</f>
        <v>64</v>
      </c>
      <c r="J137">
        <v>1</v>
      </c>
      <c r="K137">
        <v>61</v>
      </c>
      <c r="M137" t="s">
        <v>50</v>
      </c>
      <c r="N137" s="60">
        <v>43101</v>
      </c>
      <c r="O137" t="s">
        <v>50</v>
      </c>
      <c r="P137">
        <v>64</v>
      </c>
      <c r="Q137" t="s">
        <v>1358</v>
      </c>
      <c r="R137" s="105" t="s">
        <v>1153</v>
      </c>
      <c r="S137" s="109" t="s">
        <v>298</v>
      </c>
    </row>
    <row r="138" spans="1:19" s="4" customFormat="1" ht="61" thickBot="1">
      <c r="A138">
        <v>96</v>
      </c>
      <c r="B138" s="129" t="s">
        <v>98</v>
      </c>
      <c r="C138" s="27">
        <f>VLOOKUP(B138,Elements!$A$2:$B$435,2,0)</f>
        <v>61</v>
      </c>
      <c r="D138" s="4">
        <v>2</v>
      </c>
      <c r="E138" t="str">
        <f>VLOOKUP(D138,Categories!$A$2:$B$8,2,0)</f>
        <v>I2P</v>
      </c>
      <c r="F138">
        <v>5</v>
      </c>
      <c r="G138" t="str">
        <f>VLOOKUP(F138,Subcategories!$A$2:$B$29,2,0)</f>
        <v>Supplier Network</v>
      </c>
      <c r="H138" t="str">
        <f t="shared" si="2"/>
        <v>2-5-61</v>
      </c>
      <c r="I138">
        <f>VLOOKUP(H138,SuiteCatSubElem!$F$2:$G$666,2,0)</f>
        <v>95</v>
      </c>
      <c r="J138" s="4">
        <v>1</v>
      </c>
      <c r="K138">
        <v>61</v>
      </c>
      <c r="M138" t="s">
        <v>50</v>
      </c>
      <c r="N138" s="60">
        <v>43101</v>
      </c>
      <c r="O138" t="s">
        <v>50</v>
      </c>
      <c r="P138">
        <v>6</v>
      </c>
      <c r="Q138" t="s">
        <v>1358</v>
      </c>
      <c r="R138" s="105" t="s">
        <v>1153</v>
      </c>
      <c r="S138" s="114" t="s">
        <v>298</v>
      </c>
    </row>
    <row r="139" spans="1:19" ht="60">
      <c r="A139">
        <v>202</v>
      </c>
      <c r="B139" s="130" t="s">
        <v>98</v>
      </c>
      <c r="C139" s="27">
        <f>VLOOKUP(B139,Elements!$A$2:$B$435,2,0)</f>
        <v>61</v>
      </c>
      <c r="D139">
        <v>3</v>
      </c>
      <c r="E139" t="str">
        <f>VLOOKUP(D139,Categories!$A$2:$B$8,2,0)</f>
        <v>P2P</v>
      </c>
      <c r="F139">
        <v>5</v>
      </c>
      <c r="G139" t="str">
        <f>VLOOKUP(F139,Subcategories!$A$2:$B$29,2,0)</f>
        <v>Supplier Network</v>
      </c>
      <c r="H139" t="str">
        <f t="shared" si="2"/>
        <v>3-5-61</v>
      </c>
      <c r="I139">
        <f>VLOOKUP(H139,SuiteCatSubElem!$F$2:$G$666,2,0)</f>
        <v>201</v>
      </c>
      <c r="J139">
        <v>1</v>
      </c>
      <c r="K139">
        <v>61</v>
      </c>
      <c r="M139" t="s">
        <v>50</v>
      </c>
      <c r="N139" s="60">
        <v>43101</v>
      </c>
      <c r="O139" t="s">
        <v>50</v>
      </c>
      <c r="P139">
        <v>64</v>
      </c>
      <c r="Q139" t="s">
        <v>1358</v>
      </c>
      <c r="R139" s="43" t="s">
        <v>1153</v>
      </c>
      <c r="S139" s="109" t="s">
        <v>298</v>
      </c>
    </row>
    <row r="140" spans="1:19" ht="48">
      <c r="A140">
        <v>65</v>
      </c>
      <c r="B140" s="126" t="s">
        <v>99</v>
      </c>
      <c r="C140" s="27">
        <f>VLOOKUP(B140,Elements!$A$2:$B$435,2,0)</f>
        <v>62</v>
      </c>
      <c r="D140">
        <v>1</v>
      </c>
      <c r="E140" t="str">
        <f>VLOOKUP(D140,Categories!$A$2:$B$8,2,0)</f>
        <v>ePRO</v>
      </c>
      <c r="F140">
        <v>5</v>
      </c>
      <c r="G140" t="str">
        <f>VLOOKUP(F140,Subcategories!$A$2:$B$29,2,0)</f>
        <v>Supplier Network</v>
      </c>
      <c r="H140" t="str">
        <f t="shared" si="2"/>
        <v>1-5-62</v>
      </c>
      <c r="I140">
        <f>VLOOKUP(H140,SuiteCatSubElem!$F$2:$G$666,2,0)</f>
        <v>65</v>
      </c>
      <c r="J140">
        <v>1</v>
      </c>
      <c r="K140">
        <v>62</v>
      </c>
      <c r="M140" t="s">
        <v>50</v>
      </c>
      <c r="N140" s="60">
        <v>43101</v>
      </c>
      <c r="O140" t="s">
        <v>50</v>
      </c>
      <c r="P140">
        <v>65</v>
      </c>
      <c r="Q140" t="s">
        <v>1358</v>
      </c>
      <c r="R140" s="43" t="s">
        <v>1154</v>
      </c>
      <c r="S140" s="109" t="s">
        <v>298</v>
      </c>
    </row>
    <row r="141" spans="1:19" ht="48">
      <c r="A141">
        <v>97</v>
      </c>
      <c r="B141" s="126" t="s">
        <v>99</v>
      </c>
      <c r="C141" s="27">
        <f>VLOOKUP(B141,Elements!$A$2:$B$435,2,0)</f>
        <v>62</v>
      </c>
      <c r="D141">
        <v>2</v>
      </c>
      <c r="E141" t="str">
        <f>VLOOKUP(D141,Categories!$A$2:$B$8,2,0)</f>
        <v>I2P</v>
      </c>
      <c r="F141">
        <v>5</v>
      </c>
      <c r="G141" t="str">
        <f>VLOOKUP(F141,Subcategories!$A$2:$B$29,2,0)</f>
        <v>Supplier Network</v>
      </c>
      <c r="H141" t="str">
        <f t="shared" si="2"/>
        <v>2-5-62</v>
      </c>
      <c r="I141">
        <f>VLOOKUP(H141,SuiteCatSubElem!$F$2:$G$666,2,0)</f>
        <v>96</v>
      </c>
      <c r="J141">
        <v>1</v>
      </c>
      <c r="K141">
        <v>62</v>
      </c>
      <c r="M141" t="s">
        <v>50</v>
      </c>
      <c r="N141" s="60">
        <v>43101</v>
      </c>
      <c r="O141" t="s">
        <v>50</v>
      </c>
      <c r="P141">
        <v>7</v>
      </c>
      <c r="Q141" t="s">
        <v>1358</v>
      </c>
      <c r="R141" s="43" t="s">
        <v>1154</v>
      </c>
      <c r="S141" s="109" t="s">
        <v>298</v>
      </c>
    </row>
    <row r="142" spans="1:19" ht="48">
      <c r="A142">
        <v>203</v>
      </c>
      <c r="B142" s="126" t="s">
        <v>99</v>
      </c>
      <c r="C142" s="27">
        <f>VLOOKUP(B142,Elements!$A$2:$B$435,2,0)</f>
        <v>62</v>
      </c>
      <c r="D142">
        <v>3</v>
      </c>
      <c r="E142" t="str">
        <f>VLOOKUP(D142,Categories!$A$2:$B$8,2,0)</f>
        <v>P2P</v>
      </c>
      <c r="F142">
        <v>5</v>
      </c>
      <c r="G142" t="str">
        <f>VLOOKUP(F142,Subcategories!$A$2:$B$29,2,0)</f>
        <v>Supplier Network</v>
      </c>
      <c r="H142" t="str">
        <f t="shared" si="2"/>
        <v>3-5-62</v>
      </c>
      <c r="I142">
        <f>VLOOKUP(H142,SuiteCatSubElem!$F$2:$G$666,2,0)</f>
        <v>202</v>
      </c>
      <c r="J142">
        <v>1</v>
      </c>
      <c r="K142">
        <v>62</v>
      </c>
      <c r="M142" t="s">
        <v>50</v>
      </c>
      <c r="N142" s="60">
        <v>43101</v>
      </c>
      <c r="O142" t="s">
        <v>50</v>
      </c>
      <c r="P142">
        <v>65</v>
      </c>
      <c r="Q142" t="s">
        <v>1358</v>
      </c>
      <c r="R142" s="43" t="s">
        <v>1154</v>
      </c>
      <c r="S142" s="109" t="s">
        <v>298</v>
      </c>
    </row>
    <row r="143" spans="1:19" ht="36">
      <c r="A143">
        <v>66</v>
      </c>
      <c r="B143" s="126" t="s">
        <v>100</v>
      </c>
      <c r="C143" s="27">
        <f>VLOOKUP(B143,Elements!$A$2:$B$435,2,0)</f>
        <v>63</v>
      </c>
      <c r="D143">
        <v>1</v>
      </c>
      <c r="E143" t="str">
        <f>VLOOKUP(D143,Categories!$A$2:$B$8,2,0)</f>
        <v>ePRO</v>
      </c>
      <c r="F143">
        <v>5</v>
      </c>
      <c r="G143" t="str">
        <f>VLOOKUP(F143,Subcategories!$A$2:$B$29,2,0)</f>
        <v>Supplier Network</v>
      </c>
      <c r="H143" t="str">
        <f t="shared" si="2"/>
        <v>1-5-63</v>
      </c>
      <c r="I143">
        <f>VLOOKUP(H143,SuiteCatSubElem!$F$2:$G$666,2,0)</f>
        <v>66</v>
      </c>
      <c r="J143">
        <v>1</v>
      </c>
      <c r="K143">
        <v>63</v>
      </c>
      <c r="M143" t="s">
        <v>50</v>
      </c>
      <c r="N143" s="60">
        <v>43101</v>
      </c>
      <c r="O143" t="s">
        <v>50</v>
      </c>
      <c r="P143">
        <v>66</v>
      </c>
      <c r="Q143" t="s">
        <v>1358</v>
      </c>
      <c r="R143" s="43" t="s">
        <v>1155</v>
      </c>
      <c r="S143" s="109" t="s">
        <v>298</v>
      </c>
    </row>
    <row r="144" spans="1:19" ht="36">
      <c r="A144">
        <v>98</v>
      </c>
      <c r="B144" s="142" t="s">
        <v>100</v>
      </c>
      <c r="C144" s="27">
        <f>VLOOKUP(B144,Elements!$A$2:$B$435,2,0)</f>
        <v>63</v>
      </c>
      <c r="D144">
        <v>2</v>
      </c>
      <c r="E144" t="str">
        <f>VLOOKUP(D144,Categories!$A$2:$B$8,2,0)</f>
        <v>I2P</v>
      </c>
      <c r="F144">
        <v>5</v>
      </c>
      <c r="G144" t="str">
        <f>VLOOKUP(F144,Subcategories!$A$2:$B$29,2,0)</f>
        <v>Supplier Network</v>
      </c>
      <c r="H144" t="str">
        <f t="shared" si="2"/>
        <v>2-5-63</v>
      </c>
      <c r="I144">
        <f>VLOOKUP(H144,SuiteCatSubElem!$F$2:$G$666,2,0)</f>
        <v>97</v>
      </c>
      <c r="J144">
        <v>1</v>
      </c>
      <c r="K144">
        <v>63</v>
      </c>
      <c r="M144" t="s">
        <v>50</v>
      </c>
      <c r="N144" s="60">
        <v>43101</v>
      </c>
      <c r="O144" t="s">
        <v>50</v>
      </c>
      <c r="P144">
        <v>8</v>
      </c>
      <c r="Q144" t="s">
        <v>1358</v>
      </c>
      <c r="R144" s="43" t="s">
        <v>1155</v>
      </c>
      <c r="S144" s="109" t="s">
        <v>298</v>
      </c>
    </row>
    <row r="145" spans="1:19" ht="36">
      <c r="A145">
        <v>204</v>
      </c>
      <c r="B145" s="126" t="s">
        <v>100</v>
      </c>
      <c r="C145" s="27">
        <f>VLOOKUP(B145,Elements!$A$2:$B$435,2,0)</f>
        <v>63</v>
      </c>
      <c r="D145">
        <v>3</v>
      </c>
      <c r="E145" t="str">
        <f>VLOOKUP(D145,Categories!$A$2:$B$8,2,0)</f>
        <v>P2P</v>
      </c>
      <c r="F145">
        <v>5</v>
      </c>
      <c r="G145" t="str">
        <f>VLOOKUP(F145,Subcategories!$A$2:$B$29,2,0)</f>
        <v>Supplier Network</v>
      </c>
      <c r="H145" t="str">
        <f t="shared" si="2"/>
        <v>3-5-63</v>
      </c>
      <c r="I145">
        <f>VLOOKUP(H145,SuiteCatSubElem!$F$2:$G$666,2,0)</f>
        <v>203</v>
      </c>
      <c r="J145">
        <v>1</v>
      </c>
      <c r="K145">
        <v>63</v>
      </c>
      <c r="M145" t="s">
        <v>50</v>
      </c>
      <c r="N145" s="60">
        <v>43101</v>
      </c>
      <c r="O145" t="s">
        <v>50</v>
      </c>
      <c r="P145">
        <v>66</v>
      </c>
      <c r="Q145" t="s">
        <v>1358</v>
      </c>
      <c r="R145" s="43" t="s">
        <v>1155</v>
      </c>
      <c r="S145" s="109" t="s">
        <v>298</v>
      </c>
    </row>
    <row r="146" spans="1:19" ht="108">
      <c r="A146">
        <v>67</v>
      </c>
      <c r="B146" s="126" t="s">
        <v>101</v>
      </c>
      <c r="C146" s="27">
        <f>VLOOKUP(B146,Elements!$A$2:$B$435,2,0)</f>
        <v>64</v>
      </c>
      <c r="D146">
        <v>1</v>
      </c>
      <c r="E146" t="str">
        <f>VLOOKUP(D146,Categories!$A$2:$B$8,2,0)</f>
        <v>ePRO</v>
      </c>
      <c r="F146">
        <v>6</v>
      </c>
      <c r="G146" t="str">
        <f>VLOOKUP(F146,Subcategories!$A$2:$B$29,2,0)</f>
        <v>Configurability</v>
      </c>
      <c r="H146" t="str">
        <f t="shared" si="2"/>
        <v>1-6-64</v>
      </c>
      <c r="I146">
        <f>VLOOKUP(H146,SuiteCatSubElem!$F$2:$G$666,2,0)</f>
        <v>67</v>
      </c>
      <c r="J146">
        <v>1</v>
      </c>
      <c r="K146">
        <v>64</v>
      </c>
      <c r="M146" t="s">
        <v>50</v>
      </c>
      <c r="N146" s="60">
        <v>43101</v>
      </c>
      <c r="O146" t="s">
        <v>50</v>
      </c>
      <c r="P146">
        <v>67</v>
      </c>
      <c r="Q146" t="s">
        <v>1358</v>
      </c>
      <c r="R146" s="43" t="s">
        <v>1156</v>
      </c>
      <c r="S146" s="109" t="s">
        <v>298</v>
      </c>
    </row>
    <row r="147" spans="1:19" ht="108">
      <c r="A147">
        <v>99</v>
      </c>
      <c r="B147" s="126" t="s">
        <v>101</v>
      </c>
      <c r="C147" s="27">
        <f>VLOOKUP(B147,Elements!$A$2:$B$435,2,0)</f>
        <v>64</v>
      </c>
      <c r="D147">
        <v>2</v>
      </c>
      <c r="E147" t="str">
        <f>VLOOKUP(D147,Categories!$A$2:$B$8,2,0)</f>
        <v>I2P</v>
      </c>
      <c r="F147">
        <v>6</v>
      </c>
      <c r="G147" t="str">
        <f>VLOOKUP(F147,Subcategories!$A$2:$B$29,2,0)</f>
        <v>Configurability</v>
      </c>
      <c r="H147" t="str">
        <f t="shared" si="2"/>
        <v>2-6-64</v>
      </c>
      <c r="I147">
        <f>VLOOKUP(H147,SuiteCatSubElem!$F$2:$G$666,2,0)</f>
        <v>98</v>
      </c>
      <c r="J147">
        <v>1</v>
      </c>
      <c r="K147">
        <v>64</v>
      </c>
      <c r="M147" t="s">
        <v>50</v>
      </c>
      <c r="N147" s="60">
        <v>43101</v>
      </c>
      <c r="O147" t="s">
        <v>50</v>
      </c>
      <c r="P147">
        <v>9</v>
      </c>
      <c r="Q147" t="s">
        <v>1358</v>
      </c>
      <c r="R147" s="103" t="s">
        <v>1156</v>
      </c>
      <c r="S147" s="109" t="s">
        <v>298</v>
      </c>
    </row>
    <row r="148" spans="1:19" ht="108">
      <c r="A148">
        <v>205</v>
      </c>
      <c r="B148" s="126" t="s">
        <v>101</v>
      </c>
      <c r="C148" s="27">
        <f>VLOOKUP(B148,Elements!$A$2:$B$435,2,0)</f>
        <v>64</v>
      </c>
      <c r="D148">
        <v>3</v>
      </c>
      <c r="E148" t="str">
        <f>VLOOKUP(D148,Categories!$A$2:$B$8,2,0)</f>
        <v>P2P</v>
      </c>
      <c r="F148">
        <v>6</v>
      </c>
      <c r="G148" t="str">
        <f>VLOOKUP(F148,Subcategories!$A$2:$B$29,2,0)</f>
        <v>Configurability</v>
      </c>
      <c r="H148" t="str">
        <f t="shared" si="2"/>
        <v>3-6-64</v>
      </c>
      <c r="I148">
        <f>VLOOKUP(H148,SuiteCatSubElem!$F$2:$G$666,2,0)</f>
        <v>204</v>
      </c>
      <c r="J148">
        <v>1</v>
      </c>
      <c r="K148">
        <v>64</v>
      </c>
      <c r="M148" t="s">
        <v>50</v>
      </c>
      <c r="N148" s="60">
        <v>43101</v>
      </c>
      <c r="O148" t="s">
        <v>50</v>
      </c>
      <c r="P148">
        <v>67</v>
      </c>
      <c r="Q148" t="s">
        <v>1358</v>
      </c>
      <c r="R148" s="106" t="s">
        <v>1156</v>
      </c>
      <c r="S148" s="109" t="s">
        <v>298</v>
      </c>
    </row>
    <row r="149" spans="1:19" ht="48">
      <c r="A149">
        <v>68</v>
      </c>
      <c r="B149" s="126" t="s">
        <v>362</v>
      </c>
      <c r="C149" s="27">
        <f>VLOOKUP(B149,Elements!$A$2:$B$435,2,0)</f>
        <v>65</v>
      </c>
      <c r="D149">
        <v>1</v>
      </c>
      <c r="E149" t="str">
        <f>VLOOKUP(D149,Categories!$A$2:$B$8,2,0)</f>
        <v>ePRO</v>
      </c>
      <c r="F149">
        <v>6</v>
      </c>
      <c r="G149" t="str">
        <f>VLOOKUP(F149,Subcategories!$A$2:$B$29,2,0)</f>
        <v>Configurability</v>
      </c>
      <c r="H149" t="str">
        <f t="shared" si="2"/>
        <v>1-6-65</v>
      </c>
      <c r="I149">
        <f>VLOOKUP(H149,SuiteCatSubElem!$F$2:$G$666,2,0)</f>
        <v>68</v>
      </c>
      <c r="J149">
        <v>1</v>
      </c>
      <c r="K149">
        <v>65</v>
      </c>
      <c r="M149" t="s">
        <v>50</v>
      </c>
      <c r="N149" s="60">
        <v>43101</v>
      </c>
      <c r="O149" t="s">
        <v>50</v>
      </c>
      <c r="P149">
        <v>68</v>
      </c>
      <c r="Q149" t="s">
        <v>1358</v>
      </c>
      <c r="R149" s="50" t="s">
        <v>1364</v>
      </c>
    </row>
    <row r="150" spans="1:19" ht="49" thickBot="1">
      <c r="A150">
        <v>100</v>
      </c>
      <c r="B150" s="129" t="s">
        <v>362</v>
      </c>
      <c r="C150" s="27">
        <f>VLOOKUP(B150,Elements!$A$2:$B$435,2,0)</f>
        <v>65</v>
      </c>
      <c r="D150">
        <v>2</v>
      </c>
      <c r="E150" t="str">
        <f>VLOOKUP(D150,Categories!$A$2:$B$8,2,0)</f>
        <v>I2P</v>
      </c>
      <c r="F150">
        <v>6</v>
      </c>
      <c r="G150" t="str">
        <f>VLOOKUP(F150,Subcategories!$A$2:$B$29,2,0)</f>
        <v>Configurability</v>
      </c>
      <c r="H150" t="str">
        <f t="shared" si="2"/>
        <v>2-6-65</v>
      </c>
      <c r="I150">
        <f>VLOOKUP(H150,SuiteCatSubElem!$F$2:$G$666,2,0)</f>
        <v>99</v>
      </c>
      <c r="J150">
        <v>1</v>
      </c>
      <c r="K150">
        <v>65</v>
      </c>
      <c r="M150" t="s">
        <v>50</v>
      </c>
      <c r="N150" s="60">
        <v>43101</v>
      </c>
      <c r="O150" t="s">
        <v>50</v>
      </c>
      <c r="P150">
        <v>10</v>
      </c>
      <c r="Q150" t="s">
        <v>1358</v>
      </c>
      <c r="R150" s="106" t="s">
        <v>1364</v>
      </c>
      <c r="S150" s="109" t="s">
        <v>298</v>
      </c>
    </row>
    <row r="151" spans="1:19" ht="48">
      <c r="A151">
        <v>206</v>
      </c>
      <c r="B151" s="126" t="s">
        <v>362</v>
      </c>
      <c r="C151" s="27">
        <f>VLOOKUP(B151,Elements!$A$2:$B$435,2,0)</f>
        <v>65</v>
      </c>
      <c r="D151">
        <v>3</v>
      </c>
      <c r="E151" t="str">
        <f>VLOOKUP(D151,Categories!$A$2:$B$8,2,0)</f>
        <v>P2P</v>
      </c>
      <c r="F151">
        <v>6</v>
      </c>
      <c r="G151" t="str">
        <f>VLOOKUP(F151,Subcategories!$A$2:$B$29,2,0)</f>
        <v>Configurability</v>
      </c>
      <c r="H151" t="str">
        <f t="shared" si="2"/>
        <v>3-6-65</v>
      </c>
      <c r="I151">
        <f>VLOOKUP(H151,SuiteCatSubElem!$F$2:$G$666,2,0)</f>
        <v>205</v>
      </c>
      <c r="J151">
        <v>1</v>
      </c>
      <c r="K151">
        <v>65</v>
      </c>
      <c r="M151" t="s">
        <v>50</v>
      </c>
      <c r="N151" s="60">
        <v>43101</v>
      </c>
      <c r="O151" t="s">
        <v>50</v>
      </c>
      <c r="P151">
        <v>68</v>
      </c>
      <c r="Q151" t="s">
        <v>1358</v>
      </c>
      <c r="R151" s="44" t="s">
        <v>1364</v>
      </c>
      <c r="S151" s="109" t="s">
        <v>298</v>
      </c>
    </row>
    <row r="152" spans="1:19" ht="48">
      <c r="A152">
        <v>593</v>
      </c>
      <c r="B152" s="125" t="s">
        <v>362</v>
      </c>
      <c r="C152" s="27">
        <f>VLOOKUP(B152,Elements!$A$2:$B$435,2,0)</f>
        <v>65</v>
      </c>
      <c r="D152">
        <v>6</v>
      </c>
      <c r="E152" t="str">
        <f>VLOOKUP(D152,Categories!$A$2:$B$8,2,0)</f>
        <v>SXM</v>
      </c>
      <c r="F152">
        <v>6</v>
      </c>
      <c r="G152" t="str">
        <f>VLOOKUP(F152,Subcategories!$A$2:$B$29,2,0)</f>
        <v>Configurability</v>
      </c>
      <c r="H152" t="str">
        <f t="shared" si="2"/>
        <v>6-6-65</v>
      </c>
      <c r="I152">
        <f>VLOOKUP(H152,SuiteCatSubElem!$F$2:$G$666,2,0)</f>
        <v>587</v>
      </c>
      <c r="J152">
        <v>1</v>
      </c>
      <c r="K152">
        <v>65</v>
      </c>
      <c r="M152" t="s">
        <v>50</v>
      </c>
      <c r="N152" s="60">
        <v>43101</v>
      </c>
      <c r="O152" t="s">
        <v>50</v>
      </c>
      <c r="P152">
        <v>94</v>
      </c>
      <c r="Q152" t="s">
        <v>1358</v>
      </c>
      <c r="R152" s="44" t="s">
        <v>1364</v>
      </c>
      <c r="S152" s="109" t="s">
        <v>298</v>
      </c>
    </row>
    <row r="153" spans="1:19" ht="48">
      <c r="A153">
        <v>670</v>
      </c>
      <c r="B153" s="126" t="s">
        <v>362</v>
      </c>
      <c r="C153" s="27">
        <f>VLOOKUP(B153,Elements!$A$2:$B$435,2,0)</f>
        <v>65</v>
      </c>
      <c r="D153">
        <v>7</v>
      </c>
      <c r="E153" t="str">
        <f>VLOOKUP(D153,Categories!$A$2:$B$8,2,0)</f>
        <v>CLM</v>
      </c>
      <c r="F153">
        <v>6</v>
      </c>
      <c r="G153" t="str">
        <f>VLOOKUP(F153,Subcategories!$A$2:$B$29,2,0)</f>
        <v>Configurability</v>
      </c>
      <c r="H153" t="str">
        <f t="shared" si="2"/>
        <v>7-6-65</v>
      </c>
      <c r="I153">
        <f>VLOOKUP(H153,SuiteCatSubElem!$F$2:$G$666,2,0)</f>
        <v>661</v>
      </c>
      <c r="J153">
        <v>1</v>
      </c>
      <c r="K153">
        <v>65</v>
      </c>
      <c r="M153" t="s">
        <v>50</v>
      </c>
      <c r="N153" s="60">
        <v>43101</v>
      </c>
      <c r="O153" t="s">
        <v>50</v>
      </c>
      <c r="P153">
        <v>67</v>
      </c>
      <c r="Q153" t="s">
        <v>1358</v>
      </c>
      <c r="R153" s="44" t="s">
        <v>1364</v>
      </c>
      <c r="S153" s="109" t="s">
        <v>298</v>
      </c>
    </row>
    <row r="154" spans="1:19" ht="37">
      <c r="A154">
        <v>69</v>
      </c>
      <c r="B154" s="126" t="s">
        <v>286</v>
      </c>
      <c r="C154" s="27">
        <f>VLOOKUP(B154,Elements!$A$2:$B$435,2,0)</f>
        <v>66</v>
      </c>
      <c r="D154">
        <v>1</v>
      </c>
      <c r="E154" t="str">
        <f>VLOOKUP(D154,Categories!$A$2:$B$8,2,0)</f>
        <v>ePRO</v>
      </c>
      <c r="F154">
        <v>6</v>
      </c>
      <c r="G154" t="str">
        <f>VLOOKUP(F154,Subcategories!$A$2:$B$29,2,0)</f>
        <v>Configurability</v>
      </c>
      <c r="H154" t="str">
        <f t="shared" si="2"/>
        <v>1-6-66</v>
      </c>
      <c r="I154">
        <f>VLOOKUP(H154,SuiteCatSubElem!$F$2:$G$666,2,0)</f>
        <v>69</v>
      </c>
      <c r="J154">
        <v>1</v>
      </c>
      <c r="K154">
        <v>66</v>
      </c>
      <c r="M154" t="s">
        <v>50</v>
      </c>
      <c r="N154" s="60">
        <v>43101</v>
      </c>
      <c r="O154" t="s">
        <v>50</v>
      </c>
      <c r="P154">
        <v>69</v>
      </c>
      <c r="Q154" t="s">
        <v>1358</v>
      </c>
      <c r="R154" s="44" t="s">
        <v>841</v>
      </c>
      <c r="S154" s="109" t="s">
        <v>842</v>
      </c>
    </row>
    <row r="155" spans="1:19" ht="37">
      <c r="A155">
        <v>101</v>
      </c>
      <c r="B155" s="126" t="s">
        <v>286</v>
      </c>
      <c r="C155" s="27">
        <f>VLOOKUP(B155,Elements!$A$2:$B$435,2,0)</f>
        <v>66</v>
      </c>
      <c r="D155">
        <v>2</v>
      </c>
      <c r="E155" t="str">
        <f>VLOOKUP(D155,Categories!$A$2:$B$8,2,0)</f>
        <v>I2P</v>
      </c>
      <c r="F155">
        <v>6</v>
      </c>
      <c r="G155" t="str">
        <f>VLOOKUP(F155,Subcategories!$A$2:$B$29,2,0)</f>
        <v>Configurability</v>
      </c>
      <c r="H155" t="str">
        <f t="shared" si="2"/>
        <v>2-6-66</v>
      </c>
      <c r="I155">
        <f>VLOOKUP(H155,SuiteCatSubElem!$F$2:$G$666,2,0)</f>
        <v>100</v>
      </c>
      <c r="J155">
        <v>1</v>
      </c>
      <c r="K155">
        <v>66</v>
      </c>
      <c r="M155" t="s">
        <v>50</v>
      </c>
      <c r="N155" s="60">
        <v>43101</v>
      </c>
      <c r="O155" t="s">
        <v>50</v>
      </c>
      <c r="P155">
        <v>11</v>
      </c>
      <c r="Q155" t="s">
        <v>1358</v>
      </c>
      <c r="R155" s="44" t="s">
        <v>841</v>
      </c>
      <c r="S155" s="109" t="s">
        <v>842</v>
      </c>
    </row>
    <row r="156" spans="1:19" ht="37">
      <c r="A156">
        <v>207</v>
      </c>
      <c r="B156" s="126" t="s">
        <v>286</v>
      </c>
      <c r="C156" s="27">
        <f>VLOOKUP(B156,Elements!$A$2:$B$435,2,0)</f>
        <v>66</v>
      </c>
      <c r="D156">
        <v>3</v>
      </c>
      <c r="E156" t="str">
        <f>VLOOKUP(D156,Categories!$A$2:$B$8,2,0)</f>
        <v>P2P</v>
      </c>
      <c r="F156">
        <v>6</v>
      </c>
      <c r="G156" t="str">
        <f>VLOOKUP(F156,Subcategories!$A$2:$B$29,2,0)</f>
        <v>Configurability</v>
      </c>
      <c r="H156" t="str">
        <f t="shared" si="2"/>
        <v>3-6-66</v>
      </c>
      <c r="I156">
        <f>VLOOKUP(H156,SuiteCatSubElem!$F$2:$G$666,2,0)</f>
        <v>206</v>
      </c>
      <c r="J156">
        <v>1</v>
      </c>
      <c r="K156">
        <v>66</v>
      </c>
      <c r="M156" t="s">
        <v>50</v>
      </c>
      <c r="N156" s="60">
        <v>43101</v>
      </c>
      <c r="O156" t="s">
        <v>50</v>
      </c>
      <c r="P156">
        <v>69</v>
      </c>
      <c r="Q156" t="s">
        <v>1358</v>
      </c>
      <c r="R156" s="44" t="s">
        <v>841</v>
      </c>
      <c r="S156" s="109" t="s">
        <v>842</v>
      </c>
    </row>
    <row r="157" spans="1:19" ht="37">
      <c r="A157">
        <v>402</v>
      </c>
      <c r="B157" s="125" t="s">
        <v>286</v>
      </c>
      <c r="C157" s="27">
        <f>VLOOKUP(B157,Elements!$A$2:$B$435,2,0)</f>
        <v>66</v>
      </c>
      <c r="D157">
        <v>4</v>
      </c>
      <c r="E157" t="str">
        <f>VLOOKUP(D157,Categories!$A$2:$B$8,2,0)</f>
        <v>Sourcing</v>
      </c>
      <c r="F157">
        <v>6</v>
      </c>
      <c r="G157" t="str">
        <f>VLOOKUP(F157,Subcategories!$A$2:$B$29,2,0)</f>
        <v>Configurability</v>
      </c>
      <c r="H157" t="str">
        <f t="shared" si="2"/>
        <v>4-6-66</v>
      </c>
      <c r="I157">
        <f>VLOOKUP(H157,SuiteCatSubElem!$F$2:$G$666,2,0)</f>
        <v>396</v>
      </c>
      <c r="J157">
        <v>1</v>
      </c>
      <c r="K157">
        <v>66</v>
      </c>
      <c r="M157" t="s">
        <v>50</v>
      </c>
      <c r="N157" s="60">
        <v>43101</v>
      </c>
      <c r="O157" t="s">
        <v>50</v>
      </c>
      <c r="P157">
        <v>153</v>
      </c>
      <c r="Q157" t="s">
        <v>1358</v>
      </c>
      <c r="R157" s="44" t="s">
        <v>841</v>
      </c>
      <c r="S157" s="109" t="s">
        <v>842</v>
      </c>
    </row>
    <row r="158" spans="1:19" ht="37">
      <c r="A158">
        <v>492</v>
      </c>
      <c r="B158" s="126" t="s">
        <v>286</v>
      </c>
      <c r="C158" s="27">
        <f>VLOOKUP(B158,Elements!$A$2:$B$435,2,0)</f>
        <v>66</v>
      </c>
      <c r="D158">
        <v>5</v>
      </c>
      <c r="E158" t="str">
        <f>VLOOKUP(D158,Categories!$A$2:$B$8,2,0)</f>
        <v>SA</v>
      </c>
      <c r="F158">
        <v>6</v>
      </c>
      <c r="G158" t="str">
        <f>VLOOKUP(F158,Subcategories!$A$2:$B$29,2,0)</f>
        <v>Configurability</v>
      </c>
      <c r="H158" t="str">
        <f t="shared" si="2"/>
        <v>5-6-66</v>
      </c>
      <c r="I158">
        <f>VLOOKUP(H158,SuiteCatSubElem!$F$2:$G$666,2,0)</f>
        <v>486</v>
      </c>
      <c r="J158">
        <v>1</v>
      </c>
      <c r="K158">
        <v>66</v>
      </c>
      <c r="M158" t="s">
        <v>50</v>
      </c>
      <c r="N158" s="60">
        <v>43101</v>
      </c>
      <c r="O158" t="s">
        <v>50</v>
      </c>
      <c r="P158">
        <v>78</v>
      </c>
      <c r="Q158" t="s">
        <v>1358</v>
      </c>
      <c r="R158" s="44" t="s">
        <v>841</v>
      </c>
      <c r="S158" s="109" t="s">
        <v>842</v>
      </c>
    </row>
    <row r="159" spans="1:19" ht="37">
      <c r="A159">
        <v>595</v>
      </c>
      <c r="B159" s="125" t="s">
        <v>286</v>
      </c>
      <c r="C159" s="27">
        <f>VLOOKUP(B159,Elements!$A$2:$B$435,2,0)</f>
        <v>66</v>
      </c>
      <c r="D159">
        <v>6</v>
      </c>
      <c r="E159" t="str">
        <f>VLOOKUP(D159,Categories!$A$2:$B$8,2,0)</f>
        <v>SXM</v>
      </c>
      <c r="F159">
        <v>6</v>
      </c>
      <c r="G159" t="str">
        <f>VLOOKUP(F159,Subcategories!$A$2:$B$29,2,0)</f>
        <v>Configurability</v>
      </c>
      <c r="H159" t="str">
        <f t="shared" si="2"/>
        <v>6-6-66</v>
      </c>
      <c r="I159">
        <f>VLOOKUP(H159,SuiteCatSubElem!$F$2:$G$666,2,0)</f>
        <v>589</v>
      </c>
      <c r="J159">
        <v>1</v>
      </c>
      <c r="K159">
        <v>66</v>
      </c>
      <c r="M159" t="s">
        <v>50</v>
      </c>
      <c r="N159" s="60">
        <v>43101</v>
      </c>
      <c r="O159" t="s">
        <v>50</v>
      </c>
      <c r="P159">
        <v>96</v>
      </c>
      <c r="Q159" t="s">
        <v>1358</v>
      </c>
      <c r="R159" s="44" t="s">
        <v>841</v>
      </c>
      <c r="S159" s="109" t="s">
        <v>842</v>
      </c>
    </row>
    <row r="160" spans="1:19" ht="36">
      <c r="A160">
        <v>70</v>
      </c>
      <c r="B160" s="128" t="s">
        <v>288</v>
      </c>
      <c r="C160" s="27">
        <f>VLOOKUP(B160,Elements!$A$2:$B$435,2,0)</f>
        <v>67</v>
      </c>
      <c r="D160">
        <v>1</v>
      </c>
      <c r="E160" t="str">
        <f>VLOOKUP(D160,Categories!$A$2:$B$8,2,0)</f>
        <v>ePRO</v>
      </c>
      <c r="F160">
        <v>6</v>
      </c>
      <c r="G160" t="str">
        <f>VLOOKUP(F160,Subcategories!$A$2:$B$29,2,0)</f>
        <v>Configurability</v>
      </c>
      <c r="H160" t="str">
        <f t="shared" si="2"/>
        <v>1-6-67</v>
      </c>
      <c r="I160">
        <f>VLOOKUP(H160,SuiteCatSubElem!$F$2:$G$666,2,0)</f>
        <v>70</v>
      </c>
      <c r="J160">
        <v>1</v>
      </c>
      <c r="K160">
        <v>67</v>
      </c>
      <c r="M160" t="s">
        <v>50</v>
      </c>
      <c r="N160" s="60">
        <v>43101</v>
      </c>
      <c r="O160" t="s">
        <v>50</v>
      </c>
      <c r="P160">
        <v>70</v>
      </c>
      <c r="Q160" t="s">
        <v>1358</v>
      </c>
      <c r="R160" s="44" t="s">
        <v>1159</v>
      </c>
      <c r="S160" s="109" t="s">
        <v>298</v>
      </c>
    </row>
    <row r="161" spans="1:19" ht="36">
      <c r="A161">
        <v>102</v>
      </c>
      <c r="B161" s="128" t="s">
        <v>288</v>
      </c>
      <c r="C161" s="27">
        <f>VLOOKUP(B161,Elements!$A$2:$B$435,2,0)</f>
        <v>67</v>
      </c>
      <c r="D161">
        <v>2</v>
      </c>
      <c r="E161" t="str">
        <f>VLOOKUP(D161,Categories!$A$2:$B$8,2,0)</f>
        <v>I2P</v>
      </c>
      <c r="F161">
        <v>6</v>
      </c>
      <c r="G161" t="str">
        <f>VLOOKUP(F161,Subcategories!$A$2:$B$29,2,0)</f>
        <v>Configurability</v>
      </c>
      <c r="H161" t="str">
        <f t="shared" si="2"/>
        <v>2-6-67</v>
      </c>
      <c r="I161">
        <f>VLOOKUP(H161,SuiteCatSubElem!$F$2:$G$666,2,0)</f>
        <v>101</v>
      </c>
      <c r="J161">
        <v>1</v>
      </c>
      <c r="K161">
        <v>67</v>
      </c>
      <c r="M161" t="s">
        <v>50</v>
      </c>
      <c r="N161" s="60">
        <v>43101</v>
      </c>
      <c r="O161" t="s">
        <v>50</v>
      </c>
      <c r="P161">
        <v>12</v>
      </c>
      <c r="Q161" t="s">
        <v>1358</v>
      </c>
      <c r="R161" s="44" t="s">
        <v>1159</v>
      </c>
      <c r="S161" s="109" t="s">
        <v>298</v>
      </c>
    </row>
    <row r="162" spans="1:19" ht="36">
      <c r="A162">
        <v>208</v>
      </c>
      <c r="B162" s="128" t="s">
        <v>288</v>
      </c>
      <c r="C162" s="27">
        <f>VLOOKUP(B162,Elements!$A$2:$B$435,2,0)</f>
        <v>67</v>
      </c>
      <c r="D162">
        <v>3</v>
      </c>
      <c r="E162" t="str">
        <f>VLOOKUP(D162,Categories!$A$2:$B$8,2,0)</f>
        <v>P2P</v>
      </c>
      <c r="F162">
        <v>6</v>
      </c>
      <c r="G162" t="str">
        <f>VLOOKUP(F162,Subcategories!$A$2:$B$29,2,0)</f>
        <v>Configurability</v>
      </c>
      <c r="H162" t="str">
        <f t="shared" si="2"/>
        <v>3-6-67</v>
      </c>
      <c r="I162">
        <f>VLOOKUP(H162,SuiteCatSubElem!$F$2:$G$666,2,0)</f>
        <v>207</v>
      </c>
      <c r="J162">
        <v>1</v>
      </c>
      <c r="K162">
        <v>67</v>
      </c>
      <c r="M162" t="s">
        <v>50</v>
      </c>
      <c r="N162" s="60">
        <v>43101</v>
      </c>
      <c r="O162" t="s">
        <v>50</v>
      </c>
      <c r="P162">
        <v>70</v>
      </c>
      <c r="Q162" t="s">
        <v>1358</v>
      </c>
      <c r="R162" s="44" t="s">
        <v>1159</v>
      </c>
      <c r="S162" s="109" t="s">
        <v>298</v>
      </c>
    </row>
    <row r="163" spans="1:19" ht="24">
      <c r="A163">
        <v>71</v>
      </c>
      <c r="B163" s="126" t="s">
        <v>104</v>
      </c>
      <c r="C163" s="27">
        <f>VLOOKUP(B163,Elements!$A$2:$B$435,2,0)</f>
        <v>68</v>
      </c>
      <c r="D163">
        <v>1</v>
      </c>
      <c r="E163" t="str">
        <f>VLOOKUP(D163,Categories!$A$2:$B$8,2,0)</f>
        <v>ePRO</v>
      </c>
      <c r="F163">
        <v>6</v>
      </c>
      <c r="G163" t="str">
        <f>VLOOKUP(F163,Subcategories!$A$2:$B$29,2,0)</f>
        <v>Configurability</v>
      </c>
      <c r="H163" t="str">
        <f t="shared" si="2"/>
        <v>1-6-68</v>
      </c>
      <c r="I163">
        <f>VLOOKUP(H163,SuiteCatSubElem!$F$2:$G$666,2,0)</f>
        <v>71</v>
      </c>
      <c r="J163">
        <v>1</v>
      </c>
      <c r="K163">
        <v>68</v>
      </c>
      <c r="M163" t="s">
        <v>50</v>
      </c>
      <c r="N163" s="60">
        <v>43101</v>
      </c>
      <c r="O163" t="s">
        <v>50</v>
      </c>
      <c r="P163">
        <v>71</v>
      </c>
      <c r="Q163" t="s">
        <v>1358</v>
      </c>
      <c r="R163" s="44" t="s">
        <v>1160</v>
      </c>
      <c r="S163" s="109" t="s">
        <v>298</v>
      </c>
    </row>
    <row r="164" spans="1:19" ht="24">
      <c r="A164">
        <v>103</v>
      </c>
      <c r="B164" s="126" t="s">
        <v>104</v>
      </c>
      <c r="C164" s="27">
        <f>VLOOKUP(B164,Elements!$A$2:$B$435,2,0)</f>
        <v>68</v>
      </c>
      <c r="D164">
        <v>2</v>
      </c>
      <c r="E164" t="str">
        <f>VLOOKUP(D164,Categories!$A$2:$B$8,2,0)</f>
        <v>I2P</v>
      </c>
      <c r="F164">
        <v>6</v>
      </c>
      <c r="G164" t="str">
        <f>VLOOKUP(F164,Subcategories!$A$2:$B$29,2,0)</f>
        <v>Configurability</v>
      </c>
      <c r="H164" t="str">
        <f t="shared" si="2"/>
        <v>2-6-68</v>
      </c>
      <c r="I164">
        <f>VLOOKUP(H164,SuiteCatSubElem!$F$2:$G$666,2,0)</f>
        <v>102</v>
      </c>
      <c r="J164">
        <v>1</v>
      </c>
      <c r="K164">
        <v>68</v>
      </c>
      <c r="M164" t="s">
        <v>50</v>
      </c>
      <c r="N164" s="60">
        <v>43101</v>
      </c>
      <c r="O164" t="s">
        <v>50</v>
      </c>
      <c r="P164">
        <v>13</v>
      </c>
      <c r="Q164" t="s">
        <v>1358</v>
      </c>
      <c r="R164" s="44" t="s">
        <v>1160</v>
      </c>
      <c r="S164" s="109" t="s">
        <v>298</v>
      </c>
    </row>
    <row r="165" spans="1:19" ht="24">
      <c r="A165">
        <v>209</v>
      </c>
      <c r="B165" s="126" t="s">
        <v>104</v>
      </c>
      <c r="C165" s="27">
        <f>VLOOKUP(B165,Elements!$A$2:$B$435,2,0)</f>
        <v>68</v>
      </c>
      <c r="D165">
        <v>3</v>
      </c>
      <c r="E165" t="str">
        <f>VLOOKUP(D165,Categories!$A$2:$B$8,2,0)</f>
        <v>P2P</v>
      </c>
      <c r="F165">
        <v>6</v>
      </c>
      <c r="G165" t="str">
        <f>VLOOKUP(F165,Subcategories!$A$2:$B$29,2,0)</f>
        <v>Configurability</v>
      </c>
      <c r="H165" t="str">
        <f t="shared" si="2"/>
        <v>3-6-68</v>
      </c>
      <c r="I165">
        <f>VLOOKUP(H165,SuiteCatSubElem!$F$2:$G$666,2,0)</f>
        <v>208</v>
      </c>
      <c r="J165">
        <v>1</v>
      </c>
      <c r="K165">
        <v>68</v>
      </c>
      <c r="M165" t="s">
        <v>50</v>
      </c>
      <c r="N165" s="60">
        <v>43101</v>
      </c>
      <c r="O165" t="s">
        <v>50</v>
      </c>
      <c r="P165">
        <v>71</v>
      </c>
      <c r="Q165" t="s">
        <v>1358</v>
      </c>
      <c r="R165" s="44" t="s">
        <v>1160</v>
      </c>
      <c r="S165" s="109" t="s">
        <v>298</v>
      </c>
    </row>
    <row r="166" spans="1:19" ht="24">
      <c r="A166">
        <v>72</v>
      </c>
      <c r="B166" s="126" t="s">
        <v>105</v>
      </c>
      <c r="C166" s="27">
        <f>VLOOKUP(B166,Elements!$A$2:$B$435,2,0)</f>
        <v>69</v>
      </c>
      <c r="D166">
        <v>1</v>
      </c>
      <c r="E166" t="str">
        <f>VLOOKUP(D166,Categories!$A$2:$B$8,2,0)</f>
        <v>ePRO</v>
      </c>
      <c r="F166">
        <v>6</v>
      </c>
      <c r="G166" t="str">
        <f>VLOOKUP(F166,Subcategories!$A$2:$B$29,2,0)</f>
        <v>Configurability</v>
      </c>
      <c r="H166" t="str">
        <f t="shared" si="2"/>
        <v>1-6-69</v>
      </c>
      <c r="I166">
        <f>VLOOKUP(H166,SuiteCatSubElem!$F$2:$G$666,2,0)</f>
        <v>72</v>
      </c>
      <c r="J166">
        <v>1</v>
      </c>
      <c r="K166">
        <v>69</v>
      </c>
      <c r="M166" t="s">
        <v>50</v>
      </c>
      <c r="N166" s="60">
        <v>43101</v>
      </c>
      <c r="O166" t="s">
        <v>50</v>
      </c>
      <c r="P166">
        <v>72</v>
      </c>
      <c r="Q166" t="s">
        <v>1358</v>
      </c>
      <c r="R166" s="44" t="s">
        <v>1161</v>
      </c>
      <c r="S166" s="109" t="s">
        <v>298</v>
      </c>
    </row>
    <row r="167" spans="1:19" ht="24">
      <c r="A167">
        <v>104</v>
      </c>
      <c r="B167" s="126" t="s">
        <v>105</v>
      </c>
      <c r="C167" s="27">
        <f>VLOOKUP(B167,Elements!$A$2:$B$435,2,0)</f>
        <v>69</v>
      </c>
      <c r="D167">
        <v>2</v>
      </c>
      <c r="E167" t="str">
        <f>VLOOKUP(D167,Categories!$A$2:$B$8,2,0)</f>
        <v>I2P</v>
      </c>
      <c r="F167">
        <v>6</v>
      </c>
      <c r="G167" t="str">
        <f>VLOOKUP(F167,Subcategories!$A$2:$B$29,2,0)</f>
        <v>Configurability</v>
      </c>
      <c r="H167" t="str">
        <f t="shared" si="2"/>
        <v>2-6-69</v>
      </c>
      <c r="I167">
        <f>VLOOKUP(H167,SuiteCatSubElem!$F$2:$G$666,2,0)</f>
        <v>103</v>
      </c>
      <c r="J167">
        <v>1</v>
      </c>
      <c r="K167">
        <v>69</v>
      </c>
      <c r="M167" t="s">
        <v>50</v>
      </c>
      <c r="N167" s="60">
        <v>43101</v>
      </c>
      <c r="O167" t="s">
        <v>50</v>
      </c>
      <c r="P167">
        <v>14</v>
      </c>
      <c r="Q167" t="s">
        <v>1358</v>
      </c>
      <c r="R167" s="44" t="s">
        <v>1161</v>
      </c>
      <c r="S167" s="109" t="s">
        <v>298</v>
      </c>
    </row>
    <row r="168" spans="1:19" ht="24">
      <c r="A168">
        <v>210</v>
      </c>
      <c r="B168" s="126" t="s">
        <v>105</v>
      </c>
      <c r="C168" s="27">
        <f>VLOOKUP(B168,Elements!$A$2:$B$435,2,0)</f>
        <v>69</v>
      </c>
      <c r="D168">
        <v>3</v>
      </c>
      <c r="E168" t="str">
        <f>VLOOKUP(D168,Categories!$A$2:$B$8,2,0)</f>
        <v>P2P</v>
      </c>
      <c r="F168">
        <v>6</v>
      </c>
      <c r="G168" t="str">
        <f>VLOOKUP(F168,Subcategories!$A$2:$B$29,2,0)</f>
        <v>Configurability</v>
      </c>
      <c r="H168" t="str">
        <f t="shared" si="2"/>
        <v>3-6-69</v>
      </c>
      <c r="I168">
        <f>VLOOKUP(H168,SuiteCatSubElem!$F$2:$G$666,2,0)</f>
        <v>209</v>
      </c>
      <c r="J168">
        <v>1</v>
      </c>
      <c r="K168">
        <v>69</v>
      </c>
      <c r="M168" t="s">
        <v>50</v>
      </c>
      <c r="N168" s="60">
        <v>43101</v>
      </c>
      <c r="O168" t="s">
        <v>50</v>
      </c>
      <c r="P168">
        <v>72</v>
      </c>
      <c r="Q168" t="s">
        <v>1358</v>
      </c>
      <c r="R168" s="44" t="s">
        <v>1161</v>
      </c>
      <c r="S168" s="109" t="s">
        <v>298</v>
      </c>
    </row>
    <row r="169" spans="1:19" ht="24">
      <c r="A169">
        <v>73</v>
      </c>
      <c r="B169" s="126" t="s">
        <v>106</v>
      </c>
      <c r="C169" s="27">
        <f>VLOOKUP(B169,Elements!$A$2:$B$435,2,0)</f>
        <v>70</v>
      </c>
      <c r="D169">
        <v>1</v>
      </c>
      <c r="E169" t="str">
        <f>VLOOKUP(D169,Categories!$A$2:$B$8,2,0)</f>
        <v>ePRO</v>
      </c>
      <c r="F169">
        <v>6</v>
      </c>
      <c r="G169" t="str">
        <f>VLOOKUP(F169,Subcategories!$A$2:$B$29,2,0)</f>
        <v>Configurability</v>
      </c>
      <c r="H169" t="str">
        <f t="shared" si="2"/>
        <v>1-6-70</v>
      </c>
      <c r="I169">
        <f>VLOOKUP(H169,SuiteCatSubElem!$F$2:$G$666,2,0)</f>
        <v>73</v>
      </c>
      <c r="J169">
        <v>1</v>
      </c>
      <c r="K169">
        <v>70</v>
      </c>
      <c r="M169" t="s">
        <v>50</v>
      </c>
      <c r="N169" s="60">
        <v>43101</v>
      </c>
      <c r="O169" t="s">
        <v>50</v>
      </c>
      <c r="P169">
        <v>73</v>
      </c>
      <c r="Q169" t="s">
        <v>1358</v>
      </c>
      <c r="R169" s="44" t="s">
        <v>1162</v>
      </c>
      <c r="S169" s="109" t="s">
        <v>298</v>
      </c>
    </row>
    <row r="170" spans="1:19" ht="24">
      <c r="A170">
        <v>105</v>
      </c>
      <c r="B170" s="126" t="s">
        <v>106</v>
      </c>
      <c r="C170" s="27">
        <f>VLOOKUP(B170,Elements!$A$2:$B$435,2,0)</f>
        <v>70</v>
      </c>
      <c r="D170">
        <v>2</v>
      </c>
      <c r="E170" t="str">
        <f>VLOOKUP(D170,Categories!$A$2:$B$8,2,0)</f>
        <v>I2P</v>
      </c>
      <c r="F170">
        <v>6</v>
      </c>
      <c r="G170" t="str">
        <f>VLOOKUP(F170,Subcategories!$A$2:$B$29,2,0)</f>
        <v>Configurability</v>
      </c>
      <c r="H170" t="str">
        <f t="shared" si="2"/>
        <v>2-6-70</v>
      </c>
      <c r="I170">
        <f>VLOOKUP(H170,SuiteCatSubElem!$F$2:$G$666,2,0)</f>
        <v>104</v>
      </c>
      <c r="J170">
        <v>1</v>
      </c>
      <c r="K170">
        <v>70</v>
      </c>
      <c r="M170" t="s">
        <v>50</v>
      </c>
      <c r="N170" s="60">
        <v>43101</v>
      </c>
      <c r="O170" t="s">
        <v>50</v>
      </c>
      <c r="P170">
        <v>15</v>
      </c>
      <c r="Q170" t="s">
        <v>1358</v>
      </c>
      <c r="R170" s="44" t="s">
        <v>1162</v>
      </c>
      <c r="S170" s="109" t="s">
        <v>298</v>
      </c>
    </row>
    <row r="171" spans="1:19" ht="24">
      <c r="A171">
        <v>211</v>
      </c>
      <c r="B171" s="126" t="s">
        <v>106</v>
      </c>
      <c r="C171" s="27">
        <f>VLOOKUP(B171,Elements!$A$2:$B$435,2,0)</f>
        <v>70</v>
      </c>
      <c r="D171">
        <v>3</v>
      </c>
      <c r="E171" t="str">
        <f>VLOOKUP(D171,Categories!$A$2:$B$8,2,0)</f>
        <v>P2P</v>
      </c>
      <c r="F171">
        <v>6</v>
      </c>
      <c r="G171" t="str">
        <f>VLOOKUP(F171,Subcategories!$A$2:$B$29,2,0)</f>
        <v>Configurability</v>
      </c>
      <c r="H171" t="str">
        <f t="shared" si="2"/>
        <v>3-6-70</v>
      </c>
      <c r="I171">
        <f>VLOOKUP(H171,SuiteCatSubElem!$F$2:$G$666,2,0)</f>
        <v>210</v>
      </c>
      <c r="J171">
        <v>1</v>
      </c>
      <c r="K171">
        <v>70</v>
      </c>
      <c r="M171" t="s">
        <v>50</v>
      </c>
      <c r="N171" s="60">
        <v>43101</v>
      </c>
      <c r="O171" t="s">
        <v>50</v>
      </c>
      <c r="P171">
        <v>73</v>
      </c>
      <c r="Q171" t="s">
        <v>1358</v>
      </c>
      <c r="R171" s="44" t="s">
        <v>1162</v>
      </c>
      <c r="S171" s="109" t="s">
        <v>298</v>
      </c>
    </row>
    <row r="172" spans="1:19" ht="72">
      <c r="A172">
        <v>74</v>
      </c>
      <c r="B172" s="126" t="s">
        <v>526</v>
      </c>
      <c r="C172" s="27">
        <f>VLOOKUP(B172,Elements!$A$2:$B$435,2,0)</f>
        <v>71</v>
      </c>
      <c r="D172">
        <v>1</v>
      </c>
      <c r="E172" t="str">
        <f>VLOOKUP(D172,Categories!$A$2:$B$8,2,0)</f>
        <v>ePRO</v>
      </c>
      <c r="F172">
        <v>7</v>
      </c>
      <c r="G172" t="str">
        <f>VLOOKUP(F172,Subcategories!$A$2:$B$29,2,0)</f>
        <v>Technology</v>
      </c>
      <c r="H172" t="str">
        <f t="shared" si="2"/>
        <v>1-7-71</v>
      </c>
      <c r="I172">
        <f>VLOOKUP(H172,SuiteCatSubElem!$F$2:$G$666,2,0)</f>
        <v>74</v>
      </c>
      <c r="J172">
        <v>1</v>
      </c>
      <c r="K172">
        <v>71</v>
      </c>
      <c r="M172" t="s">
        <v>50</v>
      </c>
      <c r="N172" s="60">
        <v>43101</v>
      </c>
      <c r="O172" t="s">
        <v>50</v>
      </c>
      <c r="P172">
        <v>74</v>
      </c>
      <c r="Q172" t="s">
        <v>1358</v>
      </c>
      <c r="R172" s="44" t="s">
        <v>1163</v>
      </c>
      <c r="S172" s="109" t="s">
        <v>298</v>
      </c>
    </row>
    <row r="173" spans="1:19" ht="72">
      <c r="A173">
        <v>106</v>
      </c>
      <c r="B173" s="126" t="s">
        <v>526</v>
      </c>
      <c r="C173" s="27">
        <f>VLOOKUP(B173,Elements!$A$2:$B$435,2,0)</f>
        <v>71</v>
      </c>
      <c r="D173">
        <v>2</v>
      </c>
      <c r="E173" t="str">
        <f>VLOOKUP(D173,Categories!$A$2:$B$8,2,0)</f>
        <v>I2P</v>
      </c>
      <c r="F173">
        <v>7</v>
      </c>
      <c r="G173" t="str">
        <f>VLOOKUP(F173,Subcategories!$A$2:$B$29,2,0)</f>
        <v>Technology</v>
      </c>
      <c r="H173" t="str">
        <f t="shared" si="2"/>
        <v>2-7-71</v>
      </c>
      <c r="I173">
        <f>VLOOKUP(H173,SuiteCatSubElem!$F$2:$G$666,2,0)</f>
        <v>105</v>
      </c>
      <c r="J173">
        <v>1</v>
      </c>
      <c r="K173">
        <v>71</v>
      </c>
      <c r="M173" t="s">
        <v>50</v>
      </c>
      <c r="N173" s="60">
        <v>43101</v>
      </c>
      <c r="O173" t="s">
        <v>50</v>
      </c>
      <c r="P173">
        <v>16</v>
      </c>
      <c r="Q173" t="s">
        <v>1358</v>
      </c>
      <c r="R173" s="44" t="s">
        <v>1163</v>
      </c>
      <c r="S173" s="109" t="s">
        <v>298</v>
      </c>
    </row>
    <row r="174" spans="1:19" ht="72">
      <c r="A174">
        <v>212</v>
      </c>
      <c r="B174" s="126" t="s">
        <v>526</v>
      </c>
      <c r="C174" s="27">
        <f>VLOOKUP(B174,Elements!$A$2:$B$435,2,0)</f>
        <v>71</v>
      </c>
      <c r="D174">
        <v>3</v>
      </c>
      <c r="E174" t="str">
        <f>VLOOKUP(D174,Categories!$A$2:$B$8,2,0)</f>
        <v>P2P</v>
      </c>
      <c r="F174">
        <v>7</v>
      </c>
      <c r="G174" t="str">
        <f>VLOOKUP(F174,Subcategories!$A$2:$B$29,2,0)</f>
        <v>Technology</v>
      </c>
      <c r="H174" t="str">
        <f t="shared" si="2"/>
        <v>3-7-71</v>
      </c>
      <c r="I174">
        <f>VLOOKUP(H174,SuiteCatSubElem!$F$2:$G$666,2,0)</f>
        <v>211</v>
      </c>
      <c r="J174">
        <v>1</v>
      </c>
      <c r="K174">
        <v>71</v>
      </c>
      <c r="M174" t="s">
        <v>50</v>
      </c>
      <c r="N174" s="60">
        <v>43101</v>
      </c>
      <c r="O174" t="s">
        <v>50</v>
      </c>
      <c r="P174">
        <v>74</v>
      </c>
      <c r="Q174" t="s">
        <v>1358</v>
      </c>
      <c r="R174" s="44" t="s">
        <v>1163</v>
      </c>
      <c r="S174" s="109" t="s">
        <v>298</v>
      </c>
    </row>
    <row r="175" spans="1:19" ht="24">
      <c r="A175">
        <v>76</v>
      </c>
      <c r="B175" s="126" t="s">
        <v>108</v>
      </c>
      <c r="C175" s="27">
        <f>VLOOKUP(B175,Elements!$A$2:$B$435,2,0)</f>
        <v>72</v>
      </c>
      <c r="D175">
        <v>1</v>
      </c>
      <c r="E175" t="str">
        <f>VLOOKUP(D175,Categories!$A$2:$B$8,2,0)</f>
        <v>ePRO</v>
      </c>
      <c r="F175">
        <v>7</v>
      </c>
      <c r="G175" t="str">
        <f>VLOOKUP(F175,Subcategories!$A$2:$B$29,2,0)</f>
        <v>Technology</v>
      </c>
      <c r="H175" t="str">
        <f t="shared" si="2"/>
        <v>1-7-72</v>
      </c>
      <c r="I175">
        <f>VLOOKUP(H175,SuiteCatSubElem!$F$2:$G$666,2,0)</f>
        <v>76</v>
      </c>
      <c r="J175">
        <v>1</v>
      </c>
      <c r="K175">
        <v>72</v>
      </c>
      <c r="M175" t="s">
        <v>50</v>
      </c>
      <c r="N175" s="60">
        <v>43101</v>
      </c>
      <c r="O175" t="s">
        <v>50</v>
      </c>
      <c r="P175">
        <v>76</v>
      </c>
      <c r="Q175" t="s">
        <v>1358</v>
      </c>
      <c r="R175" s="44" t="s">
        <v>1164</v>
      </c>
      <c r="S175" s="109" t="s">
        <v>298</v>
      </c>
    </row>
    <row r="176" spans="1:19" ht="24">
      <c r="A176">
        <v>108</v>
      </c>
      <c r="B176" s="126" t="s">
        <v>108</v>
      </c>
      <c r="C176" s="27">
        <f>VLOOKUP(B176,Elements!$A$2:$B$435,2,0)</f>
        <v>72</v>
      </c>
      <c r="D176">
        <v>2</v>
      </c>
      <c r="E176" t="str">
        <f>VLOOKUP(D176,Categories!$A$2:$B$8,2,0)</f>
        <v>I2P</v>
      </c>
      <c r="F176">
        <v>7</v>
      </c>
      <c r="G176" t="str">
        <f>VLOOKUP(F176,Subcategories!$A$2:$B$29,2,0)</f>
        <v>Technology</v>
      </c>
      <c r="H176" t="str">
        <f t="shared" si="2"/>
        <v>2-7-72</v>
      </c>
      <c r="I176">
        <f>VLOOKUP(H176,SuiteCatSubElem!$F$2:$G$666,2,0)</f>
        <v>107</v>
      </c>
      <c r="J176">
        <v>1</v>
      </c>
      <c r="K176">
        <v>72</v>
      </c>
      <c r="M176" t="s">
        <v>50</v>
      </c>
      <c r="N176" s="60">
        <v>43101</v>
      </c>
      <c r="O176" t="s">
        <v>50</v>
      </c>
      <c r="P176">
        <v>18</v>
      </c>
      <c r="Q176" t="s">
        <v>1358</v>
      </c>
      <c r="R176" s="45" t="s">
        <v>1164</v>
      </c>
      <c r="S176" s="109" t="s">
        <v>298</v>
      </c>
    </row>
    <row r="177" spans="1:19" ht="24">
      <c r="A177">
        <v>214</v>
      </c>
      <c r="B177" s="126" t="s">
        <v>108</v>
      </c>
      <c r="C177" s="27">
        <f>VLOOKUP(B177,Elements!$A$2:$B$435,2,0)</f>
        <v>72</v>
      </c>
      <c r="D177">
        <v>3</v>
      </c>
      <c r="E177" t="str">
        <f>VLOOKUP(D177,Categories!$A$2:$B$8,2,0)</f>
        <v>P2P</v>
      </c>
      <c r="F177">
        <v>7</v>
      </c>
      <c r="G177" t="str">
        <f>VLOOKUP(F177,Subcategories!$A$2:$B$29,2,0)</f>
        <v>Technology</v>
      </c>
      <c r="H177" t="str">
        <f t="shared" si="2"/>
        <v>3-7-72</v>
      </c>
      <c r="I177">
        <f>VLOOKUP(H177,SuiteCatSubElem!$F$2:$G$666,2,0)</f>
        <v>213</v>
      </c>
      <c r="J177">
        <v>1</v>
      </c>
      <c r="K177">
        <v>72</v>
      </c>
      <c r="M177" t="s">
        <v>50</v>
      </c>
      <c r="N177" s="60">
        <v>43101</v>
      </c>
      <c r="O177" t="s">
        <v>50</v>
      </c>
      <c r="P177">
        <v>76</v>
      </c>
      <c r="Q177" t="s">
        <v>1358</v>
      </c>
      <c r="R177" s="45" t="s">
        <v>1164</v>
      </c>
      <c r="S177" s="109" t="s">
        <v>298</v>
      </c>
    </row>
    <row r="178" spans="1:19" ht="24">
      <c r="A178">
        <v>77</v>
      </c>
      <c r="B178" s="126" t="s">
        <v>353</v>
      </c>
      <c r="C178" s="27">
        <f>VLOOKUP(B178,Elements!$A$2:$B$435,2,0)</f>
        <v>73</v>
      </c>
      <c r="D178">
        <v>1</v>
      </c>
      <c r="E178" t="str">
        <f>VLOOKUP(D178,Categories!$A$2:$B$8,2,0)</f>
        <v>ePRO</v>
      </c>
      <c r="F178">
        <v>7</v>
      </c>
      <c r="G178" t="str">
        <f>VLOOKUP(F178,Subcategories!$A$2:$B$29,2,0)</f>
        <v>Technology</v>
      </c>
      <c r="H178" t="str">
        <f t="shared" si="2"/>
        <v>1-7-73</v>
      </c>
      <c r="I178">
        <f>VLOOKUP(H178,SuiteCatSubElem!$F$2:$G$666,2,0)</f>
        <v>77</v>
      </c>
      <c r="J178">
        <v>1</v>
      </c>
      <c r="K178">
        <v>73</v>
      </c>
      <c r="M178" t="s">
        <v>50</v>
      </c>
      <c r="N178" s="60">
        <v>43101</v>
      </c>
      <c r="O178" t="s">
        <v>50</v>
      </c>
      <c r="P178">
        <v>77</v>
      </c>
      <c r="Q178" t="s">
        <v>1358</v>
      </c>
      <c r="R178" s="44" t="s">
        <v>1165</v>
      </c>
      <c r="S178" s="109" t="s">
        <v>298</v>
      </c>
    </row>
    <row r="179" spans="1:19" ht="24">
      <c r="A179">
        <v>109</v>
      </c>
      <c r="B179" s="126" t="s">
        <v>353</v>
      </c>
      <c r="C179" s="27">
        <f>VLOOKUP(B179,Elements!$A$2:$B$435,2,0)</f>
        <v>73</v>
      </c>
      <c r="D179">
        <v>2</v>
      </c>
      <c r="E179" t="str">
        <f>VLOOKUP(D179,Categories!$A$2:$B$8,2,0)</f>
        <v>I2P</v>
      </c>
      <c r="F179">
        <v>7</v>
      </c>
      <c r="G179" t="str">
        <f>VLOOKUP(F179,Subcategories!$A$2:$B$29,2,0)</f>
        <v>Technology</v>
      </c>
      <c r="H179" t="str">
        <f t="shared" si="2"/>
        <v>2-7-73</v>
      </c>
      <c r="I179">
        <f>VLOOKUP(H179,SuiteCatSubElem!$F$2:$G$666,2,0)</f>
        <v>108</v>
      </c>
      <c r="J179">
        <v>1</v>
      </c>
      <c r="K179">
        <v>73</v>
      </c>
      <c r="M179" t="s">
        <v>50</v>
      </c>
      <c r="N179" s="60">
        <v>43101</v>
      </c>
      <c r="O179" t="s">
        <v>50</v>
      </c>
      <c r="P179">
        <v>19</v>
      </c>
      <c r="Q179" t="s">
        <v>1358</v>
      </c>
      <c r="R179" s="44" t="s">
        <v>1165</v>
      </c>
      <c r="S179" s="109" t="s">
        <v>298</v>
      </c>
    </row>
    <row r="180" spans="1:19" ht="24">
      <c r="A180">
        <v>215</v>
      </c>
      <c r="B180" s="126" t="s">
        <v>353</v>
      </c>
      <c r="C180" s="27">
        <f>VLOOKUP(B180,Elements!$A$2:$B$435,2,0)</f>
        <v>73</v>
      </c>
      <c r="D180">
        <v>3</v>
      </c>
      <c r="E180" t="str">
        <f>VLOOKUP(D180,Categories!$A$2:$B$8,2,0)</f>
        <v>P2P</v>
      </c>
      <c r="F180">
        <v>7</v>
      </c>
      <c r="G180" t="str">
        <f>VLOOKUP(F180,Subcategories!$A$2:$B$29,2,0)</f>
        <v>Technology</v>
      </c>
      <c r="H180" t="str">
        <f t="shared" si="2"/>
        <v>3-7-73</v>
      </c>
      <c r="I180">
        <f>VLOOKUP(H180,SuiteCatSubElem!$F$2:$G$666,2,0)</f>
        <v>214</v>
      </c>
      <c r="J180">
        <v>1</v>
      </c>
      <c r="K180">
        <v>73</v>
      </c>
      <c r="M180" t="s">
        <v>50</v>
      </c>
      <c r="N180" s="60">
        <v>43101</v>
      </c>
      <c r="O180" t="s">
        <v>50</v>
      </c>
      <c r="P180">
        <v>77</v>
      </c>
      <c r="Q180" t="s">
        <v>1358</v>
      </c>
      <c r="R180" s="44" t="s">
        <v>1165</v>
      </c>
      <c r="S180" s="109" t="s">
        <v>298</v>
      </c>
    </row>
    <row r="181" spans="1:19" ht="36">
      <c r="A181">
        <v>78</v>
      </c>
      <c r="B181" s="126" t="s">
        <v>109</v>
      </c>
      <c r="C181" s="27">
        <f>VLOOKUP(B181,Elements!$A$2:$B$435,2,0)</f>
        <v>74</v>
      </c>
      <c r="D181">
        <v>1</v>
      </c>
      <c r="E181" t="str">
        <f>VLOOKUP(D181,Categories!$A$2:$B$8,2,0)</f>
        <v>ePRO</v>
      </c>
      <c r="F181">
        <v>7</v>
      </c>
      <c r="G181" t="str">
        <f>VLOOKUP(F181,Subcategories!$A$2:$B$29,2,0)</f>
        <v>Technology</v>
      </c>
      <c r="H181" t="str">
        <f t="shared" si="2"/>
        <v>1-7-74</v>
      </c>
      <c r="I181">
        <f>VLOOKUP(H181,SuiteCatSubElem!$F$2:$G$666,2,0)</f>
        <v>78</v>
      </c>
      <c r="J181">
        <v>1</v>
      </c>
      <c r="K181">
        <v>74</v>
      </c>
      <c r="M181" t="s">
        <v>50</v>
      </c>
      <c r="N181" s="60">
        <v>43101</v>
      </c>
      <c r="O181" t="s">
        <v>50</v>
      </c>
      <c r="P181">
        <v>78</v>
      </c>
      <c r="Q181" t="s">
        <v>1358</v>
      </c>
      <c r="R181" s="44" t="s">
        <v>1073</v>
      </c>
      <c r="S181" s="109" t="s">
        <v>298</v>
      </c>
    </row>
    <row r="182" spans="1:19" ht="36">
      <c r="A182">
        <v>110</v>
      </c>
      <c r="B182" s="126" t="s">
        <v>109</v>
      </c>
      <c r="C182" s="27">
        <f>VLOOKUP(B182,Elements!$A$2:$B$435,2,0)</f>
        <v>74</v>
      </c>
      <c r="D182">
        <v>2</v>
      </c>
      <c r="E182" t="str">
        <f>VLOOKUP(D182,Categories!$A$2:$B$8,2,0)</f>
        <v>I2P</v>
      </c>
      <c r="F182">
        <v>7</v>
      </c>
      <c r="G182" t="str">
        <f>VLOOKUP(F182,Subcategories!$A$2:$B$29,2,0)</f>
        <v>Technology</v>
      </c>
      <c r="H182" t="str">
        <f t="shared" si="2"/>
        <v>2-7-74</v>
      </c>
      <c r="I182">
        <f>VLOOKUP(H182,SuiteCatSubElem!$F$2:$G$666,2,0)</f>
        <v>109</v>
      </c>
      <c r="J182">
        <v>1</v>
      </c>
      <c r="K182">
        <v>74</v>
      </c>
      <c r="M182" t="s">
        <v>50</v>
      </c>
      <c r="N182" s="60">
        <v>43101</v>
      </c>
      <c r="O182" t="s">
        <v>50</v>
      </c>
      <c r="P182">
        <v>20</v>
      </c>
      <c r="Q182" t="s">
        <v>1358</v>
      </c>
      <c r="R182" s="44" t="s">
        <v>1073</v>
      </c>
      <c r="S182" s="109" t="s">
        <v>298</v>
      </c>
    </row>
    <row r="183" spans="1:19" ht="36">
      <c r="A183">
        <v>216</v>
      </c>
      <c r="B183" s="126" t="s">
        <v>109</v>
      </c>
      <c r="C183" s="27">
        <f>VLOOKUP(B183,Elements!$A$2:$B$435,2,0)</f>
        <v>74</v>
      </c>
      <c r="D183">
        <v>3</v>
      </c>
      <c r="E183" t="str">
        <f>VLOOKUP(D183,Categories!$A$2:$B$8,2,0)</f>
        <v>P2P</v>
      </c>
      <c r="F183">
        <v>7</v>
      </c>
      <c r="G183" t="str">
        <f>VLOOKUP(F183,Subcategories!$A$2:$B$29,2,0)</f>
        <v>Technology</v>
      </c>
      <c r="H183" t="str">
        <f t="shared" si="2"/>
        <v>3-7-74</v>
      </c>
      <c r="I183">
        <f>VLOOKUP(H183,SuiteCatSubElem!$F$2:$G$666,2,0)</f>
        <v>215</v>
      </c>
      <c r="J183">
        <v>1</v>
      </c>
      <c r="K183">
        <v>74</v>
      </c>
      <c r="M183" t="s">
        <v>50</v>
      </c>
      <c r="N183" s="60">
        <v>43101</v>
      </c>
      <c r="O183" t="s">
        <v>50</v>
      </c>
      <c r="P183">
        <v>78</v>
      </c>
      <c r="Q183" t="s">
        <v>1358</v>
      </c>
      <c r="R183" s="44" t="s">
        <v>1073</v>
      </c>
      <c r="S183" s="109" t="s">
        <v>298</v>
      </c>
    </row>
    <row r="184" spans="1:19" ht="36">
      <c r="A184">
        <v>478</v>
      </c>
      <c r="B184" s="126" t="s">
        <v>354</v>
      </c>
      <c r="C184" s="27">
        <f>VLOOKUP(B184,Elements!$A$2:$B$435,2,0)</f>
        <v>74</v>
      </c>
      <c r="D184">
        <v>5</v>
      </c>
      <c r="E184" t="str">
        <f>VLOOKUP(D184,Categories!$A$2:$B$8,2,0)</f>
        <v>SA</v>
      </c>
      <c r="F184">
        <v>7</v>
      </c>
      <c r="G184" t="str">
        <f>VLOOKUP(F184,Subcategories!$A$2:$B$29,2,0)</f>
        <v>Technology</v>
      </c>
      <c r="H184" t="str">
        <f t="shared" si="2"/>
        <v>5-7-74</v>
      </c>
      <c r="I184">
        <f>VLOOKUP(H184,SuiteCatSubElem!$F$2:$G$666,2,0)</f>
        <v>472</v>
      </c>
      <c r="J184">
        <v>1</v>
      </c>
      <c r="K184">
        <v>74</v>
      </c>
      <c r="M184" t="s">
        <v>50</v>
      </c>
      <c r="N184" s="60">
        <v>43101</v>
      </c>
      <c r="O184" t="s">
        <v>50</v>
      </c>
      <c r="P184">
        <v>64</v>
      </c>
      <c r="Q184" t="s">
        <v>1358</v>
      </c>
      <c r="R184" s="44" t="s">
        <v>1073</v>
      </c>
      <c r="S184" s="109" t="s">
        <v>298</v>
      </c>
    </row>
    <row r="185" spans="1:19" ht="36">
      <c r="A185">
        <v>581</v>
      </c>
      <c r="B185" s="125" t="s">
        <v>354</v>
      </c>
      <c r="C185" s="27">
        <f>VLOOKUP(B185,Elements!$A$2:$B$435,2,0)</f>
        <v>74</v>
      </c>
      <c r="D185">
        <v>6</v>
      </c>
      <c r="E185" t="str">
        <f>VLOOKUP(D185,Categories!$A$2:$B$8,2,0)</f>
        <v>SXM</v>
      </c>
      <c r="F185">
        <v>7</v>
      </c>
      <c r="G185" t="str">
        <f>VLOOKUP(F185,Subcategories!$A$2:$B$29,2,0)</f>
        <v>Technology</v>
      </c>
      <c r="H185" t="str">
        <f t="shared" si="2"/>
        <v>6-7-74</v>
      </c>
      <c r="I185">
        <f>VLOOKUP(H185,SuiteCatSubElem!$F$2:$G$666,2,0)</f>
        <v>575</v>
      </c>
      <c r="J185">
        <v>1</v>
      </c>
      <c r="K185">
        <v>74</v>
      </c>
      <c r="M185" t="s">
        <v>50</v>
      </c>
      <c r="N185" s="60">
        <v>43101</v>
      </c>
      <c r="O185" t="s">
        <v>50</v>
      </c>
      <c r="P185">
        <v>82</v>
      </c>
      <c r="Q185" t="s">
        <v>1358</v>
      </c>
      <c r="R185" s="44" t="s">
        <v>1073</v>
      </c>
      <c r="S185" s="109" t="s">
        <v>298</v>
      </c>
    </row>
    <row r="186" spans="1:19" ht="36">
      <c r="A186">
        <v>655</v>
      </c>
      <c r="B186" s="126" t="s">
        <v>354</v>
      </c>
      <c r="C186" s="27">
        <f>VLOOKUP(B186,Elements!$A$2:$B$435,2,0)</f>
        <v>74</v>
      </c>
      <c r="D186">
        <v>7</v>
      </c>
      <c r="E186" t="str">
        <f>VLOOKUP(D186,Categories!$A$2:$B$8,2,0)</f>
        <v>CLM</v>
      </c>
      <c r="F186">
        <v>7</v>
      </c>
      <c r="G186" t="str">
        <f>VLOOKUP(F186,Subcategories!$A$2:$B$29,2,0)</f>
        <v>Technology</v>
      </c>
      <c r="H186" t="str">
        <f t="shared" si="2"/>
        <v>7-7-74</v>
      </c>
      <c r="I186">
        <f>VLOOKUP(H186,SuiteCatSubElem!$F$2:$G$666,2,0)</f>
        <v>646</v>
      </c>
      <c r="J186">
        <v>1</v>
      </c>
      <c r="K186">
        <v>74</v>
      </c>
      <c r="M186" t="s">
        <v>50</v>
      </c>
      <c r="N186" s="60">
        <v>43101</v>
      </c>
      <c r="O186" t="s">
        <v>50</v>
      </c>
      <c r="P186">
        <v>52</v>
      </c>
      <c r="Q186" t="s">
        <v>1358</v>
      </c>
      <c r="R186" s="44" t="s">
        <v>1073</v>
      </c>
      <c r="S186" s="116"/>
    </row>
    <row r="187" spans="1:19" ht="61">
      <c r="A187">
        <v>79</v>
      </c>
      <c r="B187" s="126" t="s">
        <v>355</v>
      </c>
      <c r="C187" s="27">
        <f>VLOOKUP(B187,Elements!$A$2:$B$435,2,0)</f>
        <v>75</v>
      </c>
      <c r="D187">
        <v>1</v>
      </c>
      <c r="E187" t="str">
        <f>VLOOKUP(D187,Categories!$A$2:$B$8,2,0)</f>
        <v>ePRO</v>
      </c>
      <c r="F187">
        <v>7</v>
      </c>
      <c r="G187" t="str">
        <f>VLOOKUP(F187,Subcategories!$A$2:$B$29,2,0)</f>
        <v>Technology</v>
      </c>
      <c r="H187" t="str">
        <f t="shared" si="2"/>
        <v>1-7-75</v>
      </c>
      <c r="I187">
        <f>VLOOKUP(H187,SuiteCatSubElem!$F$2:$G$666,2,0)</f>
        <v>79</v>
      </c>
      <c r="J187">
        <v>1</v>
      </c>
      <c r="K187">
        <v>75</v>
      </c>
      <c r="M187" t="s">
        <v>50</v>
      </c>
      <c r="N187" s="60">
        <v>43101</v>
      </c>
      <c r="O187" t="s">
        <v>50</v>
      </c>
      <c r="P187">
        <v>79</v>
      </c>
      <c r="Q187" t="s">
        <v>1358</v>
      </c>
      <c r="R187" s="44" t="s">
        <v>1367</v>
      </c>
      <c r="S187" s="109" t="s">
        <v>1166</v>
      </c>
    </row>
    <row r="188" spans="1:19" ht="61">
      <c r="A188">
        <v>111</v>
      </c>
      <c r="B188" s="126" t="s">
        <v>355</v>
      </c>
      <c r="C188" s="27">
        <f>VLOOKUP(B188,Elements!$A$2:$B$435,2,0)</f>
        <v>75</v>
      </c>
      <c r="D188">
        <v>2</v>
      </c>
      <c r="E188" t="str">
        <f>VLOOKUP(D188,Categories!$A$2:$B$8,2,0)</f>
        <v>I2P</v>
      </c>
      <c r="F188">
        <v>7</v>
      </c>
      <c r="G188" t="str">
        <f>VLOOKUP(F188,Subcategories!$A$2:$B$29,2,0)</f>
        <v>Technology</v>
      </c>
      <c r="H188" t="str">
        <f t="shared" si="2"/>
        <v>2-7-75</v>
      </c>
      <c r="I188">
        <f>VLOOKUP(H188,SuiteCatSubElem!$F$2:$G$666,2,0)</f>
        <v>110</v>
      </c>
      <c r="J188">
        <v>1</v>
      </c>
      <c r="K188">
        <v>75</v>
      </c>
      <c r="M188" t="s">
        <v>50</v>
      </c>
      <c r="N188" s="60">
        <v>43101</v>
      </c>
      <c r="O188" t="s">
        <v>50</v>
      </c>
      <c r="P188">
        <v>21</v>
      </c>
      <c r="Q188" t="s">
        <v>1358</v>
      </c>
      <c r="R188" s="44" t="s">
        <v>1367</v>
      </c>
      <c r="S188" s="109" t="s">
        <v>1166</v>
      </c>
    </row>
    <row r="189" spans="1:19" ht="61">
      <c r="A189">
        <v>217</v>
      </c>
      <c r="B189" s="126" t="s">
        <v>355</v>
      </c>
      <c r="C189" s="27">
        <f>VLOOKUP(B189,Elements!$A$2:$B$435,2,0)</f>
        <v>75</v>
      </c>
      <c r="D189">
        <v>3</v>
      </c>
      <c r="E189" t="str">
        <f>VLOOKUP(D189,Categories!$A$2:$B$8,2,0)</f>
        <v>P2P</v>
      </c>
      <c r="F189">
        <v>7</v>
      </c>
      <c r="G189" t="str">
        <f>VLOOKUP(F189,Subcategories!$A$2:$B$29,2,0)</f>
        <v>Technology</v>
      </c>
      <c r="H189" t="str">
        <f t="shared" si="2"/>
        <v>3-7-75</v>
      </c>
      <c r="I189">
        <f>VLOOKUP(H189,SuiteCatSubElem!$F$2:$G$666,2,0)</f>
        <v>216</v>
      </c>
      <c r="J189">
        <v>1</v>
      </c>
      <c r="K189">
        <v>75</v>
      </c>
      <c r="M189" t="s">
        <v>50</v>
      </c>
      <c r="N189" s="60">
        <v>43101</v>
      </c>
      <c r="O189" t="s">
        <v>50</v>
      </c>
      <c r="P189">
        <v>79</v>
      </c>
      <c r="Q189" t="s">
        <v>1358</v>
      </c>
      <c r="R189" s="44" t="s">
        <v>1367</v>
      </c>
      <c r="S189" s="109" t="s">
        <v>1166</v>
      </c>
    </row>
    <row r="190" spans="1:19" ht="61">
      <c r="A190">
        <v>479</v>
      </c>
      <c r="B190" s="126" t="s">
        <v>355</v>
      </c>
      <c r="C190" s="27">
        <f>VLOOKUP(B190,Elements!$A$2:$B$435,2,0)</f>
        <v>75</v>
      </c>
      <c r="D190">
        <v>5</v>
      </c>
      <c r="E190" t="str">
        <f>VLOOKUP(D190,Categories!$A$2:$B$8,2,0)</f>
        <v>SA</v>
      </c>
      <c r="F190">
        <v>7</v>
      </c>
      <c r="G190" t="str">
        <f>VLOOKUP(F190,Subcategories!$A$2:$B$29,2,0)</f>
        <v>Technology</v>
      </c>
      <c r="H190" t="str">
        <f t="shared" si="2"/>
        <v>5-7-75</v>
      </c>
      <c r="I190">
        <f>VLOOKUP(H190,SuiteCatSubElem!$F$2:$G$666,2,0)</f>
        <v>473</v>
      </c>
      <c r="J190">
        <v>1</v>
      </c>
      <c r="K190">
        <v>75</v>
      </c>
      <c r="M190" t="s">
        <v>50</v>
      </c>
      <c r="N190" s="60">
        <v>43101</v>
      </c>
      <c r="O190" t="s">
        <v>50</v>
      </c>
      <c r="P190">
        <v>65</v>
      </c>
      <c r="Q190" t="s">
        <v>1358</v>
      </c>
      <c r="R190" s="44" t="s">
        <v>1367</v>
      </c>
      <c r="S190" s="109" t="s">
        <v>1166</v>
      </c>
    </row>
    <row r="191" spans="1:19" ht="61">
      <c r="A191">
        <v>582</v>
      </c>
      <c r="B191" s="125" t="s">
        <v>355</v>
      </c>
      <c r="C191" s="27">
        <f>VLOOKUP(B191,Elements!$A$2:$B$435,2,0)</f>
        <v>75</v>
      </c>
      <c r="D191">
        <v>6</v>
      </c>
      <c r="E191" t="str">
        <f>VLOOKUP(D191,Categories!$A$2:$B$8,2,0)</f>
        <v>SXM</v>
      </c>
      <c r="F191">
        <v>7</v>
      </c>
      <c r="G191" t="str">
        <f>VLOOKUP(F191,Subcategories!$A$2:$B$29,2,0)</f>
        <v>Technology</v>
      </c>
      <c r="H191" t="str">
        <f t="shared" si="2"/>
        <v>6-7-75</v>
      </c>
      <c r="I191">
        <f>VLOOKUP(H191,SuiteCatSubElem!$F$2:$G$666,2,0)</f>
        <v>576</v>
      </c>
      <c r="J191">
        <v>1</v>
      </c>
      <c r="K191">
        <v>75</v>
      </c>
      <c r="M191" t="s">
        <v>50</v>
      </c>
      <c r="N191" s="60">
        <v>43101</v>
      </c>
      <c r="O191" t="s">
        <v>50</v>
      </c>
      <c r="P191">
        <v>83</v>
      </c>
      <c r="Q191" t="s">
        <v>1358</v>
      </c>
      <c r="R191" s="44" t="s">
        <v>1367</v>
      </c>
      <c r="S191" s="109" t="s">
        <v>1166</v>
      </c>
    </row>
    <row r="192" spans="1:19" ht="61">
      <c r="A192">
        <v>656</v>
      </c>
      <c r="B192" s="126" t="s">
        <v>355</v>
      </c>
      <c r="C192" s="27">
        <f>VLOOKUP(B192,Elements!$A$2:$B$435,2,0)</f>
        <v>75</v>
      </c>
      <c r="D192">
        <v>7</v>
      </c>
      <c r="E192" t="str">
        <f>VLOOKUP(D192,Categories!$A$2:$B$8,2,0)</f>
        <v>CLM</v>
      </c>
      <c r="F192">
        <v>7</v>
      </c>
      <c r="G192" t="str">
        <f>VLOOKUP(F192,Subcategories!$A$2:$B$29,2,0)</f>
        <v>Technology</v>
      </c>
      <c r="H192" t="str">
        <f t="shared" si="2"/>
        <v>7-7-75</v>
      </c>
      <c r="I192">
        <f>VLOOKUP(H192,SuiteCatSubElem!$F$2:$G$666,2,0)</f>
        <v>647</v>
      </c>
      <c r="J192">
        <v>1</v>
      </c>
      <c r="K192">
        <v>75</v>
      </c>
      <c r="M192" t="s">
        <v>50</v>
      </c>
      <c r="N192" s="60">
        <v>43101</v>
      </c>
      <c r="O192" t="s">
        <v>50</v>
      </c>
      <c r="P192">
        <v>53</v>
      </c>
      <c r="Q192" t="s">
        <v>1358</v>
      </c>
      <c r="R192" s="44" t="s">
        <v>1367</v>
      </c>
      <c r="S192" s="109" t="s">
        <v>1166</v>
      </c>
    </row>
    <row r="193" spans="1:19">
      <c r="A193">
        <v>80</v>
      </c>
      <c r="B193" s="126" t="s">
        <v>110</v>
      </c>
      <c r="C193" s="27">
        <f>VLOOKUP(B193,Elements!$A$2:$B$435,2,0)</f>
        <v>76</v>
      </c>
      <c r="D193">
        <v>1</v>
      </c>
      <c r="E193" t="str">
        <f>VLOOKUP(D193,Categories!$A$2:$B$8,2,0)</f>
        <v>ePRO</v>
      </c>
      <c r="F193">
        <v>7</v>
      </c>
      <c r="G193" t="str">
        <f>VLOOKUP(F193,Subcategories!$A$2:$B$29,2,0)</f>
        <v>Technology</v>
      </c>
      <c r="H193" t="str">
        <f t="shared" si="2"/>
        <v>1-7-76</v>
      </c>
      <c r="I193">
        <f>VLOOKUP(H193,SuiteCatSubElem!$F$2:$G$666,2,0)</f>
        <v>80</v>
      </c>
      <c r="J193">
        <v>1</v>
      </c>
      <c r="K193">
        <v>76</v>
      </c>
      <c r="M193" t="s">
        <v>50</v>
      </c>
      <c r="N193" s="60">
        <v>43101</v>
      </c>
      <c r="O193" t="s">
        <v>50</v>
      </c>
      <c r="P193">
        <v>80</v>
      </c>
      <c r="Q193" t="s">
        <v>1358</v>
      </c>
      <c r="R193" s="44" t="s">
        <v>1167</v>
      </c>
      <c r="S193" s="109" t="s">
        <v>298</v>
      </c>
    </row>
    <row r="194" spans="1:19">
      <c r="A194">
        <v>112</v>
      </c>
      <c r="B194" s="126" t="s">
        <v>110</v>
      </c>
      <c r="C194" s="27">
        <f>VLOOKUP(B194,Elements!$A$2:$B$435,2,0)</f>
        <v>76</v>
      </c>
      <c r="D194">
        <v>2</v>
      </c>
      <c r="E194" t="str">
        <f>VLOOKUP(D194,Categories!$A$2:$B$8,2,0)</f>
        <v>I2P</v>
      </c>
      <c r="F194">
        <v>7</v>
      </c>
      <c r="G194" t="str">
        <f>VLOOKUP(F194,Subcategories!$A$2:$B$29,2,0)</f>
        <v>Technology</v>
      </c>
      <c r="H194" t="str">
        <f t="shared" ref="H194:H257" si="3">_xlfn.CONCAT(D194,"-",F194,"-",C194)</f>
        <v>2-7-76</v>
      </c>
      <c r="I194">
        <f>VLOOKUP(H194,SuiteCatSubElem!$F$2:$G$666,2,0)</f>
        <v>111</v>
      </c>
      <c r="J194">
        <v>1</v>
      </c>
      <c r="K194">
        <v>76</v>
      </c>
      <c r="M194" t="s">
        <v>50</v>
      </c>
      <c r="N194" s="60">
        <v>43101</v>
      </c>
      <c r="O194" t="s">
        <v>50</v>
      </c>
      <c r="P194">
        <v>22</v>
      </c>
      <c r="Q194" t="s">
        <v>1358</v>
      </c>
      <c r="R194" s="44" t="s">
        <v>1167</v>
      </c>
      <c r="S194" s="109" t="s">
        <v>298</v>
      </c>
    </row>
    <row r="195" spans="1:19">
      <c r="A195">
        <v>218</v>
      </c>
      <c r="B195" s="126" t="s">
        <v>110</v>
      </c>
      <c r="C195" s="27">
        <f>VLOOKUP(B195,Elements!$A$2:$B$435,2,0)</f>
        <v>76</v>
      </c>
      <c r="D195">
        <v>3</v>
      </c>
      <c r="E195" t="str">
        <f>VLOOKUP(D195,Categories!$A$2:$B$8,2,0)</f>
        <v>P2P</v>
      </c>
      <c r="F195">
        <v>7</v>
      </c>
      <c r="G195" t="str">
        <f>VLOOKUP(F195,Subcategories!$A$2:$B$29,2,0)</f>
        <v>Technology</v>
      </c>
      <c r="H195" t="str">
        <f t="shared" si="3"/>
        <v>3-7-76</v>
      </c>
      <c r="I195">
        <f>VLOOKUP(H195,SuiteCatSubElem!$F$2:$G$666,2,0)</f>
        <v>217</v>
      </c>
      <c r="J195">
        <v>1</v>
      </c>
      <c r="K195">
        <v>76</v>
      </c>
      <c r="M195" t="s">
        <v>50</v>
      </c>
      <c r="N195" s="60">
        <v>43101</v>
      </c>
      <c r="O195" t="s">
        <v>50</v>
      </c>
      <c r="P195">
        <v>80</v>
      </c>
      <c r="Q195" t="s">
        <v>1358</v>
      </c>
      <c r="R195" s="44" t="s">
        <v>1167</v>
      </c>
      <c r="S195" s="109" t="s">
        <v>298</v>
      </c>
    </row>
    <row r="196" spans="1:19">
      <c r="A196">
        <v>81</v>
      </c>
      <c r="B196" s="126" t="s">
        <v>111</v>
      </c>
      <c r="C196" s="27">
        <f>VLOOKUP(B196,Elements!$A$2:$B$435,2,0)</f>
        <v>77</v>
      </c>
      <c r="D196">
        <v>1</v>
      </c>
      <c r="E196" t="str">
        <f>VLOOKUP(D196,Categories!$A$2:$B$8,2,0)</f>
        <v>ePRO</v>
      </c>
      <c r="F196">
        <v>7</v>
      </c>
      <c r="G196" t="str">
        <f>VLOOKUP(F196,Subcategories!$A$2:$B$29,2,0)</f>
        <v>Technology</v>
      </c>
      <c r="H196" t="str">
        <f t="shared" si="3"/>
        <v>1-7-77</v>
      </c>
      <c r="I196">
        <f>VLOOKUP(H196,SuiteCatSubElem!$F$2:$G$666,2,0)</f>
        <v>81</v>
      </c>
      <c r="J196">
        <v>1</v>
      </c>
      <c r="K196">
        <v>77</v>
      </c>
      <c r="M196" t="s">
        <v>50</v>
      </c>
      <c r="N196" s="60">
        <v>43101</v>
      </c>
      <c r="O196" t="s">
        <v>50</v>
      </c>
      <c r="P196">
        <v>81</v>
      </c>
      <c r="Q196" t="s">
        <v>1358</v>
      </c>
      <c r="R196" s="44" t="s">
        <v>811</v>
      </c>
      <c r="S196" s="109" t="s">
        <v>298</v>
      </c>
    </row>
    <row r="197" spans="1:19">
      <c r="A197">
        <v>113</v>
      </c>
      <c r="B197" s="126" t="s">
        <v>111</v>
      </c>
      <c r="C197" s="27">
        <f>VLOOKUP(B197,Elements!$A$2:$B$435,2,0)</f>
        <v>77</v>
      </c>
      <c r="D197">
        <v>2</v>
      </c>
      <c r="E197" t="str">
        <f>VLOOKUP(D197,Categories!$A$2:$B$8,2,0)</f>
        <v>I2P</v>
      </c>
      <c r="F197">
        <v>7</v>
      </c>
      <c r="G197" t="str">
        <f>VLOOKUP(F197,Subcategories!$A$2:$B$29,2,0)</f>
        <v>Technology</v>
      </c>
      <c r="H197" t="str">
        <f t="shared" si="3"/>
        <v>2-7-77</v>
      </c>
      <c r="I197">
        <f>VLOOKUP(H197,SuiteCatSubElem!$F$2:$G$666,2,0)</f>
        <v>112</v>
      </c>
      <c r="J197">
        <v>1</v>
      </c>
      <c r="K197">
        <v>77</v>
      </c>
      <c r="M197" t="s">
        <v>50</v>
      </c>
      <c r="N197" s="60">
        <v>43101</v>
      </c>
      <c r="O197" t="s">
        <v>50</v>
      </c>
      <c r="P197">
        <v>23</v>
      </c>
      <c r="Q197" t="s">
        <v>1358</v>
      </c>
      <c r="R197" s="44" t="s">
        <v>811</v>
      </c>
      <c r="S197" s="109" t="s">
        <v>298</v>
      </c>
    </row>
    <row r="198" spans="1:19">
      <c r="A198">
        <v>219</v>
      </c>
      <c r="B198" s="126" t="s">
        <v>111</v>
      </c>
      <c r="C198" s="27">
        <f>VLOOKUP(B198,Elements!$A$2:$B$435,2,0)</f>
        <v>77</v>
      </c>
      <c r="D198">
        <v>3</v>
      </c>
      <c r="E198" t="str">
        <f>VLOOKUP(D198,Categories!$A$2:$B$8,2,0)</f>
        <v>P2P</v>
      </c>
      <c r="F198">
        <v>7</v>
      </c>
      <c r="G198" t="str">
        <f>VLOOKUP(F198,Subcategories!$A$2:$B$29,2,0)</f>
        <v>Technology</v>
      </c>
      <c r="H198" t="str">
        <f t="shared" si="3"/>
        <v>3-7-77</v>
      </c>
      <c r="I198">
        <f>VLOOKUP(H198,SuiteCatSubElem!$F$2:$G$666,2,0)</f>
        <v>218</v>
      </c>
      <c r="J198">
        <v>1</v>
      </c>
      <c r="K198">
        <v>77</v>
      </c>
      <c r="M198" t="s">
        <v>50</v>
      </c>
      <c r="N198" s="60">
        <v>43101</v>
      </c>
      <c r="O198" t="s">
        <v>50</v>
      </c>
      <c r="P198">
        <v>81</v>
      </c>
      <c r="Q198" t="s">
        <v>1358</v>
      </c>
      <c r="R198" s="44" t="s">
        <v>811</v>
      </c>
      <c r="S198" s="109" t="s">
        <v>298</v>
      </c>
    </row>
    <row r="199" spans="1:19" ht="37">
      <c r="A199">
        <v>82</v>
      </c>
      <c r="B199" s="126" t="s">
        <v>112</v>
      </c>
      <c r="C199" s="27">
        <f>VLOOKUP(B199,Elements!$A$2:$B$435,2,0)</f>
        <v>78</v>
      </c>
      <c r="D199">
        <v>1</v>
      </c>
      <c r="E199" t="str">
        <f>VLOOKUP(D199,Categories!$A$2:$B$8,2,0)</f>
        <v>ePRO</v>
      </c>
      <c r="F199">
        <v>7</v>
      </c>
      <c r="G199" t="str">
        <f>VLOOKUP(F199,Subcategories!$A$2:$B$29,2,0)</f>
        <v>Technology</v>
      </c>
      <c r="H199" t="str">
        <f t="shared" si="3"/>
        <v>1-7-78</v>
      </c>
      <c r="I199">
        <f>VLOOKUP(H199,SuiteCatSubElem!$F$2:$G$666,2,0)</f>
        <v>82</v>
      </c>
      <c r="J199">
        <v>1</v>
      </c>
      <c r="K199">
        <v>78</v>
      </c>
      <c r="M199" t="s">
        <v>50</v>
      </c>
      <c r="N199" s="60">
        <v>43101</v>
      </c>
      <c r="O199" t="s">
        <v>50</v>
      </c>
      <c r="P199">
        <v>82</v>
      </c>
      <c r="Q199" t="s">
        <v>1358</v>
      </c>
      <c r="R199" s="44" t="s">
        <v>813</v>
      </c>
      <c r="S199" s="109" t="s">
        <v>1076</v>
      </c>
    </row>
    <row r="200" spans="1:19" ht="37">
      <c r="A200">
        <v>114</v>
      </c>
      <c r="B200" s="126" t="s">
        <v>112</v>
      </c>
      <c r="C200" s="27">
        <f>VLOOKUP(B200,Elements!$A$2:$B$435,2,0)</f>
        <v>78</v>
      </c>
      <c r="D200">
        <v>2</v>
      </c>
      <c r="E200" t="str">
        <f>VLOOKUP(D200,Categories!$A$2:$B$8,2,0)</f>
        <v>I2P</v>
      </c>
      <c r="F200">
        <v>7</v>
      </c>
      <c r="G200" t="str">
        <f>VLOOKUP(F200,Subcategories!$A$2:$B$29,2,0)</f>
        <v>Technology</v>
      </c>
      <c r="H200" t="str">
        <f t="shared" si="3"/>
        <v>2-7-78</v>
      </c>
      <c r="I200">
        <f>VLOOKUP(H200,SuiteCatSubElem!$F$2:$G$666,2,0)</f>
        <v>113</v>
      </c>
      <c r="J200">
        <v>1</v>
      </c>
      <c r="K200">
        <v>78</v>
      </c>
      <c r="M200" t="s">
        <v>50</v>
      </c>
      <c r="N200" s="60">
        <v>43101</v>
      </c>
      <c r="O200" t="s">
        <v>50</v>
      </c>
      <c r="P200">
        <v>24</v>
      </c>
      <c r="Q200" t="s">
        <v>1358</v>
      </c>
      <c r="R200" s="44" t="s">
        <v>813</v>
      </c>
      <c r="S200" s="109" t="s">
        <v>1076</v>
      </c>
    </row>
    <row r="201" spans="1:19" ht="37">
      <c r="A201">
        <v>220</v>
      </c>
      <c r="B201" s="126" t="s">
        <v>112</v>
      </c>
      <c r="C201" s="27">
        <f>VLOOKUP(B201,Elements!$A$2:$B$435,2,0)</f>
        <v>78</v>
      </c>
      <c r="D201">
        <v>3</v>
      </c>
      <c r="E201" t="str">
        <f>VLOOKUP(D201,Categories!$A$2:$B$8,2,0)</f>
        <v>P2P</v>
      </c>
      <c r="F201">
        <v>7</v>
      </c>
      <c r="G201" t="str">
        <f>VLOOKUP(F201,Subcategories!$A$2:$B$29,2,0)</f>
        <v>Technology</v>
      </c>
      <c r="H201" t="str">
        <f t="shared" si="3"/>
        <v>3-7-78</v>
      </c>
      <c r="I201">
        <f>VLOOKUP(H201,SuiteCatSubElem!$F$2:$G$666,2,0)</f>
        <v>219</v>
      </c>
      <c r="J201">
        <v>1</v>
      </c>
      <c r="K201">
        <v>78</v>
      </c>
      <c r="M201" t="s">
        <v>50</v>
      </c>
      <c r="N201" s="60">
        <v>43101</v>
      </c>
      <c r="O201" t="s">
        <v>50</v>
      </c>
      <c r="P201">
        <v>82</v>
      </c>
      <c r="Q201" t="s">
        <v>1358</v>
      </c>
      <c r="R201" s="44" t="s">
        <v>813</v>
      </c>
      <c r="S201" s="109" t="s">
        <v>1076</v>
      </c>
    </row>
    <row r="202" spans="1:19" ht="37">
      <c r="A202">
        <v>388</v>
      </c>
      <c r="B202" s="125" t="s">
        <v>112</v>
      </c>
      <c r="C202" s="27">
        <f>VLOOKUP(B202,Elements!$A$2:$B$435,2,0)</f>
        <v>78</v>
      </c>
      <c r="D202">
        <v>4</v>
      </c>
      <c r="E202" t="str">
        <f>VLOOKUP(D202,Categories!$A$2:$B$8,2,0)</f>
        <v>Sourcing</v>
      </c>
      <c r="F202">
        <v>7</v>
      </c>
      <c r="G202" t="str">
        <f>VLOOKUP(F202,Subcategories!$A$2:$B$29,2,0)</f>
        <v>Technology</v>
      </c>
      <c r="H202" t="str">
        <f t="shared" si="3"/>
        <v>4-7-78</v>
      </c>
      <c r="I202">
        <f>VLOOKUP(H202,SuiteCatSubElem!$F$2:$G$666,2,0)</f>
        <v>382</v>
      </c>
      <c r="J202">
        <v>1</v>
      </c>
      <c r="K202">
        <v>78</v>
      </c>
      <c r="M202" t="s">
        <v>50</v>
      </c>
      <c r="N202" s="60">
        <v>43101</v>
      </c>
      <c r="O202" t="s">
        <v>50</v>
      </c>
      <c r="P202">
        <v>139</v>
      </c>
      <c r="Q202" t="s">
        <v>1358</v>
      </c>
      <c r="R202" s="44" t="s">
        <v>813</v>
      </c>
      <c r="S202" s="109" t="s">
        <v>1076</v>
      </c>
    </row>
    <row r="203" spans="1:19" ht="37">
      <c r="A203">
        <v>584</v>
      </c>
      <c r="B203" s="125" t="s">
        <v>112</v>
      </c>
      <c r="C203" s="27">
        <f>VLOOKUP(B203,Elements!$A$2:$B$435,2,0)</f>
        <v>78</v>
      </c>
      <c r="D203">
        <v>6</v>
      </c>
      <c r="E203" t="str">
        <f>VLOOKUP(D203,Categories!$A$2:$B$8,2,0)</f>
        <v>SXM</v>
      </c>
      <c r="F203">
        <v>7</v>
      </c>
      <c r="G203" t="str">
        <f>VLOOKUP(F203,Subcategories!$A$2:$B$29,2,0)</f>
        <v>Technology</v>
      </c>
      <c r="H203" t="str">
        <f t="shared" si="3"/>
        <v>6-7-78</v>
      </c>
      <c r="I203">
        <f>VLOOKUP(H203,SuiteCatSubElem!$F$2:$G$666,2,0)</f>
        <v>578</v>
      </c>
      <c r="J203">
        <v>1</v>
      </c>
      <c r="K203">
        <v>78</v>
      </c>
      <c r="M203" t="s">
        <v>50</v>
      </c>
      <c r="N203" s="60">
        <v>43101</v>
      </c>
      <c r="O203" t="s">
        <v>50</v>
      </c>
      <c r="P203">
        <v>85</v>
      </c>
      <c r="Q203" t="s">
        <v>1358</v>
      </c>
      <c r="R203" s="44" t="s">
        <v>813</v>
      </c>
      <c r="S203" s="109" t="s">
        <v>1076</v>
      </c>
    </row>
    <row r="204" spans="1:19" ht="37">
      <c r="A204">
        <v>658</v>
      </c>
      <c r="B204" s="126" t="s">
        <v>112</v>
      </c>
      <c r="C204" s="27">
        <f>VLOOKUP(B204,Elements!$A$2:$B$435,2,0)</f>
        <v>78</v>
      </c>
      <c r="D204">
        <v>7</v>
      </c>
      <c r="E204" t="str">
        <f>VLOOKUP(D204,Categories!$A$2:$B$8,2,0)</f>
        <v>CLM</v>
      </c>
      <c r="F204">
        <v>7</v>
      </c>
      <c r="G204" t="str">
        <f>VLOOKUP(F204,Subcategories!$A$2:$B$29,2,0)</f>
        <v>Technology</v>
      </c>
      <c r="H204" t="str">
        <f t="shared" si="3"/>
        <v>7-7-78</v>
      </c>
      <c r="I204">
        <f>VLOOKUP(H204,SuiteCatSubElem!$F$2:$G$666,2,0)</f>
        <v>649</v>
      </c>
      <c r="J204">
        <v>1</v>
      </c>
      <c r="K204">
        <v>78</v>
      </c>
      <c r="M204" t="s">
        <v>50</v>
      </c>
      <c r="N204" s="60">
        <v>43101</v>
      </c>
      <c r="O204" t="s">
        <v>50</v>
      </c>
      <c r="P204">
        <v>55</v>
      </c>
      <c r="Q204" t="s">
        <v>1358</v>
      </c>
      <c r="R204" s="44" t="s">
        <v>813</v>
      </c>
      <c r="S204" s="109" t="s">
        <v>1076</v>
      </c>
    </row>
    <row r="205" spans="1:19" ht="24">
      <c r="A205">
        <v>83</v>
      </c>
      <c r="B205" s="126" t="s">
        <v>113</v>
      </c>
      <c r="C205" s="27">
        <f>VLOOKUP(B205,Elements!$A$2:$B$435,2,0)</f>
        <v>79</v>
      </c>
      <c r="D205">
        <v>1</v>
      </c>
      <c r="E205" t="str">
        <f>VLOOKUP(D205,Categories!$A$2:$B$8,2,0)</f>
        <v>ePRO</v>
      </c>
      <c r="F205">
        <v>7</v>
      </c>
      <c r="G205" t="str">
        <f>VLOOKUP(F205,Subcategories!$A$2:$B$29,2,0)</f>
        <v>Technology</v>
      </c>
      <c r="H205" t="str">
        <f t="shared" si="3"/>
        <v>1-7-79</v>
      </c>
      <c r="I205">
        <f>VLOOKUP(H205,SuiteCatSubElem!$F$2:$G$666,2,0)</f>
        <v>83</v>
      </c>
      <c r="J205">
        <v>1</v>
      </c>
      <c r="K205">
        <v>79</v>
      </c>
      <c r="M205" t="s">
        <v>50</v>
      </c>
      <c r="N205" s="60">
        <v>43101</v>
      </c>
      <c r="O205" t="s">
        <v>50</v>
      </c>
      <c r="P205">
        <v>83</v>
      </c>
      <c r="Q205" t="s">
        <v>1358</v>
      </c>
      <c r="R205" s="44" t="s">
        <v>1168</v>
      </c>
      <c r="S205" s="109" t="s">
        <v>298</v>
      </c>
    </row>
    <row r="206" spans="1:19" ht="24">
      <c r="A206">
        <v>115</v>
      </c>
      <c r="B206" s="126" t="s">
        <v>113</v>
      </c>
      <c r="C206" s="27">
        <f>VLOOKUP(B206,Elements!$A$2:$B$435,2,0)</f>
        <v>79</v>
      </c>
      <c r="D206">
        <v>2</v>
      </c>
      <c r="E206" t="str">
        <f>VLOOKUP(D206,Categories!$A$2:$B$8,2,0)</f>
        <v>I2P</v>
      </c>
      <c r="F206">
        <v>7</v>
      </c>
      <c r="G206" t="str">
        <f>VLOOKUP(F206,Subcategories!$A$2:$B$29,2,0)</f>
        <v>Technology</v>
      </c>
      <c r="H206" t="str">
        <f t="shared" si="3"/>
        <v>2-7-79</v>
      </c>
      <c r="I206">
        <f>VLOOKUP(H206,SuiteCatSubElem!$F$2:$G$666,2,0)</f>
        <v>114</v>
      </c>
      <c r="J206">
        <v>1</v>
      </c>
      <c r="K206">
        <v>79</v>
      </c>
      <c r="M206" t="s">
        <v>50</v>
      </c>
      <c r="N206" s="60">
        <v>43101</v>
      </c>
      <c r="O206" t="s">
        <v>50</v>
      </c>
      <c r="P206">
        <v>25</v>
      </c>
      <c r="Q206" t="s">
        <v>1358</v>
      </c>
      <c r="R206" s="44" t="s">
        <v>1168</v>
      </c>
      <c r="S206" s="109" t="s">
        <v>298</v>
      </c>
    </row>
    <row r="207" spans="1:19" ht="24">
      <c r="A207">
        <v>221</v>
      </c>
      <c r="B207" s="126" t="s">
        <v>113</v>
      </c>
      <c r="C207" s="27">
        <f>VLOOKUP(B207,Elements!$A$2:$B$435,2,0)</f>
        <v>79</v>
      </c>
      <c r="D207">
        <v>3</v>
      </c>
      <c r="E207" t="str">
        <f>VLOOKUP(D207,Categories!$A$2:$B$8,2,0)</f>
        <v>P2P</v>
      </c>
      <c r="F207">
        <v>7</v>
      </c>
      <c r="G207" t="str">
        <f>VLOOKUP(F207,Subcategories!$A$2:$B$29,2,0)</f>
        <v>Technology</v>
      </c>
      <c r="H207" t="str">
        <f t="shared" si="3"/>
        <v>3-7-79</v>
      </c>
      <c r="I207">
        <f>VLOOKUP(H207,SuiteCatSubElem!$F$2:$G$666,2,0)</f>
        <v>220</v>
      </c>
      <c r="J207">
        <v>1</v>
      </c>
      <c r="K207">
        <v>79</v>
      </c>
      <c r="M207" t="s">
        <v>50</v>
      </c>
      <c r="N207" s="60">
        <v>43101</v>
      </c>
      <c r="O207" t="s">
        <v>50</v>
      </c>
      <c r="P207">
        <v>83</v>
      </c>
      <c r="Q207" t="s">
        <v>1358</v>
      </c>
      <c r="R207" s="44" t="s">
        <v>1168</v>
      </c>
      <c r="S207" s="109" t="s">
        <v>298</v>
      </c>
    </row>
    <row r="208" spans="1:19" ht="37">
      <c r="A208">
        <v>84</v>
      </c>
      <c r="B208" s="131" t="s">
        <v>114</v>
      </c>
      <c r="C208" s="27">
        <f>VLOOKUP(B208,Elements!$A$2:$B$435,2,0)</f>
        <v>80</v>
      </c>
      <c r="D208">
        <v>1</v>
      </c>
      <c r="E208" t="str">
        <f>VLOOKUP(D208,Categories!$A$2:$B$8,2,0)</f>
        <v>ePRO</v>
      </c>
      <c r="F208">
        <v>7</v>
      </c>
      <c r="G208" t="str">
        <f>VLOOKUP(F208,Subcategories!$A$2:$B$29,2,0)</f>
        <v>Technology</v>
      </c>
      <c r="H208" t="str">
        <f t="shared" si="3"/>
        <v>1-7-80</v>
      </c>
      <c r="I208">
        <f>VLOOKUP(H208,SuiteCatSubElem!$F$2:$G$666,2,0)</f>
        <v>84</v>
      </c>
      <c r="J208">
        <v>1</v>
      </c>
      <c r="K208">
        <v>80</v>
      </c>
      <c r="M208" t="s">
        <v>50</v>
      </c>
      <c r="N208" s="60">
        <v>43101</v>
      </c>
      <c r="O208" t="s">
        <v>50</v>
      </c>
      <c r="P208">
        <v>84</v>
      </c>
      <c r="Q208" t="s">
        <v>1358</v>
      </c>
      <c r="R208" s="44" t="s">
        <v>815</v>
      </c>
      <c r="S208" s="109" t="s">
        <v>1079</v>
      </c>
    </row>
    <row r="209" spans="1:19" ht="37">
      <c r="A209">
        <v>116</v>
      </c>
      <c r="B209" s="126" t="s">
        <v>114</v>
      </c>
      <c r="C209" s="27">
        <f>VLOOKUP(B209,Elements!$A$2:$B$435,2,0)</f>
        <v>80</v>
      </c>
      <c r="D209">
        <v>2</v>
      </c>
      <c r="E209" t="str">
        <f>VLOOKUP(D209,Categories!$A$2:$B$8,2,0)</f>
        <v>I2P</v>
      </c>
      <c r="F209">
        <v>7</v>
      </c>
      <c r="G209" t="str">
        <f>VLOOKUP(F209,Subcategories!$A$2:$B$29,2,0)</f>
        <v>Technology</v>
      </c>
      <c r="H209" t="str">
        <f t="shared" si="3"/>
        <v>2-7-80</v>
      </c>
      <c r="I209">
        <f>VLOOKUP(H209,SuiteCatSubElem!$F$2:$G$666,2,0)</f>
        <v>115</v>
      </c>
      <c r="J209">
        <v>1</v>
      </c>
      <c r="K209">
        <v>80</v>
      </c>
      <c r="M209" t="s">
        <v>50</v>
      </c>
      <c r="N209" s="60">
        <v>43101</v>
      </c>
      <c r="O209" t="s">
        <v>50</v>
      </c>
      <c r="P209">
        <v>26</v>
      </c>
      <c r="Q209" t="s">
        <v>1358</v>
      </c>
      <c r="R209" s="44" t="s">
        <v>815</v>
      </c>
      <c r="S209" s="109" t="s">
        <v>1079</v>
      </c>
    </row>
    <row r="210" spans="1:19" ht="37">
      <c r="A210">
        <v>222</v>
      </c>
      <c r="B210" s="126" t="s">
        <v>114</v>
      </c>
      <c r="C210" s="27">
        <f>VLOOKUP(B210,Elements!$A$2:$B$435,2,0)</f>
        <v>80</v>
      </c>
      <c r="D210">
        <v>3</v>
      </c>
      <c r="E210" t="str">
        <f>VLOOKUP(D210,Categories!$A$2:$B$8,2,0)</f>
        <v>P2P</v>
      </c>
      <c r="F210">
        <v>7</v>
      </c>
      <c r="G210" t="str">
        <f>VLOOKUP(F210,Subcategories!$A$2:$B$29,2,0)</f>
        <v>Technology</v>
      </c>
      <c r="H210" t="str">
        <f t="shared" si="3"/>
        <v>3-7-80</v>
      </c>
      <c r="I210">
        <f>VLOOKUP(H210,SuiteCatSubElem!$F$2:$G$666,2,0)</f>
        <v>221</v>
      </c>
      <c r="J210">
        <v>1</v>
      </c>
      <c r="K210">
        <v>80</v>
      </c>
      <c r="M210" t="s">
        <v>50</v>
      </c>
      <c r="N210" s="60">
        <v>43101</v>
      </c>
      <c r="O210" t="s">
        <v>50</v>
      </c>
      <c r="P210">
        <v>84</v>
      </c>
      <c r="Q210" t="s">
        <v>1358</v>
      </c>
      <c r="R210" s="44" t="s">
        <v>815</v>
      </c>
      <c r="S210" s="109" t="s">
        <v>1079</v>
      </c>
    </row>
    <row r="211" spans="1:19" ht="37">
      <c r="A211">
        <v>483</v>
      </c>
      <c r="B211" s="126" t="s">
        <v>114</v>
      </c>
      <c r="C211" s="27">
        <f>VLOOKUP(B211,Elements!$A$2:$B$435,2,0)</f>
        <v>80</v>
      </c>
      <c r="D211">
        <v>5</v>
      </c>
      <c r="E211" t="str">
        <f>VLOOKUP(D211,Categories!$A$2:$B$8,2,0)</f>
        <v>SA</v>
      </c>
      <c r="F211">
        <v>7</v>
      </c>
      <c r="G211" t="str">
        <f>VLOOKUP(F211,Subcategories!$A$2:$B$29,2,0)</f>
        <v>Technology</v>
      </c>
      <c r="H211" t="str">
        <f t="shared" si="3"/>
        <v>5-7-80</v>
      </c>
      <c r="I211">
        <f>VLOOKUP(H211,SuiteCatSubElem!$F$2:$G$666,2,0)</f>
        <v>477</v>
      </c>
      <c r="J211">
        <v>1</v>
      </c>
      <c r="K211">
        <v>80</v>
      </c>
      <c r="M211" t="s">
        <v>50</v>
      </c>
      <c r="N211" s="60">
        <v>43101</v>
      </c>
      <c r="O211" t="s">
        <v>50</v>
      </c>
      <c r="P211">
        <v>69</v>
      </c>
      <c r="Q211" t="s">
        <v>1358</v>
      </c>
      <c r="R211" s="44" t="s">
        <v>815</v>
      </c>
      <c r="S211" s="109" t="s">
        <v>1079</v>
      </c>
    </row>
    <row r="212" spans="1:19" ht="37">
      <c r="A212">
        <v>585</v>
      </c>
      <c r="B212" s="125" t="s">
        <v>114</v>
      </c>
      <c r="C212" s="27">
        <f>VLOOKUP(B212,Elements!$A$2:$B$435,2,0)</f>
        <v>80</v>
      </c>
      <c r="D212">
        <v>6</v>
      </c>
      <c r="E212" t="str">
        <f>VLOOKUP(D212,Categories!$A$2:$B$8,2,0)</f>
        <v>SXM</v>
      </c>
      <c r="F212">
        <v>7</v>
      </c>
      <c r="G212" t="str">
        <f>VLOOKUP(F212,Subcategories!$A$2:$B$29,2,0)</f>
        <v>Technology</v>
      </c>
      <c r="H212" t="str">
        <f t="shared" si="3"/>
        <v>6-7-80</v>
      </c>
      <c r="I212">
        <f>VLOOKUP(H212,SuiteCatSubElem!$F$2:$G$666,2,0)</f>
        <v>579</v>
      </c>
      <c r="J212">
        <v>1</v>
      </c>
      <c r="K212">
        <v>80</v>
      </c>
      <c r="M212" t="s">
        <v>50</v>
      </c>
      <c r="N212" s="60">
        <v>43101</v>
      </c>
      <c r="O212" t="s">
        <v>50</v>
      </c>
      <c r="P212">
        <v>86</v>
      </c>
      <c r="Q212" t="s">
        <v>1358</v>
      </c>
      <c r="R212" s="44" t="s">
        <v>815</v>
      </c>
      <c r="S212" s="109" t="s">
        <v>1079</v>
      </c>
    </row>
    <row r="213" spans="1:19" ht="37">
      <c r="A213">
        <v>661</v>
      </c>
      <c r="B213" s="126" t="s">
        <v>114</v>
      </c>
      <c r="C213" s="27">
        <f>VLOOKUP(B213,Elements!$A$2:$B$435,2,0)</f>
        <v>80</v>
      </c>
      <c r="D213">
        <v>7</v>
      </c>
      <c r="E213" t="str">
        <f>VLOOKUP(D213,Categories!$A$2:$B$8,2,0)</f>
        <v>CLM</v>
      </c>
      <c r="F213">
        <v>7</v>
      </c>
      <c r="G213" t="str">
        <f>VLOOKUP(F213,Subcategories!$A$2:$B$29,2,0)</f>
        <v>Technology</v>
      </c>
      <c r="H213" t="str">
        <f t="shared" si="3"/>
        <v>7-7-80</v>
      </c>
      <c r="I213">
        <f>VLOOKUP(H213,SuiteCatSubElem!$F$2:$G$666,2,0)</f>
        <v>652</v>
      </c>
      <c r="J213">
        <v>1</v>
      </c>
      <c r="K213">
        <v>80</v>
      </c>
      <c r="M213" t="s">
        <v>50</v>
      </c>
      <c r="N213" s="60">
        <v>43101</v>
      </c>
      <c r="O213" t="s">
        <v>50</v>
      </c>
      <c r="P213">
        <v>58</v>
      </c>
      <c r="Q213" t="s">
        <v>1358</v>
      </c>
      <c r="R213" s="45" t="s">
        <v>815</v>
      </c>
      <c r="S213" s="109" t="s">
        <v>1079</v>
      </c>
    </row>
    <row r="214" spans="1:19" ht="48">
      <c r="A214">
        <v>85</v>
      </c>
      <c r="B214" s="126" t="s">
        <v>115</v>
      </c>
      <c r="C214" s="27">
        <f>VLOOKUP(B214,Elements!$A$2:$B$435,2,0)</f>
        <v>81</v>
      </c>
      <c r="D214">
        <v>1</v>
      </c>
      <c r="E214" t="str">
        <f>VLOOKUP(D214,Categories!$A$2:$B$8,2,0)</f>
        <v>ePRO</v>
      </c>
      <c r="F214">
        <v>7</v>
      </c>
      <c r="G214" t="str">
        <f>VLOOKUP(F214,Subcategories!$A$2:$B$29,2,0)</f>
        <v>Technology</v>
      </c>
      <c r="H214" t="str">
        <f t="shared" si="3"/>
        <v>1-7-81</v>
      </c>
      <c r="I214">
        <f>VLOOKUP(H214,SuiteCatSubElem!$F$2:$G$666,2,0)</f>
        <v>85</v>
      </c>
      <c r="J214">
        <v>1</v>
      </c>
      <c r="K214">
        <v>81</v>
      </c>
      <c r="M214" t="s">
        <v>50</v>
      </c>
      <c r="N214" s="60">
        <v>43101</v>
      </c>
      <c r="O214" t="s">
        <v>50</v>
      </c>
      <c r="P214">
        <v>85</v>
      </c>
      <c r="Q214" t="s">
        <v>1358</v>
      </c>
      <c r="R214" s="143" t="s">
        <v>817</v>
      </c>
      <c r="S214" s="109" t="s">
        <v>1080</v>
      </c>
    </row>
    <row r="215" spans="1:19" ht="48">
      <c r="A215">
        <v>117</v>
      </c>
      <c r="B215" s="126" t="s">
        <v>115</v>
      </c>
      <c r="C215" s="27">
        <f>VLOOKUP(B215,Elements!$A$2:$B$435,2,0)</f>
        <v>81</v>
      </c>
      <c r="D215">
        <v>2</v>
      </c>
      <c r="E215" t="str">
        <f>VLOOKUP(D215,Categories!$A$2:$B$8,2,0)</f>
        <v>I2P</v>
      </c>
      <c r="F215">
        <v>7</v>
      </c>
      <c r="G215" t="str">
        <f>VLOOKUP(F215,Subcategories!$A$2:$B$29,2,0)</f>
        <v>Technology</v>
      </c>
      <c r="H215" t="str">
        <f t="shared" si="3"/>
        <v>2-7-81</v>
      </c>
      <c r="I215">
        <f>VLOOKUP(H215,SuiteCatSubElem!$F$2:$G$666,2,0)</f>
        <v>116</v>
      </c>
      <c r="J215">
        <v>1</v>
      </c>
      <c r="K215">
        <v>81</v>
      </c>
      <c r="M215" t="s">
        <v>50</v>
      </c>
      <c r="N215" s="60">
        <v>43101</v>
      </c>
      <c r="O215" t="s">
        <v>50</v>
      </c>
      <c r="P215">
        <v>27</v>
      </c>
      <c r="Q215" t="s">
        <v>1358</v>
      </c>
      <c r="R215" s="143" t="s">
        <v>817</v>
      </c>
      <c r="S215" s="109" t="s">
        <v>1080</v>
      </c>
    </row>
    <row r="216" spans="1:19" ht="48">
      <c r="A216">
        <v>223</v>
      </c>
      <c r="B216" s="126" t="s">
        <v>115</v>
      </c>
      <c r="C216" s="27">
        <f>VLOOKUP(B216,Elements!$A$2:$B$435,2,0)</f>
        <v>81</v>
      </c>
      <c r="D216">
        <v>3</v>
      </c>
      <c r="E216" t="str">
        <f>VLOOKUP(D216,Categories!$A$2:$B$8,2,0)</f>
        <v>P2P</v>
      </c>
      <c r="F216">
        <v>7</v>
      </c>
      <c r="G216" t="str">
        <f>VLOOKUP(F216,Subcategories!$A$2:$B$29,2,0)</f>
        <v>Technology</v>
      </c>
      <c r="H216" t="str">
        <f t="shared" si="3"/>
        <v>3-7-81</v>
      </c>
      <c r="I216">
        <f>VLOOKUP(H216,SuiteCatSubElem!$F$2:$G$666,2,0)</f>
        <v>222</v>
      </c>
      <c r="J216">
        <v>1</v>
      </c>
      <c r="K216">
        <v>81</v>
      </c>
      <c r="M216" t="s">
        <v>50</v>
      </c>
      <c r="N216" s="60">
        <v>43101</v>
      </c>
      <c r="O216" t="s">
        <v>50</v>
      </c>
      <c r="P216">
        <v>85</v>
      </c>
      <c r="Q216" t="s">
        <v>1358</v>
      </c>
      <c r="R216" s="143" t="s">
        <v>817</v>
      </c>
      <c r="S216" s="109" t="s">
        <v>1080</v>
      </c>
    </row>
    <row r="217" spans="1:19" ht="48">
      <c r="A217">
        <v>390</v>
      </c>
      <c r="B217" s="125" t="s">
        <v>115</v>
      </c>
      <c r="C217" s="27">
        <f>VLOOKUP(B217,Elements!$A$2:$B$435,2,0)</f>
        <v>81</v>
      </c>
      <c r="D217">
        <v>4</v>
      </c>
      <c r="E217" t="str">
        <f>VLOOKUP(D217,Categories!$A$2:$B$8,2,0)</f>
        <v>Sourcing</v>
      </c>
      <c r="F217">
        <v>7</v>
      </c>
      <c r="G217" t="str">
        <f>VLOOKUP(F217,Subcategories!$A$2:$B$29,2,0)</f>
        <v>Technology</v>
      </c>
      <c r="H217" t="str">
        <f t="shared" si="3"/>
        <v>4-7-81</v>
      </c>
      <c r="I217">
        <f>VLOOKUP(H217,SuiteCatSubElem!$F$2:$G$666,2,0)</f>
        <v>384</v>
      </c>
      <c r="J217">
        <v>1</v>
      </c>
      <c r="K217">
        <v>81</v>
      </c>
      <c r="M217" t="s">
        <v>50</v>
      </c>
      <c r="N217" s="60">
        <v>43101</v>
      </c>
      <c r="O217" t="s">
        <v>50</v>
      </c>
      <c r="P217">
        <v>141</v>
      </c>
      <c r="Q217" t="s">
        <v>1358</v>
      </c>
      <c r="R217" s="144" t="s">
        <v>817</v>
      </c>
      <c r="S217" s="109" t="s">
        <v>1080</v>
      </c>
    </row>
    <row r="218" spans="1:19" ht="48">
      <c r="A218">
        <v>484</v>
      </c>
      <c r="B218" s="126" t="s">
        <v>115</v>
      </c>
      <c r="C218" s="27">
        <f>VLOOKUP(B218,Elements!$A$2:$B$435,2,0)</f>
        <v>81</v>
      </c>
      <c r="D218">
        <v>5</v>
      </c>
      <c r="E218" t="str">
        <f>VLOOKUP(D218,Categories!$A$2:$B$8,2,0)</f>
        <v>SA</v>
      </c>
      <c r="F218">
        <v>7</v>
      </c>
      <c r="G218" t="str">
        <f>VLOOKUP(F218,Subcategories!$A$2:$B$29,2,0)</f>
        <v>Technology</v>
      </c>
      <c r="H218" t="str">
        <f t="shared" si="3"/>
        <v>5-7-81</v>
      </c>
      <c r="I218">
        <f>VLOOKUP(H218,SuiteCatSubElem!$F$2:$G$666,2,0)</f>
        <v>478</v>
      </c>
      <c r="J218">
        <v>1</v>
      </c>
      <c r="K218">
        <v>81</v>
      </c>
      <c r="M218" t="s">
        <v>50</v>
      </c>
      <c r="N218" s="60">
        <v>43101</v>
      </c>
      <c r="O218" t="s">
        <v>50</v>
      </c>
      <c r="P218">
        <v>70</v>
      </c>
      <c r="Q218" t="s">
        <v>1358</v>
      </c>
      <c r="R218" s="143" t="s">
        <v>817</v>
      </c>
      <c r="S218" s="109" t="s">
        <v>1080</v>
      </c>
    </row>
    <row r="219" spans="1:19" ht="48">
      <c r="A219">
        <v>586</v>
      </c>
      <c r="B219" s="125" t="s">
        <v>115</v>
      </c>
      <c r="C219" s="27">
        <f>VLOOKUP(B219,Elements!$A$2:$B$435,2,0)</f>
        <v>81</v>
      </c>
      <c r="D219">
        <v>6</v>
      </c>
      <c r="E219" t="str">
        <f>VLOOKUP(D219,Categories!$A$2:$B$8,2,0)</f>
        <v>SXM</v>
      </c>
      <c r="F219">
        <v>7</v>
      </c>
      <c r="G219" t="str">
        <f>VLOOKUP(F219,Subcategories!$A$2:$B$29,2,0)</f>
        <v>Technology</v>
      </c>
      <c r="H219" t="str">
        <f t="shared" si="3"/>
        <v>6-7-81</v>
      </c>
      <c r="I219">
        <f>VLOOKUP(H219,SuiteCatSubElem!$F$2:$G$666,2,0)</f>
        <v>580</v>
      </c>
      <c r="J219">
        <v>1</v>
      </c>
      <c r="K219">
        <v>81</v>
      </c>
      <c r="M219" t="s">
        <v>50</v>
      </c>
      <c r="N219" s="60">
        <v>43101</v>
      </c>
      <c r="O219" t="s">
        <v>50</v>
      </c>
      <c r="P219">
        <v>87</v>
      </c>
      <c r="Q219" t="s">
        <v>1358</v>
      </c>
      <c r="R219" s="143" t="s">
        <v>817</v>
      </c>
      <c r="S219" s="109" t="s">
        <v>1080</v>
      </c>
    </row>
    <row r="220" spans="1:19" ht="48">
      <c r="A220">
        <v>662</v>
      </c>
      <c r="B220" s="126" t="s">
        <v>115</v>
      </c>
      <c r="C220" s="27">
        <f>VLOOKUP(B220,Elements!$A$2:$B$435,2,0)</f>
        <v>81</v>
      </c>
      <c r="D220">
        <v>7</v>
      </c>
      <c r="E220" t="str">
        <f>VLOOKUP(D220,Categories!$A$2:$B$8,2,0)</f>
        <v>CLM</v>
      </c>
      <c r="F220">
        <v>7</v>
      </c>
      <c r="G220" t="str">
        <f>VLOOKUP(F220,Subcategories!$A$2:$B$29,2,0)</f>
        <v>Technology</v>
      </c>
      <c r="H220" t="str">
        <f t="shared" si="3"/>
        <v>7-7-81</v>
      </c>
      <c r="I220">
        <f>VLOOKUP(H220,SuiteCatSubElem!$F$2:$G$666,2,0)</f>
        <v>653</v>
      </c>
      <c r="J220">
        <v>1</v>
      </c>
      <c r="K220">
        <v>81</v>
      </c>
      <c r="M220" t="s">
        <v>50</v>
      </c>
      <c r="N220" s="60">
        <v>43101</v>
      </c>
      <c r="O220" t="s">
        <v>50</v>
      </c>
      <c r="P220">
        <v>59</v>
      </c>
      <c r="Q220" t="s">
        <v>1358</v>
      </c>
      <c r="R220" s="144" t="s">
        <v>817</v>
      </c>
      <c r="S220" s="109" t="s">
        <v>1080</v>
      </c>
    </row>
    <row r="221" spans="1:19" ht="36">
      <c r="A221">
        <v>86</v>
      </c>
      <c r="B221" s="126" t="s">
        <v>116</v>
      </c>
      <c r="C221" s="27">
        <f>VLOOKUP(B221,Elements!$A$2:$B$435,2,0)</f>
        <v>82</v>
      </c>
      <c r="D221">
        <v>1</v>
      </c>
      <c r="E221" t="str">
        <f>VLOOKUP(D221,Categories!$A$2:$B$8,2,0)</f>
        <v>ePRO</v>
      </c>
      <c r="F221">
        <v>7</v>
      </c>
      <c r="G221" t="str">
        <f>VLOOKUP(F221,Subcategories!$A$2:$B$29,2,0)</f>
        <v>Technology</v>
      </c>
      <c r="H221" t="str">
        <f t="shared" si="3"/>
        <v>1-7-82</v>
      </c>
      <c r="I221">
        <f>VLOOKUP(H221,SuiteCatSubElem!$F$2:$G$666,2,0)</f>
        <v>86</v>
      </c>
      <c r="J221">
        <v>1</v>
      </c>
      <c r="K221">
        <v>82</v>
      </c>
      <c r="M221" t="s">
        <v>50</v>
      </c>
      <c r="N221" s="60">
        <v>43101</v>
      </c>
      <c r="O221" t="s">
        <v>50</v>
      </c>
      <c r="P221">
        <v>86</v>
      </c>
      <c r="Q221" t="s">
        <v>1358</v>
      </c>
      <c r="R221" s="44" t="s">
        <v>1368</v>
      </c>
      <c r="S221" s="109" t="s">
        <v>820</v>
      </c>
    </row>
    <row r="222" spans="1:19" ht="36">
      <c r="A222">
        <v>118</v>
      </c>
      <c r="B222" s="126" t="s">
        <v>116</v>
      </c>
      <c r="C222" s="27">
        <f>VLOOKUP(B222,Elements!$A$2:$B$435,2,0)</f>
        <v>82</v>
      </c>
      <c r="D222">
        <v>2</v>
      </c>
      <c r="E222" t="str">
        <f>VLOOKUP(D222,Categories!$A$2:$B$8,2,0)</f>
        <v>I2P</v>
      </c>
      <c r="F222">
        <v>7</v>
      </c>
      <c r="G222" t="str">
        <f>VLOOKUP(F222,Subcategories!$A$2:$B$29,2,0)</f>
        <v>Technology</v>
      </c>
      <c r="H222" t="str">
        <f t="shared" si="3"/>
        <v>2-7-82</v>
      </c>
      <c r="I222">
        <f>VLOOKUP(H222,SuiteCatSubElem!$F$2:$G$666,2,0)</f>
        <v>117</v>
      </c>
      <c r="J222">
        <v>1</v>
      </c>
      <c r="K222">
        <v>82</v>
      </c>
      <c r="M222" t="s">
        <v>50</v>
      </c>
      <c r="N222" s="60">
        <v>43101</v>
      </c>
      <c r="O222" t="s">
        <v>50</v>
      </c>
      <c r="P222">
        <v>28</v>
      </c>
      <c r="Q222" t="s">
        <v>1358</v>
      </c>
      <c r="R222" s="44" t="s">
        <v>1368</v>
      </c>
      <c r="S222" s="109" t="s">
        <v>820</v>
      </c>
    </row>
    <row r="223" spans="1:19" ht="36">
      <c r="A223">
        <v>224</v>
      </c>
      <c r="B223" s="126" t="s">
        <v>116</v>
      </c>
      <c r="C223" s="27">
        <f>VLOOKUP(B223,Elements!$A$2:$B$435,2,0)</f>
        <v>82</v>
      </c>
      <c r="D223">
        <v>3</v>
      </c>
      <c r="E223" t="str">
        <f>VLOOKUP(D223,Categories!$A$2:$B$8,2,0)</f>
        <v>P2P</v>
      </c>
      <c r="F223">
        <v>7</v>
      </c>
      <c r="G223" t="str">
        <f>VLOOKUP(F223,Subcategories!$A$2:$B$29,2,0)</f>
        <v>Technology</v>
      </c>
      <c r="H223" t="str">
        <f t="shared" si="3"/>
        <v>3-7-82</v>
      </c>
      <c r="I223">
        <f>VLOOKUP(H223,SuiteCatSubElem!$F$2:$G$666,2,0)</f>
        <v>223</v>
      </c>
      <c r="J223">
        <v>1</v>
      </c>
      <c r="K223">
        <v>82</v>
      </c>
      <c r="M223" t="s">
        <v>50</v>
      </c>
      <c r="N223" s="60">
        <v>43101</v>
      </c>
      <c r="O223" t="s">
        <v>50</v>
      </c>
      <c r="P223">
        <v>86</v>
      </c>
      <c r="Q223" t="s">
        <v>1358</v>
      </c>
      <c r="R223" s="44" t="s">
        <v>1368</v>
      </c>
      <c r="S223" s="109" t="s">
        <v>820</v>
      </c>
    </row>
    <row r="224" spans="1:19" ht="36">
      <c r="A224">
        <v>391</v>
      </c>
      <c r="B224" s="125" t="s">
        <v>116</v>
      </c>
      <c r="C224" s="27">
        <f>VLOOKUP(B224,Elements!$A$2:$B$435,2,0)</f>
        <v>82</v>
      </c>
      <c r="D224">
        <v>4</v>
      </c>
      <c r="E224" t="str">
        <f>VLOOKUP(D224,Categories!$A$2:$B$8,2,0)</f>
        <v>Sourcing</v>
      </c>
      <c r="F224">
        <v>7</v>
      </c>
      <c r="G224" t="str">
        <f>VLOOKUP(F224,Subcategories!$A$2:$B$29,2,0)</f>
        <v>Technology</v>
      </c>
      <c r="H224" t="str">
        <f t="shared" si="3"/>
        <v>4-7-82</v>
      </c>
      <c r="I224">
        <f>VLOOKUP(H224,SuiteCatSubElem!$F$2:$G$666,2,0)</f>
        <v>385</v>
      </c>
      <c r="J224">
        <v>1</v>
      </c>
      <c r="K224">
        <v>82</v>
      </c>
      <c r="M224" t="s">
        <v>50</v>
      </c>
      <c r="N224" s="60">
        <v>43101</v>
      </c>
      <c r="O224" t="s">
        <v>50</v>
      </c>
      <c r="P224">
        <v>142</v>
      </c>
      <c r="Q224" t="s">
        <v>1358</v>
      </c>
      <c r="R224" s="44" t="s">
        <v>1368</v>
      </c>
      <c r="S224" s="109" t="s">
        <v>820</v>
      </c>
    </row>
    <row r="225" spans="1:19" ht="36">
      <c r="A225">
        <v>485</v>
      </c>
      <c r="B225" s="126" t="s">
        <v>116</v>
      </c>
      <c r="C225" s="27">
        <f>VLOOKUP(B225,Elements!$A$2:$B$435,2,0)</f>
        <v>82</v>
      </c>
      <c r="D225">
        <v>5</v>
      </c>
      <c r="E225" t="str">
        <f>VLOOKUP(D225,Categories!$A$2:$B$8,2,0)</f>
        <v>SA</v>
      </c>
      <c r="F225">
        <v>7</v>
      </c>
      <c r="G225" t="str">
        <f>VLOOKUP(F225,Subcategories!$A$2:$B$29,2,0)</f>
        <v>Technology</v>
      </c>
      <c r="H225" t="str">
        <f t="shared" si="3"/>
        <v>5-7-82</v>
      </c>
      <c r="I225">
        <f>VLOOKUP(H225,SuiteCatSubElem!$F$2:$G$666,2,0)</f>
        <v>479</v>
      </c>
      <c r="J225">
        <v>1</v>
      </c>
      <c r="K225">
        <v>82</v>
      </c>
      <c r="M225" t="s">
        <v>50</v>
      </c>
      <c r="N225" s="60">
        <v>43101</v>
      </c>
      <c r="O225" t="s">
        <v>50</v>
      </c>
      <c r="P225">
        <v>71</v>
      </c>
      <c r="Q225" t="s">
        <v>1358</v>
      </c>
      <c r="R225" s="44" t="s">
        <v>1368</v>
      </c>
      <c r="S225" s="109" t="s">
        <v>820</v>
      </c>
    </row>
    <row r="226" spans="1:19" ht="36">
      <c r="A226">
        <v>587</v>
      </c>
      <c r="B226" s="125" t="s">
        <v>116</v>
      </c>
      <c r="C226" s="27">
        <f>VLOOKUP(B226,Elements!$A$2:$B$435,2,0)</f>
        <v>82</v>
      </c>
      <c r="D226">
        <v>6</v>
      </c>
      <c r="E226" t="str">
        <f>VLOOKUP(D226,Categories!$A$2:$B$8,2,0)</f>
        <v>SXM</v>
      </c>
      <c r="F226">
        <v>7</v>
      </c>
      <c r="G226" t="str">
        <f>VLOOKUP(F226,Subcategories!$A$2:$B$29,2,0)</f>
        <v>Technology</v>
      </c>
      <c r="H226" t="str">
        <f t="shared" si="3"/>
        <v>6-7-82</v>
      </c>
      <c r="I226">
        <f>VLOOKUP(H226,SuiteCatSubElem!$F$2:$G$666,2,0)</f>
        <v>581</v>
      </c>
      <c r="J226">
        <v>1</v>
      </c>
      <c r="K226">
        <v>82</v>
      </c>
      <c r="M226" t="s">
        <v>50</v>
      </c>
      <c r="N226" s="60">
        <v>43101</v>
      </c>
      <c r="O226" t="s">
        <v>50</v>
      </c>
      <c r="P226">
        <v>88</v>
      </c>
      <c r="Q226" t="s">
        <v>1358</v>
      </c>
      <c r="R226" s="44" t="s">
        <v>1368</v>
      </c>
      <c r="S226" s="109" t="s">
        <v>820</v>
      </c>
    </row>
    <row r="227" spans="1:19" ht="36">
      <c r="A227">
        <v>663</v>
      </c>
      <c r="B227" s="126" t="s">
        <v>116</v>
      </c>
      <c r="C227" s="27">
        <f>VLOOKUP(B227,Elements!$A$2:$B$435,2,0)</f>
        <v>82</v>
      </c>
      <c r="D227">
        <v>7</v>
      </c>
      <c r="E227" t="str">
        <f>VLOOKUP(D227,Categories!$A$2:$B$8,2,0)</f>
        <v>CLM</v>
      </c>
      <c r="F227">
        <v>7</v>
      </c>
      <c r="G227" t="str">
        <f>VLOOKUP(F227,Subcategories!$A$2:$B$29,2,0)</f>
        <v>Technology</v>
      </c>
      <c r="H227" t="str">
        <f t="shared" si="3"/>
        <v>7-7-82</v>
      </c>
      <c r="I227">
        <f>VLOOKUP(H227,SuiteCatSubElem!$F$2:$G$666,2,0)</f>
        <v>654</v>
      </c>
      <c r="J227">
        <v>1</v>
      </c>
      <c r="K227">
        <v>82</v>
      </c>
      <c r="M227" t="s">
        <v>50</v>
      </c>
      <c r="N227" s="60">
        <v>43101</v>
      </c>
      <c r="O227" t="s">
        <v>50</v>
      </c>
      <c r="P227">
        <v>60</v>
      </c>
      <c r="Q227" t="s">
        <v>1358</v>
      </c>
      <c r="R227" s="44" t="s">
        <v>1368</v>
      </c>
      <c r="S227" s="109" t="s">
        <v>820</v>
      </c>
    </row>
    <row r="228" spans="1:19" ht="36">
      <c r="A228">
        <v>87</v>
      </c>
      <c r="B228" s="126" t="s">
        <v>117</v>
      </c>
      <c r="C228" s="27">
        <f>VLOOKUP(B228,Elements!$A$2:$B$435,2,0)</f>
        <v>83</v>
      </c>
      <c r="D228">
        <v>1</v>
      </c>
      <c r="E228" t="str">
        <f>VLOOKUP(D228,Categories!$A$2:$B$8,2,0)</f>
        <v>ePRO</v>
      </c>
      <c r="F228">
        <v>8</v>
      </c>
      <c r="G228" t="str">
        <f>VLOOKUP(F228,Subcategories!$A$2:$B$29,2,0)</f>
        <v>General Services</v>
      </c>
      <c r="H228" t="str">
        <f t="shared" si="3"/>
        <v>1-8-83</v>
      </c>
      <c r="I228">
        <f>VLOOKUP(H228,SuiteCatSubElem!$F$2:$G$666,2,0)</f>
        <v>87</v>
      </c>
      <c r="J228">
        <v>1</v>
      </c>
      <c r="K228">
        <v>83</v>
      </c>
      <c r="M228" t="s">
        <v>50</v>
      </c>
      <c r="N228" s="60">
        <v>43101</v>
      </c>
      <c r="O228" t="s">
        <v>50</v>
      </c>
      <c r="P228">
        <v>87</v>
      </c>
      <c r="Q228" t="s">
        <v>1358</v>
      </c>
      <c r="R228" s="44" t="s">
        <v>850</v>
      </c>
      <c r="S228" s="109" t="s">
        <v>298</v>
      </c>
    </row>
    <row r="229" spans="1:19" ht="36">
      <c r="A229">
        <v>119</v>
      </c>
      <c r="B229" s="126" t="s">
        <v>117</v>
      </c>
      <c r="C229" s="27">
        <f>VLOOKUP(B229,Elements!$A$2:$B$435,2,0)</f>
        <v>83</v>
      </c>
      <c r="D229" s="53">
        <v>2</v>
      </c>
      <c r="E229" t="str">
        <f>VLOOKUP(D229,Categories!$A$2:$B$8,2,0)</f>
        <v>I2P</v>
      </c>
      <c r="F229">
        <v>8</v>
      </c>
      <c r="G229" t="str">
        <f>VLOOKUP(F229,Subcategories!$A$2:$B$29,2,0)</f>
        <v>General Services</v>
      </c>
      <c r="H229" t="str">
        <f t="shared" si="3"/>
        <v>2-8-83</v>
      </c>
      <c r="I229">
        <f>VLOOKUP(H229,SuiteCatSubElem!$F$2:$G$666,2,0)</f>
        <v>118</v>
      </c>
      <c r="J229" s="53">
        <v>1</v>
      </c>
      <c r="K229">
        <v>83</v>
      </c>
      <c r="L229" s="53"/>
      <c r="M229" t="s">
        <v>50</v>
      </c>
      <c r="N229" s="60">
        <v>43101</v>
      </c>
      <c r="O229" t="s">
        <v>50</v>
      </c>
      <c r="P229">
        <v>29</v>
      </c>
      <c r="Q229" t="s">
        <v>1358</v>
      </c>
      <c r="R229" s="105" t="s">
        <v>850</v>
      </c>
      <c r="S229" s="112" t="s">
        <v>298</v>
      </c>
    </row>
    <row r="230" spans="1:19" ht="36">
      <c r="A230">
        <v>225</v>
      </c>
      <c r="B230" s="126" t="s">
        <v>117</v>
      </c>
      <c r="C230" s="27">
        <f>VLOOKUP(B230,Elements!$A$2:$B$435,2,0)</f>
        <v>83</v>
      </c>
      <c r="D230">
        <v>3</v>
      </c>
      <c r="E230" t="str">
        <f>VLOOKUP(D230,Categories!$A$2:$B$8,2,0)</f>
        <v>P2P</v>
      </c>
      <c r="F230">
        <v>8</v>
      </c>
      <c r="G230" t="str">
        <f>VLOOKUP(F230,Subcategories!$A$2:$B$29,2,0)</f>
        <v>General Services</v>
      </c>
      <c r="H230" t="str">
        <f t="shared" si="3"/>
        <v>3-8-83</v>
      </c>
      <c r="I230">
        <f>VLOOKUP(H230,SuiteCatSubElem!$F$2:$G$666,2,0)</f>
        <v>224</v>
      </c>
      <c r="J230">
        <v>1</v>
      </c>
      <c r="K230">
        <v>83</v>
      </c>
      <c r="M230" t="s">
        <v>50</v>
      </c>
      <c r="N230" s="60">
        <v>43101</v>
      </c>
      <c r="O230" t="s">
        <v>50</v>
      </c>
      <c r="P230">
        <v>87</v>
      </c>
      <c r="Q230" t="s">
        <v>1358</v>
      </c>
      <c r="R230" s="105" t="s">
        <v>850</v>
      </c>
      <c r="S230" s="109" t="s">
        <v>298</v>
      </c>
    </row>
    <row r="231" spans="1:19" ht="36">
      <c r="A231">
        <v>408</v>
      </c>
      <c r="B231" s="125" t="s">
        <v>117</v>
      </c>
      <c r="C231" s="27">
        <f>VLOOKUP(B231,Elements!$A$2:$B$435,2,0)</f>
        <v>83</v>
      </c>
      <c r="D231">
        <v>4</v>
      </c>
      <c r="E231" t="str">
        <f>VLOOKUP(D231,Categories!$A$2:$B$8,2,0)</f>
        <v>Sourcing</v>
      </c>
      <c r="F231">
        <v>8</v>
      </c>
      <c r="G231" t="str">
        <f>VLOOKUP(F231,Subcategories!$A$2:$B$29,2,0)</f>
        <v>General Services</v>
      </c>
      <c r="H231" t="str">
        <f t="shared" si="3"/>
        <v>4-8-83</v>
      </c>
      <c r="I231">
        <f>VLOOKUP(H231,SuiteCatSubElem!$F$2:$G$666,2,0)</f>
        <v>402</v>
      </c>
      <c r="J231">
        <v>1</v>
      </c>
      <c r="K231">
        <v>83</v>
      </c>
      <c r="M231" t="s">
        <v>50</v>
      </c>
      <c r="N231" s="60">
        <v>43101</v>
      </c>
      <c r="O231" t="s">
        <v>50</v>
      </c>
      <c r="P231">
        <v>159</v>
      </c>
      <c r="Q231" t="s">
        <v>1358</v>
      </c>
      <c r="R231" s="105" t="s">
        <v>850</v>
      </c>
      <c r="S231" s="109" t="s">
        <v>298</v>
      </c>
    </row>
    <row r="232" spans="1:19" ht="37">
      <c r="A232">
        <v>413</v>
      </c>
      <c r="B232" s="126" t="s">
        <v>118</v>
      </c>
      <c r="C232" s="27">
        <f>VLOOKUP(B232,Elements!$A$2:$B$435,2,0)</f>
        <v>84</v>
      </c>
      <c r="D232">
        <v>4</v>
      </c>
      <c r="E232" t="str">
        <f>VLOOKUP(D232,Categories!$A$2:$B$8,2,0)</f>
        <v>Sourcing</v>
      </c>
      <c r="F232">
        <v>8</v>
      </c>
      <c r="G232" t="str">
        <f>VLOOKUP(F232,Subcategories!$A$2:$B$29,2,0)</f>
        <v>General Services</v>
      </c>
      <c r="H232" t="str">
        <f t="shared" si="3"/>
        <v>4-8-84</v>
      </c>
      <c r="I232">
        <f>VLOOKUP(H232,SuiteCatSubElem!$F$2:$G$666,2,0)</f>
        <v>407</v>
      </c>
      <c r="J232">
        <v>1</v>
      </c>
      <c r="K232">
        <v>84</v>
      </c>
      <c r="M232" t="s">
        <v>50</v>
      </c>
      <c r="N232" s="60">
        <v>43101</v>
      </c>
      <c r="O232" t="s">
        <v>50</v>
      </c>
      <c r="P232">
        <v>164</v>
      </c>
      <c r="Q232" t="s">
        <v>1358</v>
      </c>
      <c r="R232" s="115" t="s">
        <v>855</v>
      </c>
      <c r="S232" s="109" t="s">
        <v>298</v>
      </c>
    </row>
    <row r="233" spans="1:19" ht="36">
      <c r="A233">
        <v>88</v>
      </c>
      <c r="B233" s="126" t="s">
        <v>118</v>
      </c>
      <c r="C233" s="27">
        <f>VLOOKUP(B233,Elements!$A$2:$B$435,2,0)</f>
        <v>84</v>
      </c>
      <c r="D233">
        <v>1</v>
      </c>
      <c r="E233" t="str">
        <f>VLOOKUP(D233,Categories!$A$2:$B$8,2,0)</f>
        <v>ePRO</v>
      </c>
      <c r="F233">
        <v>8</v>
      </c>
      <c r="G233" t="str">
        <f>VLOOKUP(F233,Subcategories!$A$2:$B$29,2,0)</f>
        <v>General Services</v>
      </c>
      <c r="H233" t="str">
        <f t="shared" si="3"/>
        <v>1-8-84</v>
      </c>
      <c r="I233">
        <f>VLOOKUP(H233,SuiteCatSubElem!$F$2:$G$666,2,0)</f>
        <v>88</v>
      </c>
      <c r="J233">
        <v>1</v>
      </c>
      <c r="K233">
        <v>84</v>
      </c>
      <c r="M233" t="s">
        <v>50</v>
      </c>
      <c r="N233" s="60">
        <v>43101</v>
      </c>
      <c r="O233" t="s">
        <v>50</v>
      </c>
      <c r="P233">
        <v>88</v>
      </c>
      <c r="Q233" t="s">
        <v>1358</v>
      </c>
      <c r="R233" s="105" t="s">
        <v>855</v>
      </c>
      <c r="S233" s="109" t="s">
        <v>298</v>
      </c>
    </row>
    <row r="234" spans="1:19" ht="36">
      <c r="A234">
        <v>120</v>
      </c>
      <c r="B234" s="126" t="s">
        <v>118</v>
      </c>
      <c r="C234" s="27">
        <f>VLOOKUP(B234,Elements!$A$2:$B$435,2,0)</f>
        <v>84</v>
      </c>
      <c r="D234">
        <v>2</v>
      </c>
      <c r="E234" t="str">
        <f>VLOOKUP(D234,Categories!$A$2:$B$8,2,0)</f>
        <v>I2P</v>
      </c>
      <c r="F234">
        <v>8</v>
      </c>
      <c r="G234" t="str">
        <f>VLOOKUP(F234,Subcategories!$A$2:$B$29,2,0)</f>
        <v>General Services</v>
      </c>
      <c r="H234" t="str">
        <f t="shared" si="3"/>
        <v>2-8-84</v>
      </c>
      <c r="I234">
        <f>VLOOKUP(H234,SuiteCatSubElem!$F$2:$G$666,2,0)</f>
        <v>119</v>
      </c>
      <c r="J234">
        <v>1</v>
      </c>
      <c r="K234">
        <v>84</v>
      </c>
      <c r="M234" t="s">
        <v>50</v>
      </c>
      <c r="N234" s="60">
        <v>43101</v>
      </c>
      <c r="O234" t="s">
        <v>50</v>
      </c>
      <c r="P234">
        <v>30</v>
      </c>
      <c r="Q234" t="s">
        <v>1358</v>
      </c>
      <c r="R234" s="105" t="s">
        <v>855</v>
      </c>
      <c r="S234" s="109" t="s">
        <v>298</v>
      </c>
    </row>
    <row r="235" spans="1:19" ht="36">
      <c r="A235">
        <v>226</v>
      </c>
      <c r="B235" s="126" t="s">
        <v>118</v>
      </c>
      <c r="C235" s="27">
        <f>VLOOKUP(B235,Elements!$A$2:$B$435,2,0)</f>
        <v>84</v>
      </c>
      <c r="D235">
        <v>3</v>
      </c>
      <c r="E235" t="str">
        <f>VLOOKUP(D235,Categories!$A$2:$B$8,2,0)</f>
        <v>P2P</v>
      </c>
      <c r="F235">
        <v>8</v>
      </c>
      <c r="G235" t="str">
        <f>VLOOKUP(F235,Subcategories!$A$2:$B$29,2,0)</f>
        <v>General Services</v>
      </c>
      <c r="H235" t="str">
        <f t="shared" si="3"/>
        <v>3-8-84</v>
      </c>
      <c r="I235">
        <f>VLOOKUP(H235,SuiteCatSubElem!$F$2:$G$666,2,0)</f>
        <v>225</v>
      </c>
      <c r="J235">
        <v>1</v>
      </c>
      <c r="K235">
        <v>84</v>
      </c>
      <c r="M235" t="s">
        <v>50</v>
      </c>
      <c r="N235" s="60">
        <v>43101</v>
      </c>
      <c r="O235" t="s">
        <v>50</v>
      </c>
      <c r="P235">
        <v>88</v>
      </c>
      <c r="Q235" t="s">
        <v>1358</v>
      </c>
      <c r="R235" s="105" t="s">
        <v>855</v>
      </c>
      <c r="S235" s="109" t="s">
        <v>298</v>
      </c>
    </row>
    <row r="236" spans="1:19" ht="48">
      <c r="A236">
        <v>89</v>
      </c>
      <c r="B236" s="126" t="s">
        <v>119</v>
      </c>
      <c r="C236" s="27">
        <f>VLOOKUP(B236,Elements!$A$2:$B$435,2,0)</f>
        <v>85</v>
      </c>
      <c r="D236" s="53">
        <v>1</v>
      </c>
      <c r="E236" t="str">
        <f>VLOOKUP(D236,Categories!$A$2:$B$8,2,0)</f>
        <v>ePRO</v>
      </c>
      <c r="F236">
        <v>8</v>
      </c>
      <c r="G236" t="str">
        <f>VLOOKUP(F236,Subcategories!$A$2:$B$29,2,0)</f>
        <v>General Services</v>
      </c>
      <c r="H236" t="str">
        <f t="shared" si="3"/>
        <v>1-8-85</v>
      </c>
      <c r="I236">
        <f>VLOOKUP(H236,SuiteCatSubElem!$F$2:$G$666,2,0)</f>
        <v>89</v>
      </c>
      <c r="J236" s="53">
        <v>1</v>
      </c>
      <c r="K236">
        <v>85</v>
      </c>
      <c r="L236" s="53"/>
      <c r="M236" t="s">
        <v>50</v>
      </c>
      <c r="N236" s="60">
        <v>43101</v>
      </c>
      <c r="O236" t="s">
        <v>50</v>
      </c>
      <c r="P236">
        <v>89</v>
      </c>
      <c r="Q236" t="s">
        <v>1358</v>
      </c>
      <c r="R236" s="105" t="s">
        <v>856</v>
      </c>
      <c r="S236" s="112" t="s">
        <v>298</v>
      </c>
    </row>
    <row r="237" spans="1:19" ht="48">
      <c r="A237">
        <v>121</v>
      </c>
      <c r="B237" s="126" t="s">
        <v>119</v>
      </c>
      <c r="C237" s="27">
        <f>VLOOKUP(B237,Elements!$A$2:$B$435,2,0)</f>
        <v>85</v>
      </c>
      <c r="D237">
        <v>2</v>
      </c>
      <c r="E237" t="str">
        <f>VLOOKUP(D237,Categories!$A$2:$B$8,2,0)</f>
        <v>I2P</v>
      </c>
      <c r="F237">
        <v>8</v>
      </c>
      <c r="G237" t="str">
        <f>VLOOKUP(F237,Subcategories!$A$2:$B$29,2,0)</f>
        <v>General Services</v>
      </c>
      <c r="H237" t="str">
        <f t="shared" si="3"/>
        <v>2-8-85</v>
      </c>
      <c r="I237">
        <f>VLOOKUP(H237,SuiteCatSubElem!$F$2:$G$666,2,0)</f>
        <v>120</v>
      </c>
      <c r="J237">
        <v>1</v>
      </c>
      <c r="K237">
        <v>85</v>
      </c>
      <c r="M237" t="s">
        <v>50</v>
      </c>
      <c r="N237" s="60">
        <v>43101</v>
      </c>
      <c r="O237" t="s">
        <v>50</v>
      </c>
      <c r="P237">
        <v>31</v>
      </c>
      <c r="Q237" t="s">
        <v>1358</v>
      </c>
      <c r="R237" s="105" t="s">
        <v>856</v>
      </c>
      <c r="S237" s="109" t="s">
        <v>298</v>
      </c>
    </row>
    <row r="238" spans="1:19" ht="48">
      <c r="A238">
        <v>227</v>
      </c>
      <c r="B238" s="126" t="s">
        <v>119</v>
      </c>
      <c r="C238" s="27">
        <f>VLOOKUP(B238,Elements!$A$2:$B$435,2,0)</f>
        <v>85</v>
      </c>
      <c r="D238">
        <v>3</v>
      </c>
      <c r="E238" t="str">
        <f>VLOOKUP(D238,Categories!$A$2:$B$8,2,0)</f>
        <v>P2P</v>
      </c>
      <c r="F238">
        <v>8</v>
      </c>
      <c r="G238" t="str">
        <f>VLOOKUP(F238,Subcategories!$A$2:$B$29,2,0)</f>
        <v>General Services</v>
      </c>
      <c r="H238" t="str">
        <f t="shared" si="3"/>
        <v>3-8-85</v>
      </c>
      <c r="I238">
        <f>VLOOKUP(H238,SuiteCatSubElem!$F$2:$G$666,2,0)</f>
        <v>226</v>
      </c>
      <c r="J238">
        <v>1</v>
      </c>
      <c r="K238">
        <v>85</v>
      </c>
      <c r="M238" t="s">
        <v>50</v>
      </c>
      <c r="N238" s="60">
        <v>43101</v>
      </c>
      <c r="O238" t="s">
        <v>50</v>
      </c>
      <c r="P238">
        <v>89</v>
      </c>
      <c r="Q238" t="s">
        <v>1358</v>
      </c>
      <c r="R238" s="105" t="s">
        <v>856</v>
      </c>
      <c r="S238" s="109" t="s">
        <v>298</v>
      </c>
    </row>
    <row r="239" spans="1:19" ht="48">
      <c r="A239">
        <v>414</v>
      </c>
      <c r="B239" s="125" t="s">
        <v>119</v>
      </c>
      <c r="C239" s="27">
        <f>VLOOKUP(B239,Elements!$A$2:$B$435,2,0)</f>
        <v>85</v>
      </c>
      <c r="D239" s="53">
        <v>4</v>
      </c>
      <c r="E239" t="str">
        <f>VLOOKUP(D239,Categories!$A$2:$B$8,2,0)</f>
        <v>Sourcing</v>
      </c>
      <c r="F239">
        <v>8</v>
      </c>
      <c r="G239" t="str">
        <f>VLOOKUP(F239,Subcategories!$A$2:$B$29,2,0)</f>
        <v>General Services</v>
      </c>
      <c r="H239" t="str">
        <f t="shared" si="3"/>
        <v>4-8-85</v>
      </c>
      <c r="I239">
        <f>VLOOKUP(H239,SuiteCatSubElem!$F$2:$G$666,2,0)</f>
        <v>408</v>
      </c>
      <c r="J239" s="53">
        <v>1</v>
      </c>
      <c r="K239">
        <v>85</v>
      </c>
      <c r="L239" s="53"/>
      <c r="M239" t="s">
        <v>50</v>
      </c>
      <c r="N239" s="60">
        <v>43101</v>
      </c>
      <c r="O239" t="s">
        <v>50</v>
      </c>
      <c r="P239">
        <v>165</v>
      </c>
      <c r="Q239" t="s">
        <v>1358</v>
      </c>
      <c r="R239" s="105" t="s">
        <v>856</v>
      </c>
      <c r="S239" s="112" t="s">
        <v>298</v>
      </c>
    </row>
    <row r="240" spans="1:19" ht="48">
      <c r="A240">
        <v>499</v>
      </c>
      <c r="B240" s="126" t="s">
        <v>119</v>
      </c>
      <c r="C240" s="27">
        <f>VLOOKUP(B240,Elements!$A$2:$B$435,2,0)</f>
        <v>85</v>
      </c>
      <c r="D240" s="53">
        <v>5</v>
      </c>
      <c r="E240" t="str">
        <f>VLOOKUP(D240,Categories!$A$2:$B$8,2,0)</f>
        <v>SA</v>
      </c>
      <c r="F240">
        <v>8</v>
      </c>
      <c r="G240" t="str">
        <f>VLOOKUP(F240,Subcategories!$A$2:$B$29,2,0)</f>
        <v>General Services</v>
      </c>
      <c r="H240" t="str">
        <f t="shared" si="3"/>
        <v>5-8-85</v>
      </c>
      <c r="I240">
        <f>VLOOKUP(H240,SuiteCatSubElem!$F$2:$G$666,2,0)</f>
        <v>493</v>
      </c>
      <c r="J240" s="53">
        <v>1</v>
      </c>
      <c r="K240">
        <v>85</v>
      </c>
      <c r="L240" s="53"/>
      <c r="M240" t="s">
        <v>50</v>
      </c>
      <c r="N240" s="60">
        <v>43101</v>
      </c>
      <c r="O240" t="s">
        <v>50</v>
      </c>
      <c r="P240">
        <v>85</v>
      </c>
      <c r="Q240" t="s">
        <v>1358</v>
      </c>
      <c r="R240" s="105" t="s">
        <v>856</v>
      </c>
      <c r="S240" s="112" t="s">
        <v>298</v>
      </c>
    </row>
    <row r="241" spans="1:19" ht="60">
      <c r="A241">
        <v>122</v>
      </c>
      <c r="B241" s="126" t="s">
        <v>531</v>
      </c>
      <c r="C241" s="27">
        <f>VLOOKUP(B241,Elements!$A$2:$B$435,2,0)</f>
        <v>86</v>
      </c>
      <c r="D241">
        <v>2</v>
      </c>
      <c r="E241" t="str">
        <f>VLOOKUP(D241,Categories!$A$2:$B$8,2,0)</f>
        <v>I2P</v>
      </c>
      <c r="F241">
        <v>9</v>
      </c>
      <c r="G241" t="str">
        <f>VLOOKUP(F241,Subcategories!$A$2:$B$29,2,0)</f>
        <v>Invoicing</v>
      </c>
      <c r="H241" t="str">
        <f t="shared" si="3"/>
        <v>2-9-86</v>
      </c>
      <c r="I241">
        <f>VLOOKUP(H241,SuiteCatSubElem!$F$2:$G$666,2,0)</f>
        <v>121</v>
      </c>
      <c r="J241">
        <v>1</v>
      </c>
      <c r="K241">
        <v>86</v>
      </c>
      <c r="M241" t="s">
        <v>50</v>
      </c>
      <c r="N241" s="60">
        <v>43101</v>
      </c>
      <c r="O241" t="s">
        <v>50</v>
      </c>
      <c r="P241">
        <v>32</v>
      </c>
      <c r="Q241" t="s">
        <v>1358</v>
      </c>
      <c r="R241" s="101" t="s">
        <v>1172</v>
      </c>
      <c r="S241" s="109" t="s">
        <v>298</v>
      </c>
    </row>
    <row r="242" spans="1:19" ht="60">
      <c r="A242">
        <v>228</v>
      </c>
      <c r="B242" s="126" t="s">
        <v>531</v>
      </c>
      <c r="C242" s="27">
        <f>VLOOKUP(B242,Elements!$A$2:$B$435,2,0)</f>
        <v>86</v>
      </c>
      <c r="D242">
        <v>3</v>
      </c>
      <c r="E242" t="str">
        <f>VLOOKUP(D242,Categories!$A$2:$B$8,2,0)</f>
        <v>P2P</v>
      </c>
      <c r="F242">
        <v>9</v>
      </c>
      <c r="G242" t="str">
        <f>VLOOKUP(F242,Subcategories!$A$2:$B$29,2,0)</f>
        <v>Invoicing</v>
      </c>
      <c r="H242" t="str">
        <f t="shared" si="3"/>
        <v>3-9-86</v>
      </c>
      <c r="I242">
        <f>VLOOKUP(H242,SuiteCatSubElem!$F$2:$G$666,2,0)</f>
        <v>227</v>
      </c>
      <c r="J242">
        <v>1</v>
      </c>
      <c r="K242">
        <v>86</v>
      </c>
      <c r="M242" t="s">
        <v>50</v>
      </c>
      <c r="N242" s="60">
        <v>43101</v>
      </c>
      <c r="O242" t="s">
        <v>50</v>
      </c>
      <c r="P242">
        <v>90</v>
      </c>
      <c r="Q242" t="s">
        <v>1358</v>
      </c>
      <c r="R242" s="101" t="s">
        <v>1172</v>
      </c>
      <c r="S242" s="109" t="s">
        <v>298</v>
      </c>
    </row>
    <row r="243" spans="1:19" ht="108">
      <c r="A243">
        <v>123</v>
      </c>
      <c r="B243" s="126" t="s">
        <v>121</v>
      </c>
      <c r="C243" s="27">
        <f>VLOOKUP(B243,Elements!$A$2:$B$435,2,0)</f>
        <v>87</v>
      </c>
      <c r="D243">
        <v>2</v>
      </c>
      <c r="E243" t="str">
        <f>VLOOKUP(D243,Categories!$A$2:$B$8,2,0)</f>
        <v>I2P</v>
      </c>
      <c r="F243">
        <v>9</v>
      </c>
      <c r="G243" t="str">
        <f>VLOOKUP(F243,Subcategories!$A$2:$B$29,2,0)</f>
        <v>Invoicing</v>
      </c>
      <c r="H243" t="str">
        <f t="shared" si="3"/>
        <v>2-9-87</v>
      </c>
      <c r="I243">
        <f>VLOOKUP(H243,SuiteCatSubElem!$F$2:$G$666,2,0)</f>
        <v>122</v>
      </c>
      <c r="J243">
        <v>1</v>
      </c>
      <c r="K243">
        <v>87</v>
      </c>
      <c r="M243" t="s">
        <v>50</v>
      </c>
      <c r="N243" s="60">
        <v>43101</v>
      </c>
      <c r="O243" t="s">
        <v>50</v>
      </c>
      <c r="P243">
        <v>33</v>
      </c>
      <c r="Q243" t="s">
        <v>1358</v>
      </c>
      <c r="R243" s="101" t="s">
        <v>1173</v>
      </c>
      <c r="S243" s="109" t="s">
        <v>298</v>
      </c>
    </row>
    <row r="244" spans="1:19" s="4" customFormat="1" ht="109" thickBot="1">
      <c r="A244">
        <v>229</v>
      </c>
      <c r="B244" s="129" t="s">
        <v>121</v>
      </c>
      <c r="C244" s="27">
        <f>VLOOKUP(B244,Elements!$A$2:$B$435,2,0)</f>
        <v>87</v>
      </c>
      <c r="D244" s="4">
        <v>3</v>
      </c>
      <c r="E244" t="str">
        <f>VLOOKUP(D244,Categories!$A$2:$B$8,2,0)</f>
        <v>P2P</v>
      </c>
      <c r="F244">
        <v>9</v>
      </c>
      <c r="G244" t="str">
        <f>VLOOKUP(F244,Subcategories!$A$2:$B$29,2,0)</f>
        <v>Invoicing</v>
      </c>
      <c r="H244" t="str">
        <f t="shared" si="3"/>
        <v>3-9-87</v>
      </c>
      <c r="I244">
        <f>VLOOKUP(H244,SuiteCatSubElem!$F$2:$G$666,2,0)</f>
        <v>228</v>
      </c>
      <c r="J244" s="4">
        <v>1</v>
      </c>
      <c r="K244">
        <v>87</v>
      </c>
      <c r="M244" t="s">
        <v>50</v>
      </c>
      <c r="N244" s="60">
        <v>43101</v>
      </c>
      <c r="O244" t="s">
        <v>50</v>
      </c>
      <c r="P244">
        <v>91</v>
      </c>
      <c r="Q244" t="s">
        <v>1358</v>
      </c>
      <c r="R244" s="101" t="s">
        <v>1173</v>
      </c>
      <c r="S244" s="114" t="s">
        <v>298</v>
      </c>
    </row>
    <row r="245" spans="1:19" ht="36">
      <c r="A245">
        <v>124</v>
      </c>
      <c r="B245" s="131" t="s">
        <v>122</v>
      </c>
      <c r="C245" s="27">
        <f>VLOOKUP(B245,Elements!$A$2:$B$435,2,0)</f>
        <v>88</v>
      </c>
      <c r="D245">
        <v>2</v>
      </c>
      <c r="E245" t="str">
        <f>VLOOKUP(D245,Categories!$A$2:$B$8,2,0)</f>
        <v>I2P</v>
      </c>
      <c r="F245">
        <v>9</v>
      </c>
      <c r="G245" t="str">
        <f>VLOOKUP(F245,Subcategories!$A$2:$B$29,2,0)</f>
        <v>Invoicing</v>
      </c>
      <c r="H245" t="str">
        <f t="shared" si="3"/>
        <v>2-9-88</v>
      </c>
      <c r="I245">
        <f>VLOOKUP(H245,SuiteCatSubElem!$F$2:$G$666,2,0)</f>
        <v>123</v>
      </c>
      <c r="J245">
        <v>1</v>
      </c>
      <c r="K245">
        <v>88</v>
      </c>
      <c r="M245" t="s">
        <v>50</v>
      </c>
      <c r="N245" s="60">
        <v>43101</v>
      </c>
      <c r="O245" t="s">
        <v>50</v>
      </c>
      <c r="P245">
        <v>34</v>
      </c>
      <c r="Q245" t="s">
        <v>1358</v>
      </c>
      <c r="R245" s="101" t="s">
        <v>1174</v>
      </c>
      <c r="S245" s="109" t="s">
        <v>298</v>
      </c>
    </row>
    <row r="246" spans="1:19" ht="36">
      <c r="A246">
        <v>230</v>
      </c>
      <c r="B246" s="131" t="s">
        <v>122</v>
      </c>
      <c r="C246" s="27">
        <f>VLOOKUP(B246,Elements!$A$2:$B$435,2,0)</f>
        <v>88</v>
      </c>
      <c r="D246">
        <v>3</v>
      </c>
      <c r="E246" t="str">
        <f>VLOOKUP(D246,Categories!$A$2:$B$8,2,0)</f>
        <v>P2P</v>
      </c>
      <c r="F246">
        <v>9</v>
      </c>
      <c r="G246" t="str">
        <f>VLOOKUP(F246,Subcategories!$A$2:$B$29,2,0)</f>
        <v>Invoicing</v>
      </c>
      <c r="H246" t="str">
        <f t="shared" si="3"/>
        <v>3-9-88</v>
      </c>
      <c r="I246">
        <f>VLOOKUP(H246,SuiteCatSubElem!$F$2:$G$666,2,0)</f>
        <v>229</v>
      </c>
      <c r="J246">
        <v>1</v>
      </c>
      <c r="K246">
        <v>88</v>
      </c>
      <c r="M246" t="s">
        <v>50</v>
      </c>
      <c r="N246" s="60">
        <v>43101</v>
      </c>
      <c r="O246" t="s">
        <v>50</v>
      </c>
      <c r="P246">
        <v>92</v>
      </c>
      <c r="Q246" t="s">
        <v>1358</v>
      </c>
      <c r="R246" s="101" t="s">
        <v>1174</v>
      </c>
      <c r="S246" s="109" t="s">
        <v>298</v>
      </c>
    </row>
    <row r="247" spans="1:19" ht="60">
      <c r="A247">
        <v>125</v>
      </c>
      <c r="B247" s="131" t="s">
        <v>123</v>
      </c>
      <c r="C247" s="27">
        <f>VLOOKUP(B247,Elements!$A$2:$B$435,2,0)</f>
        <v>89</v>
      </c>
      <c r="D247">
        <v>2</v>
      </c>
      <c r="E247" t="str">
        <f>VLOOKUP(D247,Categories!$A$2:$B$8,2,0)</f>
        <v>I2P</v>
      </c>
      <c r="F247">
        <v>9</v>
      </c>
      <c r="G247" t="str">
        <f>VLOOKUP(F247,Subcategories!$A$2:$B$29,2,0)</f>
        <v>Invoicing</v>
      </c>
      <c r="H247" t="str">
        <f t="shared" si="3"/>
        <v>2-9-89</v>
      </c>
      <c r="I247">
        <f>VLOOKUP(H247,SuiteCatSubElem!$F$2:$G$666,2,0)</f>
        <v>124</v>
      </c>
      <c r="J247">
        <v>1</v>
      </c>
      <c r="K247">
        <v>89</v>
      </c>
      <c r="M247" t="s">
        <v>50</v>
      </c>
      <c r="N247" s="60">
        <v>43101</v>
      </c>
      <c r="O247" t="s">
        <v>50</v>
      </c>
      <c r="P247">
        <v>35</v>
      </c>
      <c r="Q247" t="s">
        <v>1358</v>
      </c>
      <c r="R247" s="104" t="s">
        <v>1175</v>
      </c>
      <c r="S247" s="109" t="s">
        <v>298</v>
      </c>
    </row>
    <row r="248" spans="1:19" ht="60">
      <c r="A248">
        <v>231</v>
      </c>
      <c r="B248" s="131" t="s">
        <v>123</v>
      </c>
      <c r="C248" s="27">
        <f>VLOOKUP(B248,Elements!$A$2:$B$435,2,0)</f>
        <v>89</v>
      </c>
      <c r="D248">
        <v>3</v>
      </c>
      <c r="E248" t="str">
        <f>VLOOKUP(D248,Categories!$A$2:$B$8,2,0)</f>
        <v>P2P</v>
      </c>
      <c r="F248">
        <v>9</v>
      </c>
      <c r="G248" t="str">
        <f>VLOOKUP(F248,Subcategories!$A$2:$B$29,2,0)</f>
        <v>Invoicing</v>
      </c>
      <c r="H248" t="str">
        <f t="shared" si="3"/>
        <v>3-9-89</v>
      </c>
      <c r="I248">
        <f>VLOOKUP(H248,SuiteCatSubElem!$F$2:$G$666,2,0)</f>
        <v>230</v>
      </c>
      <c r="J248">
        <v>1</v>
      </c>
      <c r="K248">
        <v>89</v>
      </c>
      <c r="M248" t="s">
        <v>50</v>
      </c>
      <c r="N248" s="60">
        <v>43101</v>
      </c>
      <c r="O248" t="s">
        <v>50</v>
      </c>
      <c r="P248">
        <v>93</v>
      </c>
      <c r="Q248" t="s">
        <v>1358</v>
      </c>
      <c r="R248" s="104" t="s">
        <v>1175</v>
      </c>
      <c r="S248" s="109" t="s">
        <v>298</v>
      </c>
    </row>
    <row r="249" spans="1:19" ht="108">
      <c r="A249">
        <v>126</v>
      </c>
      <c r="B249" s="131" t="s">
        <v>124</v>
      </c>
      <c r="C249" s="27">
        <f>VLOOKUP(B249,Elements!$A$2:$B$435,2,0)</f>
        <v>90</v>
      </c>
      <c r="D249">
        <v>2</v>
      </c>
      <c r="E249" t="str">
        <f>VLOOKUP(D249,Categories!$A$2:$B$8,2,0)</f>
        <v>I2P</v>
      </c>
      <c r="F249">
        <v>9</v>
      </c>
      <c r="G249" t="str">
        <f>VLOOKUP(F249,Subcategories!$A$2:$B$29,2,0)</f>
        <v>Invoicing</v>
      </c>
      <c r="H249" t="str">
        <f t="shared" si="3"/>
        <v>2-9-90</v>
      </c>
      <c r="I249">
        <f>VLOOKUP(H249,SuiteCatSubElem!$F$2:$G$666,2,0)</f>
        <v>125</v>
      </c>
      <c r="J249">
        <v>1</v>
      </c>
      <c r="K249">
        <v>90</v>
      </c>
      <c r="M249" t="s">
        <v>50</v>
      </c>
      <c r="N249" s="60">
        <v>43101</v>
      </c>
      <c r="O249" t="s">
        <v>50</v>
      </c>
      <c r="P249">
        <v>36</v>
      </c>
      <c r="Q249" t="s">
        <v>1358</v>
      </c>
      <c r="R249" s="104" t="s">
        <v>1176</v>
      </c>
      <c r="S249" s="109" t="s">
        <v>298</v>
      </c>
    </row>
    <row r="250" spans="1:19" ht="108">
      <c r="A250">
        <v>232</v>
      </c>
      <c r="B250" s="131" t="s">
        <v>124</v>
      </c>
      <c r="C250" s="27">
        <f>VLOOKUP(B250,Elements!$A$2:$B$435,2,0)</f>
        <v>90</v>
      </c>
      <c r="D250">
        <v>3</v>
      </c>
      <c r="E250" t="str">
        <f>VLOOKUP(D250,Categories!$A$2:$B$8,2,0)</f>
        <v>P2P</v>
      </c>
      <c r="F250">
        <v>9</v>
      </c>
      <c r="G250" t="str">
        <f>VLOOKUP(F250,Subcategories!$A$2:$B$29,2,0)</f>
        <v>Invoicing</v>
      </c>
      <c r="H250" t="str">
        <f t="shared" si="3"/>
        <v>3-9-90</v>
      </c>
      <c r="I250">
        <f>VLOOKUP(H250,SuiteCatSubElem!$F$2:$G$666,2,0)</f>
        <v>231</v>
      </c>
      <c r="J250">
        <v>1</v>
      </c>
      <c r="K250">
        <v>90</v>
      </c>
      <c r="M250" t="s">
        <v>50</v>
      </c>
      <c r="N250" s="60">
        <v>43101</v>
      </c>
      <c r="O250" t="s">
        <v>50</v>
      </c>
      <c r="P250">
        <v>94</v>
      </c>
      <c r="Q250" t="s">
        <v>1358</v>
      </c>
      <c r="R250" s="104" t="s">
        <v>1176</v>
      </c>
      <c r="S250" s="109" t="s">
        <v>298</v>
      </c>
    </row>
    <row r="251" spans="1:19" ht="96">
      <c r="A251">
        <v>127</v>
      </c>
      <c r="B251" s="131" t="s">
        <v>530</v>
      </c>
      <c r="C251" s="27">
        <f>VLOOKUP(B251,Elements!$A$2:$B$435,2,0)</f>
        <v>91</v>
      </c>
      <c r="D251">
        <v>2</v>
      </c>
      <c r="E251" t="str">
        <f>VLOOKUP(D251,Categories!$A$2:$B$8,2,0)</f>
        <v>I2P</v>
      </c>
      <c r="F251">
        <v>9</v>
      </c>
      <c r="G251" t="str">
        <f>VLOOKUP(F251,Subcategories!$A$2:$B$29,2,0)</f>
        <v>Invoicing</v>
      </c>
      <c r="H251" t="str">
        <f t="shared" si="3"/>
        <v>2-9-91</v>
      </c>
      <c r="I251">
        <f>VLOOKUP(H251,SuiteCatSubElem!$F$2:$G$666,2,0)</f>
        <v>126</v>
      </c>
      <c r="J251">
        <v>1</v>
      </c>
      <c r="K251">
        <v>91</v>
      </c>
      <c r="M251" t="s">
        <v>50</v>
      </c>
      <c r="N251" s="60">
        <v>43101</v>
      </c>
      <c r="O251" t="s">
        <v>50</v>
      </c>
      <c r="P251">
        <v>37</v>
      </c>
      <c r="Q251" t="s">
        <v>1358</v>
      </c>
      <c r="R251" s="104" t="s">
        <v>1177</v>
      </c>
      <c r="S251" s="109" t="s">
        <v>298</v>
      </c>
    </row>
    <row r="252" spans="1:19" ht="96">
      <c r="A252">
        <v>233</v>
      </c>
      <c r="B252" s="131" t="s">
        <v>530</v>
      </c>
      <c r="C252" s="27">
        <f>VLOOKUP(B252,Elements!$A$2:$B$435,2,0)</f>
        <v>91</v>
      </c>
      <c r="D252">
        <v>3</v>
      </c>
      <c r="E252" t="str">
        <f>VLOOKUP(D252,Categories!$A$2:$B$8,2,0)</f>
        <v>P2P</v>
      </c>
      <c r="F252">
        <v>9</v>
      </c>
      <c r="G252" t="str">
        <f>VLOOKUP(F252,Subcategories!$A$2:$B$29,2,0)</f>
        <v>Invoicing</v>
      </c>
      <c r="H252" t="str">
        <f t="shared" si="3"/>
        <v>3-9-91</v>
      </c>
      <c r="I252">
        <f>VLOOKUP(H252,SuiteCatSubElem!$F$2:$G$666,2,0)</f>
        <v>232</v>
      </c>
      <c r="J252">
        <v>1</v>
      </c>
      <c r="K252">
        <v>91</v>
      </c>
      <c r="M252" t="s">
        <v>50</v>
      </c>
      <c r="N252" s="60">
        <v>43101</v>
      </c>
      <c r="O252" t="s">
        <v>50</v>
      </c>
      <c r="P252">
        <v>95</v>
      </c>
      <c r="Q252" t="s">
        <v>1358</v>
      </c>
      <c r="R252" s="104" t="s">
        <v>1177</v>
      </c>
      <c r="S252" s="109" t="s">
        <v>298</v>
      </c>
    </row>
    <row r="253" spans="1:19" ht="120">
      <c r="A253">
        <v>128</v>
      </c>
      <c r="B253" s="131" t="s">
        <v>126</v>
      </c>
      <c r="C253" s="27">
        <f>VLOOKUP(B253,Elements!$A$2:$B$435,2,0)</f>
        <v>92</v>
      </c>
      <c r="D253">
        <v>2</v>
      </c>
      <c r="E253" t="str">
        <f>VLOOKUP(D253,Categories!$A$2:$B$8,2,0)</f>
        <v>I2P</v>
      </c>
      <c r="F253">
        <v>9</v>
      </c>
      <c r="G253" t="str">
        <f>VLOOKUP(F253,Subcategories!$A$2:$B$29,2,0)</f>
        <v>Invoicing</v>
      </c>
      <c r="H253" t="str">
        <f t="shared" si="3"/>
        <v>2-9-92</v>
      </c>
      <c r="I253">
        <f>VLOOKUP(H253,SuiteCatSubElem!$F$2:$G$666,2,0)</f>
        <v>127</v>
      </c>
      <c r="J253">
        <v>1</v>
      </c>
      <c r="K253">
        <v>92</v>
      </c>
      <c r="M253" t="s">
        <v>50</v>
      </c>
      <c r="N253" s="60">
        <v>43101</v>
      </c>
      <c r="O253" t="s">
        <v>50</v>
      </c>
      <c r="P253">
        <v>38</v>
      </c>
      <c r="Q253" t="s">
        <v>1358</v>
      </c>
      <c r="R253" s="104" t="s">
        <v>1178</v>
      </c>
      <c r="S253" s="109" t="s">
        <v>298</v>
      </c>
    </row>
    <row r="254" spans="1:19" ht="120">
      <c r="A254">
        <v>234</v>
      </c>
      <c r="B254" s="131" t="s">
        <v>126</v>
      </c>
      <c r="C254" s="27">
        <f>VLOOKUP(B254,Elements!$A$2:$B$435,2,0)</f>
        <v>92</v>
      </c>
      <c r="D254">
        <v>3</v>
      </c>
      <c r="E254" t="str">
        <f>VLOOKUP(D254,Categories!$A$2:$B$8,2,0)</f>
        <v>P2P</v>
      </c>
      <c r="F254">
        <v>9</v>
      </c>
      <c r="G254" t="str">
        <f>VLOOKUP(F254,Subcategories!$A$2:$B$29,2,0)</f>
        <v>Invoicing</v>
      </c>
      <c r="H254" t="str">
        <f t="shared" si="3"/>
        <v>3-9-92</v>
      </c>
      <c r="I254">
        <f>VLOOKUP(H254,SuiteCatSubElem!$F$2:$G$666,2,0)</f>
        <v>233</v>
      </c>
      <c r="J254">
        <v>1</v>
      </c>
      <c r="K254">
        <v>92</v>
      </c>
      <c r="M254" t="s">
        <v>50</v>
      </c>
      <c r="N254" s="60">
        <v>43101</v>
      </c>
      <c r="O254" t="s">
        <v>50</v>
      </c>
      <c r="P254">
        <v>96</v>
      </c>
      <c r="Q254" t="s">
        <v>1358</v>
      </c>
      <c r="R254" s="104" t="s">
        <v>1178</v>
      </c>
      <c r="S254" s="109" t="s">
        <v>298</v>
      </c>
    </row>
    <row r="255" spans="1:19" ht="36">
      <c r="A255">
        <v>129</v>
      </c>
      <c r="B255" s="131" t="s">
        <v>127</v>
      </c>
      <c r="C255" s="27">
        <f>VLOOKUP(B255,Elements!$A$2:$B$435,2,0)</f>
        <v>93</v>
      </c>
      <c r="D255">
        <v>2</v>
      </c>
      <c r="E255" t="str">
        <f>VLOOKUP(D255,Categories!$A$2:$B$8,2,0)</f>
        <v>I2P</v>
      </c>
      <c r="F255">
        <v>9</v>
      </c>
      <c r="G255" t="str">
        <f>VLOOKUP(F255,Subcategories!$A$2:$B$29,2,0)</f>
        <v>Invoicing</v>
      </c>
      <c r="H255" t="str">
        <f t="shared" si="3"/>
        <v>2-9-93</v>
      </c>
      <c r="I255">
        <f>VLOOKUP(H255,SuiteCatSubElem!$F$2:$G$666,2,0)</f>
        <v>128</v>
      </c>
      <c r="J255">
        <v>1</v>
      </c>
      <c r="K255">
        <v>93</v>
      </c>
      <c r="M255" t="s">
        <v>50</v>
      </c>
      <c r="N255" s="60">
        <v>43101</v>
      </c>
      <c r="O255" t="s">
        <v>50</v>
      </c>
      <c r="P255">
        <v>39</v>
      </c>
      <c r="Q255" t="s">
        <v>1358</v>
      </c>
      <c r="R255" s="104" t="s">
        <v>1179</v>
      </c>
      <c r="S255" s="109" t="s">
        <v>298</v>
      </c>
    </row>
    <row r="256" spans="1:19" ht="36">
      <c r="A256">
        <v>235</v>
      </c>
      <c r="B256" s="131" t="s">
        <v>127</v>
      </c>
      <c r="C256" s="27">
        <f>VLOOKUP(B256,Elements!$A$2:$B$435,2,0)</f>
        <v>93</v>
      </c>
      <c r="D256">
        <v>3</v>
      </c>
      <c r="E256" t="str">
        <f>VLOOKUP(D256,Categories!$A$2:$B$8,2,0)</f>
        <v>P2P</v>
      </c>
      <c r="F256">
        <v>9</v>
      </c>
      <c r="G256" t="str">
        <f>VLOOKUP(F256,Subcategories!$A$2:$B$29,2,0)</f>
        <v>Invoicing</v>
      </c>
      <c r="H256" t="str">
        <f t="shared" si="3"/>
        <v>3-9-93</v>
      </c>
      <c r="I256">
        <f>VLOOKUP(H256,SuiteCatSubElem!$F$2:$G$666,2,0)</f>
        <v>234</v>
      </c>
      <c r="J256">
        <v>1</v>
      </c>
      <c r="K256">
        <v>93</v>
      </c>
      <c r="M256" t="s">
        <v>50</v>
      </c>
      <c r="N256" s="60">
        <v>43101</v>
      </c>
      <c r="O256" t="s">
        <v>50</v>
      </c>
      <c r="P256">
        <v>97</v>
      </c>
      <c r="Q256" t="s">
        <v>1358</v>
      </c>
      <c r="R256" s="104" t="s">
        <v>1179</v>
      </c>
      <c r="S256" s="109" t="s">
        <v>298</v>
      </c>
    </row>
    <row r="257" spans="1:19" ht="96">
      <c r="A257">
        <v>130</v>
      </c>
      <c r="B257" s="131" t="s">
        <v>128</v>
      </c>
      <c r="C257" s="27">
        <f>VLOOKUP(B257,Elements!$A$2:$B$435,2,0)</f>
        <v>94</v>
      </c>
      <c r="D257">
        <v>2</v>
      </c>
      <c r="E257" t="str">
        <f>VLOOKUP(D257,Categories!$A$2:$B$8,2,0)</f>
        <v>I2P</v>
      </c>
      <c r="F257">
        <v>9</v>
      </c>
      <c r="G257" t="str">
        <f>VLOOKUP(F257,Subcategories!$A$2:$B$29,2,0)</f>
        <v>Invoicing</v>
      </c>
      <c r="H257" t="str">
        <f t="shared" si="3"/>
        <v>2-9-94</v>
      </c>
      <c r="I257">
        <f>VLOOKUP(H257,SuiteCatSubElem!$F$2:$G$666,2,0)</f>
        <v>129</v>
      </c>
      <c r="J257">
        <v>1</v>
      </c>
      <c r="K257">
        <v>94</v>
      </c>
      <c r="M257" t="s">
        <v>50</v>
      </c>
      <c r="N257" s="60">
        <v>43101</v>
      </c>
      <c r="O257" t="s">
        <v>50</v>
      </c>
      <c r="P257">
        <v>40</v>
      </c>
      <c r="Q257" t="s">
        <v>1358</v>
      </c>
      <c r="R257" s="104" t="s">
        <v>1180</v>
      </c>
      <c r="S257" s="109" t="s">
        <v>298</v>
      </c>
    </row>
    <row r="258" spans="1:19" ht="96">
      <c r="A258">
        <v>236</v>
      </c>
      <c r="B258" s="131" t="s">
        <v>128</v>
      </c>
      <c r="C258" s="27">
        <f>VLOOKUP(B258,Elements!$A$2:$B$435,2,0)</f>
        <v>94</v>
      </c>
      <c r="D258">
        <v>3</v>
      </c>
      <c r="E258" t="str">
        <f>VLOOKUP(D258,Categories!$A$2:$B$8,2,0)</f>
        <v>P2P</v>
      </c>
      <c r="F258">
        <v>9</v>
      </c>
      <c r="G258" t="str">
        <f>VLOOKUP(F258,Subcategories!$A$2:$B$29,2,0)</f>
        <v>Invoicing</v>
      </c>
      <c r="H258" t="str">
        <f t="shared" ref="H258:H321" si="4">_xlfn.CONCAT(D258,"-",F258,"-",C258)</f>
        <v>3-9-94</v>
      </c>
      <c r="I258">
        <f>VLOOKUP(H258,SuiteCatSubElem!$F$2:$G$666,2,0)</f>
        <v>235</v>
      </c>
      <c r="J258">
        <v>1</v>
      </c>
      <c r="K258">
        <v>94</v>
      </c>
      <c r="M258" t="s">
        <v>50</v>
      </c>
      <c r="N258" s="60">
        <v>43101</v>
      </c>
      <c r="O258" t="s">
        <v>50</v>
      </c>
      <c r="P258">
        <v>98</v>
      </c>
      <c r="Q258" t="s">
        <v>1358</v>
      </c>
      <c r="R258" s="104" t="s">
        <v>1180</v>
      </c>
      <c r="S258" s="109" t="s">
        <v>298</v>
      </c>
    </row>
    <row r="259" spans="1:19" ht="24">
      <c r="A259">
        <v>131</v>
      </c>
      <c r="B259" s="131" t="s">
        <v>129</v>
      </c>
      <c r="C259" s="27">
        <f>VLOOKUP(B259,Elements!$A$2:$B$435,2,0)</f>
        <v>95</v>
      </c>
      <c r="D259">
        <v>2</v>
      </c>
      <c r="E259" t="str">
        <f>VLOOKUP(D259,Categories!$A$2:$B$8,2,0)</f>
        <v>I2P</v>
      </c>
      <c r="F259">
        <v>9</v>
      </c>
      <c r="G259" t="str">
        <f>VLOOKUP(F259,Subcategories!$A$2:$B$29,2,0)</f>
        <v>Invoicing</v>
      </c>
      <c r="H259" t="str">
        <f t="shared" si="4"/>
        <v>2-9-95</v>
      </c>
      <c r="I259">
        <f>VLOOKUP(H259,SuiteCatSubElem!$F$2:$G$666,2,0)</f>
        <v>130</v>
      </c>
      <c r="J259">
        <v>1</v>
      </c>
      <c r="K259">
        <v>95</v>
      </c>
      <c r="M259" t="s">
        <v>50</v>
      </c>
      <c r="N259" s="60">
        <v>43101</v>
      </c>
      <c r="O259" t="s">
        <v>50</v>
      </c>
      <c r="P259">
        <v>41</v>
      </c>
      <c r="Q259" t="s">
        <v>1358</v>
      </c>
      <c r="R259" s="104" t="s">
        <v>1181</v>
      </c>
      <c r="S259" s="109" t="s">
        <v>298</v>
      </c>
    </row>
    <row r="260" spans="1:19" ht="24">
      <c r="A260">
        <v>237</v>
      </c>
      <c r="B260" s="131" t="s">
        <v>129</v>
      </c>
      <c r="C260" s="27">
        <f>VLOOKUP(B260,Elements!$A$2:$B$435,2,0)</f>
        <v>95</v>
      </c>
      <c r="D260">
        <v>3</v>
      </c>
      <c r="E260" t="str">
        <f>VLOOKUP(D260,Categories!$A$2:$B$8,2,0)</f>
        <v>P2P</v>
      </c>
      <c r="F260">
        <v>9</v>
      </c>
      <c r="G260" t="str">
        <f>VLOOKUP(F260,Subcategories!$A$2:$B$29,2,0)</f>
        <v>Invoicing</v>
      </c>
      <c r="H260" t="str">
        <f t="shared" si="4"/>
        <v>3-9-95</v>
      </c>
      <c r="I260">
        <f>VLOOKUP(H260,SuiteCatSubElem!$F$2:$G$666,2,0)</f>
        <v>236</v>
      </c>
      <c r="J260">
        <v>1</v>
      </c>
      <c r="K260">
        <v>95</v>
      </c>
      <c r="M260" t="s">
        <v>50</v>
      </c>
      <c r="N260" s="60">
        <v>43101</v>
      </c>
      <c r="O260" t="s">
        <v>50</v>
      </c>
      <c r="P260">
        <v>99</v>
      </c>
      <c r="Q260" t="s">
        <v>1358</v>
      </c>
      <c r="R260" s="104" t="s">
        <v>1181</v>
      </c>
      <c r="S260" s="109" t="s">
        <v>298</v>
      </c>
    </row>
    <row r="261" spans="1:19" ht="36">
      <c r="A261">
        <v>132</v>
      </c>
      <c r="B261" s="131" t="s">
        <v>515</v>
      </c>
      <c r="C261" s="27">
        <f>VLOOKUP(B261,Elements!$A$2:$B$435,2,0)</f>
        <v>96</v>
      </c>
      <c r="D261">
        <v>2</v>
      </c>
      <c r="E261" t="str">
        <f>VLOOKUP(D261,Categories!$A$2:$B$8,2,0)</f>
        <v>I2P</v>
      </c>
      <c r="F261">
        <v>10</v>
      </c>
      <c r="G261" t="str">
        <f>VLOOKUP(F261,Subcategories!$A$2:$B$29,2,0)</f>
        <v>Payment / Financing</v>
      </c>
      <c r="H261" t="str">
        <f t="shared" si="4"/>
        <v>2-10-96</v>
      </c>
      <c r="I261">
        <f>VLOOKUP(H261,SuiteCatSubElem!$F$2:$G$666,2,0)</f>
        <v>131</v>
      </c>
      <c r="J261">
        <v>1</v>
      </c>
      <c r="K261">
        <v>96</v>
      </c>
      <c r="M261" t="s">
        <v>50</v>
      </c>
      <c r="N261" s="60">
        <v>43101</v>
      </c>
      <c r="O261" t="s">
        <v>50</v>
      </c>
      <c r="P261">
        <v>42</v>
      </c>
      <c r="Q261" t="s">
        <v>1358</v>
      </c>
      <c r="R261" s="104" t="s">
        <v>1182</v>
      </c>
      <c r="S261" s="109" t="s">
        <v>298</v>
      </c>
    </row>
    <row r="262" spans="1:19" ht="36">
      <c r="A262">
        <v>238</v>
      </c>
      <c r="B262" s="131" t="s">
        <v>515</v>
      </c>
      <c r="C262" s="27">
        <f>VLOOKUP(B262,Elements!$A$2:$B$435,2,0)</f>
        <v>96</v>
      </c>
      <c r="D262">
        <v>3</v>
      </c>
      <c r="E262" t="str">
        <f>VLOOKUP(D262,Categories!$A$2:$B$8,2,0)</f>
        <v>P2P</v>
      </c>
      <c r="F262">
        <v>10</v>
      </c>
      <c r="G262" t="str">
        <f>VLOOKUP(F262,Subcategories!$A$2:$B$29,2,0)</f>
        <v>Payment / Financing</v>
      </c>
      <c r="H262" t="str">
        <f t="shared" si="4"/>
        <v>3-10-96</v>
      </c>
      <c r="I262">
        <f>VLOOKUP(H262,SuiteCatSubElem!$F$2:$G$666,2,0)</f>
        <v>237</v>
      </c>
      <c r="J262">
        <v>1</v>
      </c>
      <c r="K262">
        <v>96</v>
      </c>
      <c r="M262" t="s">
        <v>50</v>
      </c>
      <c r="N262" s="60">
        <v>43101</v>
      </c>
      <c r="O262" t="s">
        <v>50</v>
      </c>
      <c r="P262">
        <v>100</v>
      </c>
      <c r="Q262" t="s">
        <v>1358</v>
      </c>
      <c r="R262" s="104" t="s">
        <v>1182</v>
      </c>
      <c r="S262" s="109" t="s">
        <v>298</v>
      </c>
    </row>
    <row r="263" spans="1:19" ht="60">
      <c r="A263">
        <v>133</v>
      </c>
      <c r="B263" s="131" t="s">
        <v>131</v>
      </c>
      <c r="C263" s="27">
        <f>VLOOKUP(B263,Elements!$A$2:$B$435,2,0)</f>
        <v>97</v>
      </c>
      <c r="D263">
        <v>2</v>
      </c>
      <c r="E263" t="str">
        <f>VLOOKUP(D263,Categories!$A$2:$B$8,2,0)</f>
        <v>I2P</v>
      </c>
      <c r="F263">
        <v>10</v>
      </c>
      <c r="G263" t="str">
        <f>VLOOKUP(F263,Subcategories!$A$2:$B$29,2,0)</f>
        <v>Payment / Financing</v>
      </c>
      <c r="H263" t="str">
        <f t="shared" si="4"/>
        <v>2-10-97</v>
      </c>
      <c r="I263">
        <f>VLOOKUP(H263,SuiteCatSubElem!$F$2:$G$666,2,0)</f>
        <v>132</v>
      </c>
      <c r="J263">
        <v>1</v>
      </c>
      <c r="K263">
        <v>97</v>
      </c>
      <c r="M263" t="s">
        <v>50</v>
      </c>
      <c r="N263" s="60">
        <v>43101</v>
      </c>
      <c r="O263" t="s">
        <v>50</v>
      </c>
      <c r="P263">
        <v>43</v>
      </c>
      <c r="Q263" t="s">
        <v>1358</v>
      </c>
      <c r="R263" s="104" t="s">
        <v>1183</v>
      </c>
      <c r="S263" s="109" t="s">
        <v>298</v>
      </c>
    </row>
    <row r="264" spans="1:19" ht="60">
      <c r="A264">
        <v>239</v>
      </c>
      <c r="B264" s="131" t="s">
        <v>131</v>
      </c>
      <c r="C264" s="27">
        <f>VLOOKUP(B264,Elements!$A$2:$B$435,2,0)</f>
        <v>97</v>
      </c>
      <c r="D264">
        <v>3</v>
      </c>
      <c r="E264" t="str">
        <f>VLOOKUP(D264,Categories!$A$2:$B$8,2,0)</f>
        <v>P2P</v>
      </c>
      <c r="F264">
        <v>10</v>
      </c>
      <c r="G264" t="str">
        <f>VLOOKUP(F264,Subcategories!$A$2:$B$29,2,0)</f>
        <v>Payment / Financing</v>
      </c>
      <c r="H264" t="str">
        <f t="shared" si="4"/>
        <v>3-10-97</v>
      </c>
      <c r="I264">
        <f>VLOOKUP(H264,SuiteCatSubElem!$F$2:$G$666,2,0)</f>
        <v>238</v>
      </c>
      <c r="J264">
        <v>1</v>
      </c>
      <c r="K264">
        <v>97</v>
      </c>
      <c r="M264" t="s">
        <v>50</v>
      </c>
      <c r="N264" s="60">
        <v>43101</v>
      </c>
      <c r="O264" t="s">
        <v>50</v>
      </c>
      <c r="P264">
        <v>101</v>
      </c>
      <c r="Q264" t="s">
        <v>1358</v>
      </c>
      <c r="R264" s="104" t="s">
        <v>1183</v>
      </c>
      <c r="S264" s="109" t="s">
        <v>298</v>
      </c>
    </row>
    <row r="265" spans="1:19" ht="36">
      <c r="A265">
        <v>134</v>
      </c>
      <c r="B265" s="131" t="s">
        <v>132</v>
      </c>
      <c r="C265" s="27">
        <f>VLOOKUP(B265,Elements!$A$2:$B$435,2,0)</f>
        <v>98</v>
      </c>
      <c r="D265">
        <v>2</v>
      </c>
      <c r="E265" t="str">
        <f>VLOOKUP(D265,Categories!$A$2:$B$8,2,0)</f>
        <v>I2P</v>
      </c>
      <c r="F265">
        <v>10</v>
      </c>
      <c r="G265" t="str">
        <f>VLOOKUP(F265,Subcategories!$A$2:$B$29,2,0)</f>
        <v>Payment / Financing</v>
      </c>
      <c r="H265" t="str">
        <f t="shared" si="4"/>
        <v>2-10-98</v>
      </c>
      <c r="I265">
        <f>VLOOKUP(H265,SuiteCatSubElem!$F$2:$G$666,2,0)</f>
        <v>133</v>
      </c>
      <c r="J265">
        <v>1</v>
      </c>
      <c r="K265">
        <v>98</v>
      </c>
      <c r="M265" t="s">
        <v>50</v>
      </c>
      <c r="N265" s="60">
        <v>43101</v>
      </c>
      <c r="O265" t="s">
        <v>50</v>
      </c>
      <c r="P265">
        <v>44</v>
      </c>
      <c r="Q265" t="s">
        <v>1358</v>
      </c>
      <c r="R265" s="104" t="s">
        <v>1184</v>
      </c>
      <c r="S265" s="109" t="s">
        <v>298</v>
      </c>
    </row>
    <row r="266" spans="1:19" ht="36">
      <c r="A266">
        <v>240</v>
      </c>
      <c r="B266" s="131" t="s">
        <v>132</v>
      </c>
      <c r="C266" s="27">
        <f>VLOOKUP(B266,Elements!$A$2:$B$435,2,0)</f>
        <v>98</v>
      </c>
      <c r="D266">
        <v>3</v>
      </c>
      <c r="E266" t="str">
        <f>VLOOKUP(D266,Categories!$A$2:$B$8,2,0)</f>
        <v>P2P</v>
      </c>
      <c r="F266">
        <v>10</v>
      </c>
      <c r="G266" t="str">
        <f>VLOOKUP(F266,Subcategories!$A$2:$B$29,2,0)</f>
        <v>Payment / Financing</v>
      </c>
      <c r="H266" t="str">
        <f t="shared" si="4"/>
        <v>3-10-98</v>
      </c>
      <c r="I266">
        <f>VLOOKUP(H266,SuiteCatSubElem!$F$2:$G$666,2,0)</f>
        <v>239</v>
      </c>
      <c r="J266">
        <v>1</v>
      </c>
      <c r="K266">
        <v>98</v>
      </c>
      <c r="M266" t="s">
        <v>50</v>
      </c>
      <c r="N266" s="60">
        <v>43101</v>
      </c>
      <c r="O266" t="s">
        <v>50</v>
      </c>
      <c r="P266">
        <v>102</v>
      </c>
      <c r="Q266" t="s">
        <v>1358</v>
      </c>
      <c r="R266" s="104" t="s">
        <v>1184</v>
      </c>
      <c r="S266" s="109" t="s">
        <v>298</v>
      </c>
    </row>
    <row r="267" spans="1:19" ht="24">
      <c r="A267">
        <v>135</v>
      </c>
      <c r="B267" s="131" t="s">
        <v>133</v>
      </c>
      <c r="C267" s="27">
        <f>VLOOKUP(B267,Elements!$A$2:$B$435,2,0)</f>
        <v>99</v>
      </c>
      <c r="D267">
        <v>2</v>
      </c>
      <c r="E267" t="str">
        <f>VLOOKUP(D267,Categories!$A$2:$B$8,2,0)</f>
        <v>I2P</v>
      </c>
      <c r="F267">
        <v>10</v>
      </c>
      <c r="G267" t="str">
        <f>VLOOKUP(F267,Subcategories!$A$2:$B$29,2,0)</f>
        <v>Payment / Financing</v>
      </c>
      <c r="H267" t="str">
        <f t="shared" si="4"/>
        <v>2-10-99</v>
      </c>
      <c r="I267">
        <f>VLOOKUP(H267,SuiteCatSubElem!$F$2:$G$666,2,0)</f>
        <v>134</v>
      </c>
      <c r="J267">
        <v>1</v>
      </c>
      <c r="K267">
        <v>99</v>
      </c>
      <c r="M267" t="s">
        <v>50</v>
      </c>
      <c r="N267" s="60">
        <v>43101</v>
      </c>
      <c r="O267" t="s">
        <v>50</v>
      </c>
      <c r="P267">
        <v>45</v>
      </c>
      <c r="Q267" t="s">
        <v>1358</v>
      </c>
      <c r="R267" s="107" t="s">
        <v>1185</v>
      </c>
      <c r="S267" s="109" t="s">
        <v>298</v>
      </c>
    </row>
    <row r="268" spans="1:19" ht="24">
      <c r="A268">
        <v>241</v>
      </c>
      <c r="B268" s="131" t="s">
        <v>133</v>
      </c>
      <c r="C268" s="27">
        <f>VLOOKUP(B268,Elements!$A$2:$B$435,2,0)</f>
        <v>99</v>
      </c>
      <c r="D268">
        <v>3</v>
      </c>
      <c r="E268" t="str">
        <f>VLOOKUP(D268,Categories!$A$2:$B$8,2,0)</f>
        <v>P2P</v>
      </c>
      <c r="F268">
        <v>10</v>
      </c>
      <c r="G268" t="str">
        <f>VLOOKUP(F268,Subcategories!$A$2:$B$29,2,0)</f>
        <v>Payment / Financing</v>
      </c>
      <c r="H268" t="str">
        <f t="shared" si="4"/>
        <v>3-10-99</v>
      </c>
      <c r="I268">
        <f>VLOOKUP(H268,SuiteCatSubElem!$F$2:$G$666,2,0)</f>
        <v>240</v>
      </c>
      <c r="J268">
        <v>1</v>
      </c>
      <c r="K268">
        <v>99</v>
      </c>
      <c r="M268" t="s">
        <v>50</v>
      </c>
      <c r="N268" s="60">
        <v>43101</v>
      </c>
      <c r="O268" t="s">
        <v>50</v>
      </c>
      <c r="P268">
        <v>103</v>
      </c>
      <c r="Q268" t="s">
        <v>1358</v>
      </c>
      <c r="R268" s="107" t="s">
        <v>1185</v>
      </c>
      <c r="S268" s="109" t="s">
        <v>298</v>
      </c>
    </row>
    <row r="269" spans="1:19" ht="168">
      <c r="A269">
        <v>136</v>
      </c>
      <c r="B269" s="131" t="s">
        <v>518</v>
      </c>
      <c r="C269" s="27">
        <f>VLOOKUP(B269,Elements!$A$2:$B$435,2,0)</f>
        <v>100</v>
      </c>
      <c r="D269">
        <v>2</v>
      </c>
      <c r="E269" t="str">
        <f>VLOOKUP(D269,Categories!$A$2:$B$8,2,0)</f>
        <v>I2P</v>
      </c>
      <c r="F269">
        <v>10</v>
      </c>
      <c r="G269" t="str">
        <f>VLOOKUP(F269,Subcategories!$A$2:$B$29,2,0)</f>
        <v>Payment / Financing</v>
      </c>
      <c r="H269" t="str">
        <f t="shared" si="4"/>
        <v>2-10-100</v>
      </c>
      <c r="I269">
        <f>VLOOKUP(H269,SuiteCatSubElem!$F$2:$G$666,2,0)</f>
        <v>135</v>
      </c>
      <c r="J269">
        <v>1</v>
      </c>
      <c r="K269">
        <v>100</v>
      </c>
      <c r="M269" t="s">
        <v>50</v>
      </c>
      <c r="N269" s="60">
        <v>43101</v>
      </c>
      <c r="O269" t="s">
        <v>50</v>
      </c>
      <c r="P269">
        <v>46</v>
      </c>
      <c r="Q269" t="s">
        <v>1358</v>
      </c>
      <c r="R269" s="104" t="s">
        <v>1186</v>
      </c>
      <c r="S269" s="109" t="s">
        <v>298</v>
      </c>
    </row>
    <row r="270" spans="1:19" ht="168">
      <c r="A270">
        <v>242</v>
      </c>
      <c r="B270" s="131" t="s">
        <v>518</v>
      </c>
      <c r="C270" s="27">
        <f>VLOOKUP(B270,Elements!$A$2:$B$435,2,0)</f>
        <v>100</v>
      </c>
      <c r="D270">
        <v>3</v>
      </c>
      <c r="E270" t="str">
        <f>VLOOKUP(D270,Categories!$A$2:$B$8,2,0)</f>
        <v>P2P</v>
      </c>
      <c r="F270">
        <v>10</v>
      </c>
      <c r="G270" t="str">
        <f>VLOOKUP(F270,Subcategories!$A$2:$B$29,2,0)</f>
        <v>Payment / Financing</v>
      </c>
      <c r="H270" t="str">
        <f t="shared" si="4"/>
        <v>3-10-100</v>
      </c>
      <c r="I270">
        <f>VLOOKUP(H270,SuiteCatSubElem!$F$2:$G$666,2,0)</f>
        <v>241</v>
      </c>
      <c r="J270">
        <v>1</v>
      </c>
      <c r="K270">
        <v>100</v>
      </c>
      <c r="M270" t="s">
        <v>50</v>
      </c>
      <c r="N270" s="60">
        <v>43101</v>
      </c>
      <c r="O270" t="s">
        <v>50</v>
      </c>
      <c r="P270">
        <v>104</v>
      </c>
      <c r="Q270" t="s">
        <v>1358</v>
      </c>
      <c r="R270" s="104" t="s">
        <v>1186</v>
      </c>
      <c r="S270" s="109" t="s">
        <v>298</v>
      </c>
    </row>
    <row r="271" spans="1:19" ht="24">
      <c r="A271">
        <v>137</v>
      </c>
      <c r="B271" s="131" t="s">
        <v>135</v>
      </c>
      <c r="C271" s="27">
        <f>VLOOKUP(B271,Elements!$A$2:$B$435,2,0)</f>
        <v>101</v>
      </c>
      <c r="D271">
        <v>2</v>
      </c>
      <c r="E271" t="str">
        <f>VLOOKUP(D271,Categories!$A$2:$B$8,2,0)</f>
        <v>I2P</v>
      </c>
      <c r="F271">
        <v>10</v>
      </c>
      <c r="G271" t="str">
        <f>VLOOKUP(F271,Subcategories!$A$2:$B$29,2,0)</f>
        <v>Payment / Financing</v>
      </c>
      <c r="H271" t="str">
        <f t="shared" si="4"/>
        <v>2-10-101</v>
      </c>
      <c r="I271">
        <f>VLOOKUP(H271,SuiteCatSubElem!$F$2:$G$666,2,0)</f>
        <v>136</v>
      </c>
      <c r="J271">
        <v>1</v>
      </c>
      <c r="K271">
        <v>101</v>
      </c>
      <c r="M271" t="s">
        <v>50</v>
      </c>
      <c r="N271" s="60">
        <v>43101</v>
      </c>
      <c r="O271" t="s">
        <v>50</v>
      </c>
      <c r="P271">
        <v>47</v>
      </c>
      <c r="Q271" t="s">
        <v>1358</v>
      </c>
      <c r="R271" s="104" t="s">
        <v>1187</v>
      </c>
      <c r="S271" s="109" t="s">
        <v>298</v>
      </c>
    </row>
    <row r="272" spans="1:19" ht="24">
      <c r="A272">
        <v>243</v>
      </c>
      <c r="B272" s="131" t="s">
        <v>135</v>
      </c>
      <c r="C272" s="27">
        <f>VLOOKUP(B272,Elements!$A$2:$B$435,2,0)</f>
        <v>101</v>
      </c>
      <c r="D272">
        <v>3</v>
      </c>
      <c r="E272" t="str">
        <f>VLOOKUP(D272,Categories!$A$2:$B$8,2,0)</f>
        <v>P2P</v>
      </c>
      <c r="F272">
        <v>10</v>
      </c>
      <c r="G272" t="str">
        <f>VLOOKUP(F272,Subcategories!$A$2:$B$29,2,0)</f>
        <v>Payment / Financing</v>
      </c>
      <c r="H272" t="str">
        <f t="shared" si="4"/>
        <v>3-10-101</v>
      </c>
      <c r="I272">
        <f>VLOOKUP(H272,SuiteCatSubElem!$F$2:$G$666,2,0)</f>
        <v>242</v>
      </c>
      <c r="J272">
        <v>1</v>
      </c>
      <c r="K272">
        <v>101</v>
      </c>
      <c r="M272" t="s">
        <v>50</v>
      </c>
      <c r="N272" s="60">
        <v>43101</v>
      </c>
      <c r="O272" t="s">
        <v>50</v>
      </c>
      <c r="P272">
        <v>105</v>
      </c>
      <c r="Q272" t="s">
        <v>1358</v>
      </c>
      <c r="R272" s="104" t="s">
        <v>1187</v>
      </c>
      <c r="S272" s="109" t="s">
        <v>298</v>
      </c>
    </row>
    <row r="273" spans="1:19" ht="24">
      <c r="A273">
        <v>138</v>
      </c>
      <c r="B273" s="131" t="s">
        <v>136</v>
      </c>
      <c r="C273" s="27">
        <f>VLOOKUP(B273,Elements!$A$2:$B$435,2,0)</f>
        <v>102</v>
      </c>
      <c r="D273" s="53">
        <v>2</v>
      </c>
      <c r="E273" t="str">
        <f>VLOOKUP(D273,Categories!$A$2:$B$8,2,0)</f>
        <v>I2P</v>
      </c>
      <c r="F273">
        <v>10</v>
      </c>
      <c r="G273" t="str">
        <f>VLOOKUP(F273,Subcategories!$A$2:$B$29,2,0)</f>
        <v>Payment / Financing</v>
      </c>
      <c r="H273" t="str">
        <f t="shared" si="4"/>
        <v>2-10-102</v>
      </c>
      <c r="I273">
        <f>VLOOKUP(H273,SuiteCatSubElem!$F$2:$G$666,2,0)</f>
        <v>137</v>
      </c>
      <c r="J273" s="53">
        <v>1</v>
      </c>
      <c r="K273">
        <v>102</v>
      </c>
      <c r="L273" s="53"/>
      <c r="M273" t="s">
        <v>50</v>
      </c>
      <c r="N273" s="60">
        <v>43101</v>
      </c>
      <c r="O273" t="s">
        <v>50</v>
      </c>
      <c r="P273">
        <v>48</v>
      </c>
      <c r="Q273" t="s">
        <v>1358</v>
      </c>
      <c r="R273" s="104" t="s">
        <v>1188</v>
      </c>
      <c r="S273" s="112" t="s">
        <v>298</v>
      </c>
    </row>
    <row r="274" spans="1:19" ht="24">
      <c r="A274">
        <v>244</v>
      </c>
      <c r="B274" s="131" t="s">
        <v>136</v>
      </c>
      <c r="C274" s="27">
        <f>VLOOKUP(B274,Elements!$A$2:$B$435,2,0)</f>
        <v>102</v>
      </c>
      <c r="D274" s="53">
        <v>3</v>
      </c>
      <c r="E274" t="str">
        <f>VLOOKUP(D274,Categories!$A$2:$B$8,2,0)</f>
        <v>P2P</v>
      </c>
      <c r="F274">
        <v>10</v>
      </c>
      <c r="G274" t="str">
        <f>VLOOKUP(F274,Subcategories!$A$2:$B$29,2,0)</f>
        <v>Payment / Financing</v>
      </c>
      <c r="H274" t="str">
        <f t="shared" si="4"/>
        <v>3-10-102</v>
      </c>
      <c r="I274">
        <f>VLOOKUP(H274,SuiteCatSubElem!$F$2:$G$666,2,0)</f>
        <v>243</v>
      </c>
      <c r="J274" s="53">
        <v>1</v>
      </c>
      <c r="K274">
        <v>102</v>
      </c>
      <c r="L274" s="53"/>
      <c r="M274" t="s">
        <v>50</v>
      </c>
      <c r="N274" s="60">
        <v>43101</v>
      </c>
      <c r="O274" t="s">
        <v>50</v>
      </c>
      <c r="P274">
        <v>106</v>
      </c>
      <c r="Q274" t="s">
        <v>1358</v>
      </c>
      <c r="R274" s="104" t="s">
        <v>1188</v>
      </c>
      <c r="S274" s="112" t="s">
        <v>298</v>
      </c>
    </row>
    <row r="275" spans="1:19" ht="30">
      <c r="A275">
        <v>245</v>
      </c>
      <c r="B275" s="127" t="s">
        <v>137</v>
      </c>
      <c r="C275" s="27">
        <f>VLOOKUP(B275,Elements!$A$2:$B$435,2,0)</f>
        <v>103</v>
      </c>
      <c r="D275">
        <v>4</v>
      </c>
      <c r="E275" t="str">
        <f>VLOOKUP(D275,Categories!$A$2:$B$8,2,0)</f>
        <v>Sourcing</v>
      </c>
      <c r="F275">
        <v>11</v>
      </c>
      <c r="G275" t="str">
        <f>VLOOKUP(F275,Subcategories!$A$2:$B$29,2,0)</f>
        <v>Opportunity</v>
      </c>
      <c r="H275" t="str">
        <f t="shared" si="4"/>
        <v>4-11-103</v>
      </c>
      <c r="I275">
        <f>VLOOKUP(H275,SuiteCatSubElem!$F$2:$G$666,2,0)</f>
        <v>244</v>
      </c>
      <c r="J275">
        <v>1</v>
      </c>
      <c r="K275">
        <v>103</v>
      </c>
      <c r="M275" t="s">
        <v>50</v>
      </c>
      <c r="N275" s="60">
        <v>43101</v>
      </c>
      <c r="O275" t="s">
        <v>50</v>
      </c>
      <c r="P275">
        <v>1</v>
      </c>
      <c r="Q275" t="s">
        <v>1358</v>
      </c>
      <c r="R275" s="102" t="s">
        <v>553</v>
      </c>
      <c r="S275" s="113" t="s">
        <v>554</v>
      </c>
    </row>
    <row r="276" spans="1:19" ht="37">
      <c r="A276">
        <v>246</v>
      </c>
      <c r="B276" s="127" t="s">
        <v>138</v>
      </c>
      <c r="C276" s="27">
        <f>VLOOKUP(B276,Elements!$A$2:$B$435,2,0)</f>
        <v>104</v>
      </c>
      <c r="D276">
        <v>4</v>
      </c>
      <c r="E276" t="str">
        <f>VLOOKUP(D276,Categories!$A$2:$B$8,2,0)</f>
        <v>Sourcing</v>
      </c>
      <c r="F276">
        <v>11</v>
      </c>
      <c r="G276" t="str">
        <f>VLOOKUP(F276,Subcategories!$A$2:$B$29,2,0)</f>
        <v>Opportunity</v>
      </c>
      <c r="H276" t="str">
        <f t="shared" si="4"/>
        <v>4-11-104</v>
      </c>
      <c r="I276">
        <f>VLOOKUP(H276,SuiteCatSubElem!$F$2:$G$666,2,0)</f>
        <v>245</v>
      </c>
      <c r="J276">
        <v>1</v>
      </c>
      <c r="K276">
        <v>104</v>
      </c>
      <c r="M276" t="s">
        <v>50</v>
      </c>
      <c r="N276" s="60">
        <v>43101</v>
      </c>
      <c r="O276" t="s">
        <v>50</v>
      </c>
      <c r="P276">
        <v>2</v>
      </c>
      <c r="Q276" t="s">
        <v>1358</v>
      </c>
      <c r="R276" s="102" t="s">
        <v>555</v>
      </c>
      <c r="S276" s="113" t="s">
        <v>556</v>
      </c>
    </row>
    <row r="277" spans="1:19" ht="49">
      <c r="A277">
        <v>247</v>
      </c>
      <c r="B277" s="127" t="s">
        <v>139</v>
      </c>
      <c r="C277" s="27">
        <f>VLOOKUP(B277,Elements!$A$2:$B$435,2,0)</f>
        <v>105</v>
      </c>
      <c r="D277">
        <v>4</v>
      </c>
      <c r="E277" t="str">
        <f>VLOOKUP(D277,Categories!$A$2:$B$8,2,0)</f>
        <v>Sourcing</v>
      </c>
      <c r="F277">
        <v>11</v>
      </c>
      <c r="G277" t="str">
        <f>VLOOKUP(F277,Subcategories!$A$2:$B$29,2,0)</f>
        <v>Opportunity</v>
      </c>
      <c r="H277" t="str">
        <f t="shared" si="4"/>
        <v>4-11-105</v>
      </c>
      <c r="I277">
        <f>VLOOKUP(H277,SuiteCatSubElem!$F$2:$G$666,2,0)</f>
        <v>246</v>
      </c>
      <c r="J277">
        <v>1</v>
      </c>
      <c r="K277">
        <v>105</v>
      </c>
      <c r="M277" t="s">
        <v>50</v>
      </c>
      <c r="N277" s="60">
        <v>43101</v>
      </c>
      <c r="O277" t="s">
        <v>50</v>
      </c>
      <c r="P277">
        <v>3</v>
      </c>
      <c r="Q277" t="s">
        <v>1358</v>
      </c>
      <c r="R277" s="113" t="s">
        <v>557</v>
      </c>
      <c r="S277" s="113" t="s">
        <v>558</v>
      </c>
    </row>
    <row r="278" spans="1:19" ht="49">
      <c r="A278">
        <v>248</v>
      </c>
      <c r="B278" s="127" t="s">
        <v>140</v>
      </c>
      <c r="C278" s="27">
        <f>VLOOKUP(B278,Elements!$A$2:$B$435,2,0)</f>
        <v>106</v>
      </c>
      <c r="D278">
        <v>4</v>
      </c>
      <c r="E278" t="str">
        <f>VLOOKUP(D278,Categories!$A$2:$B$8,2,0)</f>
        <v>Sourcing</v>
      </c>
      <c r="F278">
        <v>11</v>
      </c>
      <c r="G278" t="str">
        <f>VLOOKUP(F278,Subcategories!$A$2:$B$29,2,0)</f>
        <v>Opportunity</v>
      </c>
      <c r="H278" t="str">
        <f t="shared" si="4"/>
        <v>4-11-106</v>
      </c>
      <c r="I278">
        <f>VLOOKUP(H278,SuiteCatSubElem!$F$2:$G$666,2,0)</f>
        <v>247</v>
      </c>
      <c r="J278">
        <v>1</v>
      </c>
      <c r="K278">
        <v>106</v>
      </c>
      <c r="M278" t="s">
        <v>50</v>
      </c>
      <c r="N278" s="60">
        <v>43101</v>
      </c>
      <c r="O278" t="s">
        <v>50</v>
      </c>
      <c r="P278">
        <v>4</v>
      </c>
      <c r="Q278" t="s">
        <v>1358</v>
      </c>
      <c r="R278" s="102" t="s">
        <v>559</v>
      </c>
      <c r="S278" s="113" t="s">
        <v>560</v>
      </c>
    </row>
    <row r="279" spans="1:19" ht="37">
      <c r="A279">
        <v>249</v>
      </c>
      <c r="B279" s="127" t="s">
        <v>141</v>
      </c>
      <c r="C279" s="27">
        <f>VLOOKUP(B279,Elements!$A$2:$B$435,2,0)</f>
        <v>107</v>
      </c>
      <c r="D279">
        <v>4</v>
      </c>
      <c r="E279" t="str">
        <f>VLOOKUP(D279,Categories!$A$2:$B$8,2,0)</f>
        <v>Sourcing</v>
      </c>
      <c r="F279">
        <v>11</v>
      </c>
      <c r="G279" t="str">
        <f>VLOOKUP(F279,Subcategories!$A$2:$B$29,2,0)</f>
        <v>Opportunity</v>
      </c>
      <c r="H279" t="str">
        <f t="shared" si="4"/>
        <v>4-11-107</v>
      </c>
      <c r="I279">
        <f>VLOOKUP(H279,SuiteCatSubElem!$F$2:$G$666,2,0)</f>
        <v>248</v>
      </c>
      <c r="J279">
        <v>1</v>
      </c>
      <c r="K279">
        <v>107</v>
      </c>
      <c r="M279" t="s">
        <v>50</v>
      </c>
      <c r="N279" s="60">
        <v>43101</v>
      </c>
      <c r="O279" t="s">
        <v>50</v>
      </c>
      <c r="P279">
        <v>5</v>
      </c>
      <c r="Q279" t="s">
        <v>1358</v>
      </c>
      <c r="R279" s="102" t="s">
        <v>561</v>
      </c>
      <c r="S279" s="113" t="s">
        <v>562</v>
      </c>
    </row>
    <row r="280" spans="1:19" ht="37">
      <c r="A280">
        <v>250</v>
      </c>
      <c r="B280" s="127" t="s">
        <v>142</v>
      </c>
      <c r="C280" s="27">
        <f>VLOOKUP(B280,Elements!$A$2:$B$435,2,0)</f>
        <v>108</v>
      </c>
      <c r="D280">
        <v>4</v>
      </c>
      <c r="E280" t="str">
        <f>VLOOKUP(D280,Categories!$A$2:$B$8,2,0)</f>
        <v>Sourcing</v>
      </c>
      <c r="F280">
        <v>11</v>
      </c>
      <c r="G280" t="str">
        <f>VLOOKUP(F280,Subcategories!$A$2:$B$29,2,0)</f>
        <v>Opportunity</v>
      </c>
      <c r="H280" t="str">
        <f t="shared" si="4"/>
        <v>4-11-108</v>
      </c>
      <c r="I280">
        <f>VLOOKUP(H280,SuiteCatSubElem!$F$2:$G$666,2,0)</f>
        <v>249</v>
      </c>
      <c r="J280">
        <v>1</v>
      </c>
      <c r="K280">
        <v>108</v>
      </c>
      <c r="M280" t="s">
        <v>50</v>
      </c>
      <c r="N280" s="60">
        <v>43101</v>
      </c>
      <c r="O280" t="s">
        <v>50</v>
      </c>
      <c r="P280">
        <v>6</v>
      </c>
      <c r="Q280" t="s">
        <v>1358</v>
      </c>
      <c r="R280" s="113" t="s">
        <v>563</v>
      </c>
      <c r="S280" s="113" t="s">
        <v>564</v>
      </c>
    </row>
    <row r="281" spans="1:19" ht="49">
      <c r="A281">
        <v>251</v>
      </c>
      <c r="B281" s="127" t="s">
        <v>143</v>
      </c>
      <c r="C281" s="27">
        <f>VLOOKUP(B281,Elements!$A$2:$B$435,2,0)</f>
        <v>109</v>
      </c>
      <c r="D281">
        <v>4</v>
      </c>
      <c r="E281" t="str">
        <f>VLOOKUP(D281,Categories!$A$2:$B$8,2,0)</f>
        <v>Sourcing</v>
      </c>
      <c r="F281">
        <v>11</v>
      </c>
      <c r="G281" t="str">
        <f>VLOOKUP(F281,Subcategories!$A$2:$B$29,2,0)</f>
        <v>Opportunity</v>
      </c>
      <c r="H281" t="str">
        <f t="shared" si="4"/>
        <v>4-11-109</v>
      </c>
      <c r="I281">
        <f>VLOOKUP(H281,SuiteCatSubElem!$F$2:$G$666,2,0)</f>
        <v>250</v>
      </c>
      <c r="J281">
        <v>1</v>
      </c>
      <c r="K281">
        <v>109</v>
      </c>
      <c r="M281" t="s">
        <v>50</v>
      </c>
      <c r="N281" s="60">
        <v>43101</v>
      </c>
      <c r="O281" t="s">
        <v>50</v>
      </c>
      <c r="P281">
        <v>7</v>
      </c>
      <c r="Q281" t="s">
        <v>1358</v>
      </c>
      <c r="R281" s="113" t="s">
        <v>1370</v>
      </c>
      <c r="S281" s="113" t="s">
        <v>566</v>
      </c>
    </row>
    <row r="282" spans="1:19" ht="49">
      <c r="A282">
        <v>452</v>
      </c>
      <c r="B282" s="131" t="s">
        <v>143</v>
      </c>
      <c r="C282" s="27">
        <f>VLOOKUP(B282,Elements!$A$2:$B$435,2,0)</f>
        <v>109</v>
      </c>
      <c r="D282">
        <v>5</v>
      </c>
      <c r="E282" t="str">
        <f>VLOOKUP(D282,Categories!$A$2:$B$8,2,0)</f>
        <v>SA</v>
      </c>
      <c r="F282">
        <v>21</v>
      </c>
      <c r="G282" t="str">
        <f>VLOOKUP(F282,Subcategories!$A$2:$B$29,2,0)</f>
        <v>Function Support</v>
      </c>
      <c r="H282" t="str">
        <f t="shared" si="4"/>
        <v>5-21-109</v>
      </c>
      <c r="I282">
        <f>VLOOKUP(H282,SuiteCatSubElem!$F$2:$G$666,2,0)</f>
        <v>446</v>
      </c>
      <c r="J282">
        <v>1</v>
      </c>
      <c r="K282">
        <v>109</v>
      </c>
      <c r="M282" t="s">
        <v>50</v>
      </c>
      <c r="N282" s="60">
        <v>43101</v>
      </c>
      <c r="O282" t="s">
        <v>50</v>
      </c>
      <c r="P282">
        <v>38</v>
      </c>
      <c r="Q282" t="s">
        <v>1358</v>
      </c>
      <c r="R282" s="113" t="s">
        <v>1370</v>
      </c>
      <c r="S282" s="113" t="s">
        <v>566</v>
      </c>
    </row>
    <row r="283" spans="1:19" ht="37">
      <c r="A283">
        <v>252</v>
      </c>
      <c r="B283" s="127" t="s">
        <v>145</v>
      </c>
      <c r="C283" s="27">
        <f>VLOOKUP(B283,Elements!$A$2:$B$435,2,0)</f>
        <v>110</v>
      </c>
      <c r="D283">
        <v>4</v>
      </c>
      <c r="E283" t="str">
        <f>VLOOKUP(D283,Categories!$A$2:$B$8,2,0)</f>
        <v>Sourcing</v>
      </c>
      <c r="F283">
        <v>11</v>
      </c>
      <c r="G283" t="str">
        <f>VLOOKUP(F283,Subcategories!$A$2:$B$29,2,0)</f>
        <v>Opportunity</v>
      </c>
      <c r="H283" t="str">
        <f t="shared" si="4"/>
        <v>4-11-110</v>
      </c>
      <c r="I283">
        <f>VLOOKUP(H283,SuiteCatSubElem!$F$2:$G$666,2,0)</f>
        <v>251</v>
      </c>
      <c r="J283">
        <v>1</v>
      </c>
      <c r="K283">
        <v>110</v>
      </c>
      <c r="M283" t="s">
        <v>50</v>
      </c>
      <c r="N283" s="60">
        <v>43101</v>
      </c>
      <c r="O283" t="s">
        <v>50</v>
      </c>
      <c r="P283">
        <v>8</v>
      </c>
      <c r="Q283" t="s">
        <v>1358</v>
      </c>
      <c r="R283" s="102" t="s">
        <v>567</v>
      </c>
      <c r="S283" s="113" t="s">
        <v>568</v>
      </c>
    </row>
    <row r="284" spans="1:19" ht="37">
      <c r="A284">
        <v>253</v>
      </c>
      <c r="B284" s="127" t="s">
        <v>146</v>
      </c>
      <c r="C284" s="27">
        <f>VLOOKUP(B284,Elements!$A$2:$B$435,2,0)</f>
        <v>111</v>
      </c>
      <c r="D284">
        <v>4</v>
      </c>
      <c r="E284" t="str">
        <f>VLOOKUP(D284,Categories!$A$2:$B$8,2,0)</f>
        <v>Sourcing</v>
      </c>
      <c r="F284">
        <v>11</v>
      </c>
      <c r="G284" t="str">
        <f>VLOOKUP(F284,Subcategories!$A$2:$B$29,2,0)</f>
        <v>Opportunity</v>
      </c>
      <c r="H284" t="str">
        <f t="shared" si="4"/>
        <v>4-11-111</v>
      </c>
      <c r="I284">
        <f>VLOOKUP(H284,SuiteCatSubElem!$F$2:$G$666,2,0)</f>
        <v>252</v>
      </c>
      <c r="J284">
        <v>1</v>
      </c>
      <c r="K284">
        <v>111</v>
      </c>
      <c r="M284" t="s">
        <v>50</v>
      </c>
      <c r="N284" s="60">
        <v>43101</v>
      </c>
      <c r="O284" t="s">
        <v>50</v>
      </c>
      <c r="P284">
        <v>9</v>
      </c>
      <c r="Q284" t="s">
        <v>1358</v>
      </c>
      <c r="R284" s="113" t="s">
        <v>569</v>
      </c>
      <c r="S284" s="113" t="s">
        <v>570</v>
      </c>
    </row>
    <row r="285" spans="1:19" ht="37">
      <c r="A285">
        <v>254</v>
      </c>
      <c r="B285" s="127" t="s">
        <v>147</v>
      </c>
      <c r="C285" s="27">
        <f>VLOOKUP(B285,Elements!$A$2:$B$435,2,0)</f>
        <v>112</v>
      </c>
      <c r="D285">
        <v>4</v>
      </c>
      <c r="E285" t="str">
        <f>VLOOKUP(D285,Categories!$A$2:$B$8,2,0)</f>
        <v>Sourcing</v>
      </c>
      <c r="F285">
        <v>11</v>
      </c>
      <c r="G285" t="str">
        <f>VLOOKUP(F285,Subcategories!$A$2:$B$29,2,0)</f>
        <v>Opportunity</v>
      </c>
      <c r="H285" t="str">
        <f t="shared" si="4"/>
        <v>4-11-112</v>
      </c>
      <c r="I285">
        <f>VLOOKUP(H285,SuiteCatSubElem!$F$2:$G$666,2,0)</f>
        <v>253</v>
      </c>
      <c r="J285">
        <v>1</v>
      </c>
      <c r="K285">
        <v>112</v>
      </c>
      <c r="M285" t="s">
        <v>50</v>
      </c>
      <c r="N285" s="60">
        <v>43101</v>
      </c>
      <c r="O285" t="s">
        <v>50</v>
      </c>
      <c r="P285">
        <v>10</v>
      </c>
      <c r="Q285" t="s">
        <v>1358</v>
      </c>
      <c r="R285" s="102" t="s">
        <v>1371</v>
      </c>
      <c r="S285" s="113" t="s">
        <v>572</v>
      </c>
    </row>
    <row r="286" spans="1:19" ht="37">
      <c r="A286">
        <v>458</v>
      </c>
      <c r="B286" s="131" t="s">
        <v>147</v>
      </c>
      <c r="C286" s="27">
        <f>VLOOKUP(B286,Elements!$A$2:$B$435,2,0)</f>
        <v>112</v>
      </c>
      <c r="D286">
        <v>5</v>
      </c>
      <c r="E286" t="str">
        <f>VLOOKUP(D286,Categories!$A$2:$B$8,2,0)</f>
        <v>SA</v>
      </c>
      <c r="F286">
        <v>21</v>
      </c>
      <c r="G286" t="str">
        <f>VLOOKUP(F286,Subcategories!$A$2:$B$29,2,0)</f>
        <v>Function Support</v>
      </c>
      <c r="H286" t="str">
        <f t="shared" si="4"/>
        <v>5-21-112</v>
      </c>
      <c r="I286">
        <f>VLOOKUP(H286,SuiteCatSubElem!$F$2:$G$666,2,0)</f>
        <v>452</v>
      </c>
      <c r="J286">
        <v>1</v>
      </c>
      <c r="K286">
        <v>112</v>
      </c>
      <c r="M286" t="s">
        <v>50</v>
      </c>
      <c r="N286" s="60">
        <v>43101</v>
      </c>
      <c r="O286" t="s">
        <v>50</v>
      </c>
      <c r="P286">
        <v>44</v>
      </c>
      <c r="Q286" t="s">
        <v>1358</v>
      </c>
      <c r="R286" s="102" t="s">
        <v>1371</v>
      </c>
      <c r="S286" s="113" t="s">
        <v>572</v>
      </c>
    </row>
    <row r="287" spans="1:19" ht="25">
      <c r="A287">
        <v>255</v>
      </c>
      <c r="B287" s="127" t="s">
        <v>148</v>
      </c>
      <c r="C287" s="27">
        <f>VLOOKUP(B287,Elements!$A$2:$B$435,2,0)</f>
        <v>113</v>
      </c>
      <c r="D287">
        <v>4</v>
      </c>
      <c r="E287" t="str">
        <f>VLOOKUP(D287,Categories!$A$2:$B$8,2,0)</f>
        <v>Sourcing</v>
      </c>
      <c r="F287">
        <v>11</v>
      </c>
      <c r="G287" t="str">
        <f>VLOOKUP(F287,Subcategories!$A$2:$B$29,2,0)</f>
        <v>Opportunity</v>
      </c>
      <c r="H287" t="str">
        <f t="shared" si="4"/>
        <v>4-11-113</v>
      </c>
      <c r="I287">
        <f>VLOOKUP(H287,SuiteCatSubElem!$F$2:$G$666,2,0)</f>
        <v>254</v>
      </c>
      <c r="J287">
        <v>1</v>
      </c>
      <c r="K287">
        <v>113</v>
      </c>
      <c r="M287" t="s">
        <v>50</v>
      </c>
      <c r="N287" s="60">
        <v>43101</v>
      </c>
      <c r="O287" t="s">
        <v>50</v>
      </c>
      <c r="P287">
        <v>11</v>
      </c>
      <c r="Q287" t="s">
        <v>1358</v>
      </c>
      <c r="R287" s="102" t="s">
        <v>573</v>
      </c>
      <c r="S287" s="113" t="s">
        <v>574</v>
      </c>
    </row>
    <row r="288" spans="1:19" ht="25">
      <c r="A288">
        <v>256</v>
      </c>
      <c r="B288" s="127" t="s">
        <v>149</v>
      </c>
      <c r="C288" s="27">
        <f>VLOOKUP(B288,Elements!$A$2:$B$435,2,0)</f>
        <v>114</v>
      </c>
      <c r="D288">
        <v>4</v>
      </c>
      <c r="E288" t="str">
        <f>VLOOKUP(D288,Categories!$A$2:$B$8,2,0)</f>
        <v>Sourcing</v>
      </c>
      <c r="F288">
        <v>11</v>
      </c>
      <c r="G288" t="str">
        <f>VLOOKUP(F288,Subcategories!$A$2:$B$29,2,0)</f>
        <v>Opportunity</v>
      </c>
      <c r="H288" t="str">
        <f t="shared" si="4"/>
        <v>4-11-114</v>
      </c>
      <c r="I288">
        <f>VLOOKUP(H288,SuiteCatSubElem!$F$2:$G$666,2,0)</f>
        <v>255</v>
      </c>
      <c r="J288">
        <v>1</v>
      </c>
      <c r="K288">
        <v>114</v>
      </c>
      <c r="M288" t="s">
        <v>50</v>
      </c>
      <c r="N288" s="60">
        <v>43101</v>
      </c>
      <c r="O288" t="s">
        <v>50</v>
      </c>
      <c r="P288">
        <v>12</v>
      </c>
      <c r="Q288" t="s">
        <v>1358</v>
      </c>
      <c r="R288" s="102" t="s">
        <v>575</v>
      </c>
      <c r="S288" s="113" t="s">
        <v>576</v>
      </c>
    </row>
    <row r="289" spans="1:19" ht="37">
      <c r="A289">
        <v>257</v>
      </c>
      <c r="B289" s="127" t="s">
        <v>150</v>
      </c>
      <c r="C289" s="27">
        <f>VLOOKUP(B289,Elements!$A$2:$B$435,2,0)</f>
        <v>115</v>
      </c>
      <c r="D289">
        <v>4</v>
      </c>
      <c r="E289" t="str">
        <f>VLOOKUP(D289,Categories!$A$2:$B$8,2,0)</f>
        <v>Sourcing</v>
      </c>
      <c r="F289">
        <v>11</v>
      </c>
      <c r="G289" t="str">
        <f>VLOOKUP(F289,Subcategories!$A$2:$B$29,2,0)</f>
        <v>Opportunity</v>
      </c>
      <c r="H289" t="str">
        <f t="shared" si="4"/>
        <v>4-11-115</v>
      </c>
      <c r="I289">
        <f>VLOOKUP(H289,SuiteCatSubElem!$F$2:$G$666,2,0)</f>
        <v>256</v>
      </c>
      <c r="J289">
        <v>1</v>
      </c>
      <c r="K289">
        <v>115</v>
      </c>
      <c r="M289" t="s">
        <v>50</v>
      </c>
      <c r="N289" s="60">
        <v>43101</v>
      </c>
      <c r="O289" t="s">
        <v>50</v>
      </c>
      <c r="P289">
        <v>13</v>
      </c>
      <c r="Q289" t="s">
        <v>1358</v>
      </c>
      <c r="R289" s="113" t="s">
        <v>577</v>
      </c>
      <c r="S289" s="113" t="s">
        <v>578</v>
      </c>
    </row>
    <row r="290" spans="1:19" ht="37">
      <c r="A290">
        <v>258</v>
      </c>
      <c r="B290" s="127" t="s">
        <v>151</v>
      </c>
      <c r="C290" s="27">
        <f>VLOOKUP(B290,Elements!$A$2:$B$435,2,0)</f>
        <v>116</v>
      </c>
      <c r="D290" s="53">
        <v>4</v>
      </c>
      <c r="E290" t="str">
        <f>VLOOKUP(D290,Categories!$A$2:$B$8,2,0)</f>
        <v>Sourcing</v>
      </c>
      <c r="F290">
        <v>12</v>
      </c>
      <c r="G290" t="str">
        <f>VLOOKUP(F290,Subcategories!$A$2:$B$29,2,0)</f>
        <v>Project Management</v>
      </c>
      <c r="H290" t="str">
        <f t="shared" si="4"/>
        <v>4-12-116</v>
      </c>
      <c r="I290">
        <f>VLOOKUP(H290,SuiteCatSubElem!$F$2:$G$666,2,0)</f>
        <v>257</v>
      </c>
      <c r="J290" s="53">
        <v>1</v>
      </c>
      <c r="K290">
        <v>116</v>
      </c>
      <c r="L290" s="53"/>
      <c r="M290" t="s">
        <v>50</v>
      </c>
      <c r="N290" s="60">
        <v>43101</v>
      </c>
      <c r="O290" t="s">
        <v>50</v>
      </c>
      <c r="P290">
        <v>14</v>
      </c>
      <c r="Q290" t="s">
        <v>1358</v>
      </c>
      <c r="R290" s="113" t="s">
        <v>579</v>
      </c>
      <c r="S290" s="102" t="s">
        <v>580</v>
      </c>
    </row>
    <row r="291" spans="1:19" ht="30">
      <c r="A291">
        <v>259</v>
      </c>
      <c r="B291" s="127" t="s">
        <v>152</v>
      </c>
      <c r="C291" s="27">
        <f>VLOOKUP(B291,Elements!$A$2:$B$435,2,0)</f>
        <v>117</v>
      </c>
      <c r="D291">
        <v>4</v>
      </c>
      <c r="E291" t="str">
        <f>VLOOKUP(D291,Categories!$A$2:$B$8,2,0)</f>
        <v>Sourcing</v>
      </c>
      <c r="F291">
        <v>12</v>
      </c>
      <c r="G291" t="str">
        <f>VLOOKUP(F291,Subcategories!$A$2:$B$29,2,0)</f>
        <v>Project Management</v>
      </c>
      <c r="H291" t="str">
        <f t="shared" si="4"/>
        <v>4-12-117</v>
      </c>
      <c r="I291">
        <f>VLOOKUP(H291,SuiteCatSubElem!$F$2:$G$666,2,0)</f>
        <v>258</v>
      </c>
      <c r="J291">
        <v>1</v>
      </c>
      <c r="K291">
        <v>117</v>
      </c>
      <c r="M291" t="s">
        <v>50</v>
      </c>
      <c r="N291" s="60">
        <v>43101</v>
      </c>
      <c r="O291" t="s">
        <v>50</v>
      </c>
      <c r="P291">
        <v>15</v>
      </c>
      <c r="Q291" t="s">
        <v>1358</v>
      </c>
      <c r="R291" s="113" t="s">
        <v>581</v>
      </c>
      <c r="S291" s="113" t="s">
        <v>582</v>
      </c>
    </row>
    <row r="292" spans="1:19" ht="25">
      <c r="A292">
        <v>260</v>
      </c>
      <c r="B292" s="127" t="s">
        <v>153</v>
      </c>
      <c r="C292" s="27">
        <f>VLOOKUP(B292,Elements!$A$2:$B$435,2,0)</f>
        <v>118</v>
      </c>
      <c r="D292">
        <v>4</v>
      </c>
      <c r="E292" t="str">
        <f>VLOOKUP(D292,Categories!$A$2:$B$8,2,0)</f>
        <v>Sourcing</v>
      </c>
      <c r="F292">
        <v>12</v>
      </c>
      <c r="G292" t="str">
        <f>VLOOKUP(F292,Subcategories!$A$2:$B$29,2,0)</f>
        <v>Project Management</v>
      </c>
      <c r="H292" t="str">
        <f t="shared" si="4"/>
        <v>4-12-118</v>
      </c>
      <c r="I292">
        <f>VLOOKUP(H292,SuiteCatSubElem!$F$2:$G$666,2,0)</f>
        <v>259</v>
      </c>
      <c r="J292">
        <v>1</v>
      </c>
      <c r="K292">
        <v>118</v>
      </c>
      <c r="M292" t="s">
        <v>50</v>
      </c>
      <c r="N292" s="60">
        <v>43101</v>
      </c>
      <c r="O292" t="s">
        <v>50</v>
      </c>
      <c r="P292">
        <v>16</v>
      </c>
      <c r="Q292" t="s">
        <v>1358</v>
      </c>
      <c r="R292" s="113" t="s">
        <v>583</v>
      </c>
      <c r="S292" s="113" t="s">
        <v>584</v>
      </c>
    </row>
    <row r="293" spans="1:19" ht="25">
      <c r="A293">
        <v>261</v>
      </c>
      <c r="B293" s="127" t="s">
        <v>154</v>
      </c>
      <c r="C293" s="27">
        <f>VLOOKUP(B293,Elements!$A$2:$B$435,2,0)</f>
        <v>119</v>
      </c>
      <c r="D293">
        <v>4</v>
      </c>
      <c r="E293" t="str">
        <f>VLOOKUP(D293,Categories!$A$2:$B$8,2,0)</f>
        <v>Sourcing</v>
      </c>
      <c r="F293">
        <v>12</v>
      </c>
      <c r="G293" t="str">
        <f>VLOOKUP(F293,Subcategories!$A$2:$B$29,2,0)</f>
        <v>Project Management</v>
      </c>
      <c r="H293" t="str">
        <f t="shared" si="4"/>
        <v>4-12-119</v>
      </c>
      <c r="I293">
        <f>VLOOKUP(H293,SuiteCatSubElem!$F$2:$G$666,2,0)</f>
        <v>260</v>
      </c>
      <c r="J293">
        <v>1</v>
      </c>
      <c r="K293">
        <v>119</v>
      </c>
      <c r="M293" t="s">
        <v>50</v>
      </c>
      <c r="N293" s="60">
        <v>43101</v>
      </c>
      <c r="O293" t="s">
        <v>50</v>
      </c>
      <c r="P293">
        <v>17</v>
      </c>
      <c r="Q293" t="s">
        <v>1358</v>
      </c>
      <c r="R293" s="113" t="s">
        <v>585</v>
      </c>
      <c r="S293" s="113" t="s">
        <v>586</v>
      </c>
    </row>
    <row r="294" spans="1:19" ht="25">
      <c r="A294">
        <v>262</v>
      </c>
      <c r="B294" s="127" t="s">
        <v>155</v>
      </c>
      <c r="C294" s="27">
        <f>VLOOKUP(B294,Elements!$A$2:$B$435,2,0)</f>
        <v>120</v>
      </c>
      <c r="D294">
        <v>4</v>
      </c>
      <c r="E294" t="str">
        <f>VLOOKUP(D294,Categories!$A$2:$B$8,2,0)</f>
        <v>Sourcing</v>
      </c>
      <c r="F294">
        <v>12</v>
      </c>
      <c r="G294" t="str">
        <f>VLOOKUP(F294,Subcategories!$A$2:$B$29,2,0)</f>
        <v>Project Management</v>
      </c>
      <c r="H294" t="str">
        <f t="shared" si="4"/>
        <v>4-12-120</v>
      </c>
      <c r="I294">
        <f>VLOOKUP(H294,SuiteCatSubElem!$F$2:$G$666,2,0)</f>
        <v>261</v>
      </c>
      <c r="J294">
        <v>1</v>
      </c>
      <c r="K294">
        <v>120</v>
      </c>
      <c r="M294" t="s">
        <v>50</v>
      </c>
      <c r="N294" s="60">
        <v>43101</v>
      </c>
      <c r="O294" t="s">
        <v>50</v>
      </c>
      <c r="P294">
        <v>18</v>
      </c>
      <c r="Q294" t="s">
        <v>1358</v>
      </c>
      <c r="R294" s="102" t="s">
        <v>587</v>
      </c>
      <c r="S294" s="113" t="s">
        <v>588</v>
      </c>
    </row>
    <row r="295" spans="1:19" ht="25">
      <c r="A295">
        <v>263</v>
      </c>
      <c r="B295" s="127" t="s">
        <v>156</v>
      </c>
      <c r="C295" s="27">
        <f>VLOOKUP(B295,Elements!$A$2:$B$435,2,0)</f>
        <v>121</v>
      </c>
      <c r="D295">
        <v>4</v>
      </c>
      <c r="E295" t="str">
        <f>VLOOKUP(D295,Categories!$A$2:$B$8,2,0)</f>
        <v>Sourcing</v>
      </c>
      <c r="F295">
        <v>12</v>
      </c>
      <c r="G295" t="str">
        <f>VLOOKUP(F295,Subcategories!$A$2:$B$29,2,0)</f>
        <v>Project Management</v>
      </c>
      <c r="H295" t="str">
        <f t="shared" si="4"/>
        <v>4-12-121</v>
      </c>
      <c r="I295">
        <f>VLOOKUP(H295,SuiteCatSubElem!$F$2:$G$666,2,0)</f>
        <v>262</v>
      </c>
      <c r="J295">
        <v>1</v>
      </c>
      <c r="K295">
        <v>121</v>
      </c>
      <c r="M295" t="s">
        <v>50</v>
      </c>
      <c r="N295" s="60">
        <v>43101</v>
      </c>
      <c r="O295" t="s">
        <v>50</v>
      </c>
      <c r="P295">
        <v>19</v>
      </c>
      <c r="Q295" t="s">
        <v>1358</v>
      </c>
      <c r="R295" s="102" t="s">
        <v>589</v>
      </c>
      <c r="S295" s="113" t="s">
        <v>590</v>
      </c>
    </row>
    <row r="296" spans="1:19" ht="25">
      <c r="A296">
        <v>264</v>
      </c>
      <c r="B296" s="127" t="s">
        <v>157</v>
      </c>
      <c r="C296" s="27">
        <f>VLOOKUP(B296,Elements!$A$2:$B$435,2,0)</f>
        <v>122</v>
      </c>
      <c r="D296">
        <v>4</v>
      </c>
      <c r="E296" t="str">
        <f>VLOOKUP(D296,Categories!$A$2:$B$8,2,0)</f>
        <v>Sourcing</v>
      </c>
      <c r="F296">
        <v>12</v>
      </c>
      <c r="G296" t="str">
        <f>VLOOKUP(F296,Subcategories!$A$2:$B$29,2,0)</f>
        <v>Project Management</v>
      </c>
      <c r="H296" t="str">
        <f t="shared" si="4"/>
        <v>4-12-122</v>
      </c>
      <c r="I296">
        <f>VLOOKUP(H296,SuiteCatSubElem!$F$2:$G$666,2,0)</f>
        <v>263</v>
      </c>
      <c r="J296">
        <v>1</v>
      </c>
      <c r="K296">
        <v>122</v>
      </c>
      <c r="M296" t="s">
        <v>50</v>
      </c>
      <c r="N296" s="60">
        <v>43101</v>
      </c>
      <c r="O296" t="s">
        <v>50</v>
      </c>
      <c r="P296">
        <v>20</v>
      </c>
      <c r="Q296" t="s">
        <v>1358</v>
      </c>
      <c r="R296" s="102" t="s">
        <v>591</v>
      </c>
      <c r="S296" s="113" t="s">
        <v>592</v>
      </c>
    </row>
    <row r="297" spans="1:19" ht="37">
      <c r="A297">
        <v>265</v>
      </c>
      <c r="B297" s="127" t="s">
        <v>158</v>
      </c>
      <c r="C297" s="27">
        <f>VLOOKUP(B297,Elements!$A$2:$B$435,2,0)</f>
        <v>123</v>
      </c>
      <c r="D297">
        <v>4</v>
      </c>
      <c r="E297" t="str">
        <f>VLOOKUP(D297,Categories!$A$2:$B$8,2,0)</f>
        <v>Sourcing</v>
      </c>
      <c r="F297">
        <v>13</v>
      </c>
      <c r="G297" t="str">
        <f>VLOOKUP(F297,Subcategories!$A$2:$B$29,2,0)</f>
        <v>Supplier Portal</v>
      </c>
      <c r="H297" t="str">
        <f t="shared" si="4"/>
        <v>4-13-123</v>
      </c>
      <c r="I297">
        <f>VLOOKUP(H297,SuiteCatSubElem!$F$2:$G$666,2,0)</f>
        <v>264</v>
      </c>
      <c r="J297">
        <v>1</v>
      </c>
      <c r="K297">
        <v>123</v>
      </c>
      <c r="M297" t="s">
        <v>50</v>
      </c>
      <c r="N297" s="60">
        <v>43101</v>
      </c>
      <c r="O297" t="s">
        <v>50</v>
      </c>
      <c r="P297">
        <v>21</v>
      </c>
      <c r="Q297" t="s">
        <v>1358</v>
      </c>
      <c r="R297" s="113" t="s">
        <v>593</v>
      </c>
      <c r="S297" s="113" t="s">
        <v>594</v>
      </c>
    </row>
    <row r="298" spans="1:19" ht="37">
      <c r="A298">
        <v>266</v>
      </c>
      <c r="B298" s="127" t="s">
        <v>159</v>
      </c>
      <c r="C298" s="27">
        <f>VLOOKUP(B298,Elements!$A$2:$B$435,2,0)</f>
        <v>124</v>
      </c>
      <c r="D298">
        <v>4</v>
      </c>
      <c r="E298" t="str">
        <f>VLOOKUP(D298,Categories!$A$2:$B$8,2,0)</f>
        <v>Sourcing</v>
      </c>
      <c r="F298">
        <v>13</v>
      </c>
      <c r="G298" t="str">
        <f>VLOOKUP(F298,Subcategories!$A$2:$B$29,2,0)</f>
        <v>Supplier Portal</v>
      </c>
      <c r="H298" t="str">
        <f t="shared" si="4"/>
        <v>4-13-124</v>
      </c>
      <c r="I298">
        <f>VLOOKUP(H298,SuiteCatSubElem!$F$2:$G$666,2,0)</f>
        <v>265</v>
      </c>
      <c r="J298">
        <v>1</v>
      </c>
      <c r="K298">
        <v>124</v>
      </c>
      <c r="M298" t="s">
        <v>50</v>
      </c>
      <c r="N298" s="60">
        <v>43101</v>
      </c>
      <c r="O298" t="s">
        <v>50</v>
      </c>
      <c r="P298">
        <v>22</v>
      </c>
      <c r="Q298" t="s">
        <v>1358</v>
      </c>
      <c r="R298" s="102" t="s">
        <v>595</v>
      </c>
      <c r="S298" s="113" t="s">
        <v>596</v>
      </c>
    </row>
    <row r="299" spans="1:19" ht="49">
      <c r="A299">
        <v>267</v>
      </c>
      <c r="B299" s="127" t="s">
        <v>160</v>
      </c>
      <c r="C299" s="27">
        <f>VLOOKUP(B299,Elements!$A$2:$B$435,2,0)</f>
        <v>125</v>
      </c>
      <c r="D299">
        <v>4</v>
      </c>
      <c r="E299" t="str">
        <f>VLOOKUP(D299,Categories!$A$2:$B$8,2,0)</f>
        <v>Sourcing</v>
      </c>
      <c r="F299">
        <v>13</v>
      </c>
      <c r="G299" t="str">
        <f>VLOOKUP(F299,Subcategories!$A$2:$B$29,2,0)</f>
        <v>Supplier Portal</v>
      </c>
      <c r="H299" t="str">
        <f t="shared" si="4"/>
        <v>4-13-125</v>
      </c>
      <c r="I299">
        <f>VLOOKUP(H299,SuiteCatSubElem!$F$2:$G$666,2,0)</f>
        <v>266</v>
      </c>
      <c r="J299">
        <v>1</v>
      </c>
      <c r="K299">
        <v>125</v>
      </c>
      <c r="M299" t="s">
        <v>50</v>
      </c>
      <c r="N299" s="60">
        <v>43101</v>
      </c>
      <c r="O299" t="s">
        <v>50</v>
      </c>
      <c r="P299">
        <v>23</v>
      </c>
      <c r="Q299" t="s">
        <v>1358</v>
      </c>
      <c r="R299" s="102" t="s">
        <v>597</v>
      </c>
      <c r="S299" s="113" t="s">
        <v>598</v>
      </c>
    </row>
    <row r="300" spans="1:19" ht="37">
      <c r="A300">
        <v>268</v>
      </c>
      <c r="B300" s="127" t="s">
        <v>161</v>
      </c>
      <c r="C300" s="27">
        <f>VLOOKUP(B300,Elements!$A$2:$B$435,2,0)</f>
        <v>126</v>
      </c>
      <c r="D300">
        <v>4</v>
      </c>
      <c r="E300" t="str">
        <f>VLOOKUP(D300,Categories!$A$2:$B$8,2,0)</f>
        <v>Sourcing</v>
      </c>
      <c r="F300">
        <v>13</v>
      </c>
      <c r="G300" t="str">
        <f>VLOOKUP(F300,Subcategories!$A$2:$B$29,2,0)</f>
        <v>Supplier Portal</v>
      </c>
      <c r="H300" t="str">
        <f t="shared" si="4"/>
        <v>4-13-126</v>
      </c>
      <c r="I300">
        <f>VLOOKUP(H300,SuiteCatSubElem!$F$2:$G$666,2,0)</f>
        <v>267</v>
      </c>
      <c r="J300">
        <v>1</v>
      </c>
      <c r="K300">
        <v>126</v>
      </c>
      <c r="M300" t="s">
        <v>50</v>
      </c>
      <c r="N300" s="60">
        <v>43101</v>
      </c>
      <c r="O300" t="s">
        <v>50</v>
      </c>
      <c r="P300">
        <v>24</v>
      </c>
      <c r="Q300" t="s">
        <v>1358</v>
      </c>
      <c r="R300" s="113" t="s">
        <v>599</v>
      </c>
      <c r="S300" s="113" t="s">
        <v>600</v>
      </c>
    </row>
    <row r="301" spans="1:19" ht="49">
      <c r="A301">
        <v>269</v>
      </c>
      <c r="B301" s="127" t="s">
        <v>162</v>
      </c>
      <c r="C301" s="27">
        <f>VLOOKUP(B301,Elements!$A$2:$B$435,2,0)</f>
        <v>127</v>
      </c>
      <c r="D301">
        <v>4</v>
      </c>
      <c r="E301" t="str">
        <f>VLOOKUP(D301,Categories!$A$2:$B$8,2,0)</f>
        <v>Sourcing</v>
      </c>
      <c r="F301">
        <v>13</v>
      </c>
      <c r="G301" t="str">
        <f>VLOOKUP(F301,Subcategories!$A$2:$B$29,2,0)</f>
        <v>Supplier Portal</v>
      </c>
      <c r="H301" t="str">
        <f t="shared" si="4"/>
        <v>4-13-127</v>
      </c>
      <c r="I301">
        <f>VLOOKUP(H301,SuiteCatSubElem!$F$2:$G$666,2,0)</f>
        <v>268</v>
      </c>
      <c r="J301">
        <v>1</v>
      </c>
      <c r="K301">
        <v>127</v>
      </c>
      <c r="M301" t="s">
        <v>50</v>
      </c>
      <c r="N301" s="60">
        <v>43101</v>
      </c>
      <c r="O301" t="s">
        <v>50</v>
      </c>
      <c r="P301">
        <v>25</v>
      </c>
      <c r="Q301" t="s">
        <v>1358</v>
      </c>
      <c r="R301" s="102" t="s">
        <v>601</v>
      </c>
      <c r="S301" s="113" t="s">
        <v>602</v>
      </c>
    </row>
    <row r="302" spans="1:19" ht="25">
      <c r="A302">
        <v>271</v>
      </c>
      <c r="B302" s="127" t="s">
        <v>163</v>
      </c>
      <c r="C302" s="27">
        <f>VLOOKUP(B302,Elements!$A$2:$B$435,2,0)</f>
        <v>128</v>
      </c>
      <c r="D302">
        <v>4</v>
      </c>
      <c r="E302" t="str">
        <f>VLOOKUP(D302,Categories!$A$2:$B$8,2,0)</f>
        <v>Sourcing</v>
      </c>
      <c r="F302">
        <v>13</v>
      </c>
      <c r="G302" t="str">
        <f>VLOOKUP(F302,Subcategories!$A$2:$B$29,2,0)</f>
        <v>Supplier Portal</v>
      </c>
      <c r="H302" t="str">
        <f t="shared" si="4"/>
        <v>4-13-128</v>
      </c>
      <c r="I302">
        <f>VLOOKUP(H302,SuiteCatSubElem!$F$2:$G$666,2,0)</f>
        <v>270</v>
      </c>
      <c r="J302">
        <v>1</v>
      </c>
      <c r="K302">
        <v>128</v>
      </c>
      <c r="M302" t="s">
        <v>50</v>
      </c>
      <c r="N302" s="60">
        <v>43101</v>
      </c>
      <c r="O302" t="s">
        <v>50</v>
      </c>
      <c r="P302">
        <v>27</v>
      </c>
      <c r="Q302" t="s">
        <v>1358</v>
      </c>
      <c r="R302" s="113" t="s">
        <v>605</v>
      </c>
      <c r="S302" s="113" t="s">
        <v>606</v>
      </c>
    </row>
    <row r="303" spans="1:19" ht="25">
      <c r="A303">
        <v>272</v>
      </c>
      <c r="B303" s="127" t="s">
        <v>164</v>
      </c>
      <c r="C303" s="27">
        <f>VLOOKUP(B303,Elements!$A$2:$B$435,2,0)</f>
        <v>129</v>
      </c>
      <c r="D303">
        <v>4</v>
      </c>
      <c r="E303" t="str">
        <f>VLOOKUP(D303,Categories!$A$2:$B$8,2,0)</f>
        <v>Sourcing</v>
      </c>
      <c r="F303">
        <v>13</v>
      </c>
      <c r="G303" t="str">
        <f>VLOOKUP(F303,Subcategories!$A$2:$B$29,2,0)</f>
        <v>Supplier Portal</v>
      </c>
      <c r="H303" t="str">
        <f t="shared" si="4"/>
        <v>4-13-129</v>
      </c>
      <c r="I303">
        <f>VLOOKUP(H303,SuiteCatSubElem!$F$2:$G$666,2,0)</f>
        <v>271</v>
      </c>
      <c r="J303">
        <v>1</v>
      </c>
      <c r="K303">
        <v>129</v>
      </c>
      <c r="M303" t="s">
        <v>50</v>
      </c>
      <c r="N303" s="60">
        <v>43101</v>
      </c>
      <c r="O303" t="s">
        <v>50</v>
      </c>
      <c r="P303">
        <v>28</v>
      </c>
      <c r="Q303" t="s">
        <v>1358</v>
      </c>
      <c r="R303" s="102" t="s">
        <v>607</v>
      </c>
      <c r="S303" s="113" t="s">
        <v>608</v>
      </c>
    </row>
    <row r="304" spans="1:19" ht="49">
      <c r="A304">
        <v>274</v>
      </c>
      <c r="B304" s="127" t="s">
        <v>165</v>
      </c>
      <c r="C304" s="27">
        <f>VLOOKUP(B304,Elements!$A$2:$B$435,2,0)</f>
        <v>130</v>
      </c>
      <c r="D304">
        <v>4</v>
      </c>
      <c r="E304" t="str">
        <f>VLOOKUP(D304,Categories!$A$2:$B$8,2,0)</f>
        <v>Sourcing</v>
      </c>
      <c r="F304">
        <v>13</v>
      </c>
      <c r="G304" t="str">
        <f>VLOOKUP(F304,Subcategories!$A$2:$B$29,2,0)</f>
        <v>Supplier Portal</v>
      </c>
      <c r="H304" t="str">
        <f t="shared" si="4"/>
        <v>4-13-130</v>
      </c>
      <c r="I304">
        <f>VLOOKUP(H304,SuiteCatSubElem!$F$2:$G$666,2,0)</f>
        <v>273</v>
      </c>
      <c r="J304">
        <v>1</v>
      </c>
      <c r="K304">
        <v>130</v>
      </c>
      <c r="M304" t="s">
        <v>50</v>
      </c>
      <c r="N304" s="60">
        <v>43101</v>
      </c>
      <c r="O304" t="s">
        <v>50</v>
      </c>
      <c r="P304">
        <v>30</v>
      </c>
      <c r="Q304" t="s">
        <v>1358</v>
      </c>
      <c r="R304" s="113" t="s">
        <v>1374</v>
      </c>
      <c r="S304" s="113" t="s">
        <v>612</v>
      </c>
    </row>
    <row r="305" spans="1:19" ht="49">
      <c r="A305">
        <v>511</v>
      </c>
      <c r="B305" s="127" t="s">
        <v>165</v>
      </c>
      <c r="C305" s="27">
        <f>VLOOKUP(B305,Elements!$A$2:$B$435,2,0)</f>
        <v>130</v>
      </c>
      <c r="D305">
        <v>6</v>
      </c>
      <c r="E305" t="str">
        <f>VLOOKUP(D305,Categories!$A$2:$B$8,2,0)</f>
        <v>SXM</v>
      </c>
      <c r="F305">
        <v>23</v>
      </c>
      <c r="G305" t="str">
        <f>VLOOKUP(F305,Subcategories!$A$2:$B$29,2,0)</f>
        <v>SIM</v>
      </c>
      <c r="H305" t="str">
        <f t="shared" si="4"/>
        <v>6-23-130</v>
      </c>
      <c r="I305">
        <f>VLOOKUP(H305,SuiteCatSubElem!$F$2:$G$666,2,0)</f>
        <v>505</v>
      </c>
      <c r="J305">
        <v>1</v>
      </c>
      <c r="K305">
        <v>130</v>
      </c>
      <c r="M305" t="s">
        <v>50</v>
      </c>
      <c r="N305" s="60">
        <v>43101</v>
      </c>
      <c r="O305" t="s">
        <v>50</v>
      </c>
      <c r="P305">
        <v>12</v>
      </c>
      <c r="Q305" t="s">
        <v>1358</v>
      </c>
      <c r="R305" s="113" t="s">
        <v>1374</v>
      </c>
      <c r="S305" s="113" t="s">
        <v>612</v>
      </c>
    </row>
    <row r="306" spans="1:19" ht="37">
      <c r="A306">
        <v>275</v>
      </c>
      <c r="B306" s="108" t="s">
        <v>379</v>
      </c>
      <c r="C306" s="27">
        <f>VLOOKUP(B306,Elements!$A$2:$B$435,2,0)</f>
        <v>131</v>
      </c>
      <c r="D306">
        <v>4</v>
      </c>
      <c r="E306" t="str">
        <f>VLOOKUP(D306,Categories!$A$2:$B$8,2,0)</f>
        <v>Sourcing</v>
      </c>
      <c r="F306">
        <v>13</v>
      </c>
      <c r="G306" t="str">
        <f>VLOOKUP(F306,Subcategories!$A$2:$B$29,2,0)</f>
        <v>Supplier Portal</v>
      </c>
      <c r="H306" t="str">
        <f t="shared" si="4"/>
        <v>4-13-131</v>
      </c>
      <c r="I306">
        <f>VLOOKUP(H306,SuiteCatSubElem!$F$2:$G$666,2,0)</f>
        <v>274</v>
      </c>
      <c r="J306">
        <v>1</v>
      </c>
      <c r="K306">
        <v>131</v>
      </c>
      <c r="M306" t="s">
        <v>50</v>
      </c>
      <c r="N306" s="60">
        <v>43101</v>
      </c>
      <c r="O306" t="s">
        <v>50</v>
      </c>
      <c r="P306">
        <v>31</v>
      </c>
      <c r="Q306" t="s">
        <v>1358</v>
      </c>
      <c r="R306" s="113" t="s">
        <v>1375</v>
      </c>
      <c r="S306" s="113" t="s">
        <v>614</v>
      </c>
    </row>
    <row r="307" spans="1:19" ht="37">
      <c r="A307">
        <v>512</v>
      </c>
      <c r="B307" s="127" t="s">
        <v>379</v>
      </c>
      <c r="C307" s="27">
        <f>VLOOKUP(B307,Elements!$A$2:$B$435,2,0)</f>
        <v>131</v>
      </c>
      <c r="D307">
        <v>6</v>
      </c>
      <c r="E307" t="str">
        <f>VLOOKUP(D307,Categories!$A$2:$B$8,2,0)</f>
        <v>SXM</v>
      </c>
      <c r="F307">
        <v>23</v>
      </c>
      <c r="G307" t="str">
        <f>VLOOKUP(F307,Subcategories!$A$2:$B$29,2,0)</f>
        <v>SIM</v>
      </c>
      <c r="H307" t="str">
        <f t="shared" si="4"/>
        <v>6-23-131</v>
      </c>
      <c r="I307">
        <f>VLOOKUP(H307,SuiteCatSubElem!$F$2:$G$666,2,0)</f>
        <v>506</v>
      </c>
      <c r="J307">
        <v>1</v>
      </c>
      <c r="K307">
        <v>131</v>
      </c>
      <c r="M307" t="s">
        <v>50</v>
      </c>
      <c r="N307" s="60">
        <v>43101</v>
      </c>
      <c r="O307" t="s">
        <v>50</v>
      </c>
      <c r="P307">
        <v>13</v>
      </c>
      <c r="Q307" t="s">
        <v>1358</v>
      </c>
      <c r="R307" s="113" t="s">
        <v>1375</v>
      </c>
      <c r="S307" s="113" t="s">
        <v>614</v>
      </c>
    </row>
    <row r="308" spans="1:19">
      <c r="A308">
        <v>276</v>
      </c>
      <c r="B308" s="127" t="s">
        <v>167</v>
      </c>
      <c r="C308" s="27">
        <f>VLOOKUP(B308,Elements!$A$2:$B$435,2,0)</f>
        <v>132</v>
      </c>
      <c r="D308">
        <v>4</v>
      </c>
      <c r="E308" t="str">
        <f>VLOOKUP(D308,Categories!$A$2:$B$8,2,0)</f>
        <v>Sourcing</v>
      </c>
      <c r="F308">
        <v>14</v>
      </c>
      <c r="G308" t="str">
        <f>VLOOKUP(F308,Subcategories!$A$2:$B$29,2,0)</f>
        <v>Spend Analysis</v>
      </c>
      <c r="H308" t="str">
        <f t="shared" si="4"/>
        <v>4-14-132</v>
      </c>
      <c r="I308">
        <f>VLOOKUP(H308,SuiteCatSubElem!$F$2:$G$666,2,0)</f>
        <v>275</v>
      </c>
      <c r="J308">
        <v>1</v>
      </c>
      <c r="K308">
        <v>132</v>
      </c>
      <c r="M308" t="s">
        <v>50</v>
      </c>
      <c r="N308" s="60">
        <v>43101</v>
      </c>
      <c r="O308" t="s">
        <v>50</v>
      </c>
      <c r="P308">
        <v>32</v>
      </c>
      <c r="Q308" t="s">
        <v>1358</v>
      </c>
      <c r="R308" s="102" t="s">
        <v>615</v>
      </c>
      <c r="S308" s="109" t="s">
        <v>298</v>
      </c>
    </row>
    <row r="309" spans="1:19" ht="49">
      <c r="A309">
        <v>277</v>
      </c>
      <c r="B309" s="127" t="s">
        <v>168</v>
      </c>
      <c r="C309" s="27">
        <f>VLOOKUP(B309,Elements!$A$2:$B$435,2,0)</f>
        <v>133</v>
      </c>
      <c r="D309">
        <v>4</v>
      </c>
      <c r="E309" t="str">
        <f>VLOOKUP(D309,Categories!$A$2:$B$8,2,0)</f>
        <v>Sourcing</v>
      </c>
      <c r="F309">
        <v>14</v>
      </c>
      <c r="G309" t="str">
        <f>VLOOKUP(F309,Subcategories!$A$2:$B$29,2,0)</f>
        <v>Spend Analysis</v>
      </c>
      <c r="H309" t="str">
        <f t="shared" si="4"/>
        <v>4-14-133</v>
      </c>
      <c r="I309">
        <f>VLOOKUP(H309,SuiteCatSubElem!$F$2:$G$666,2,0)</f>
        <v>276</v>
      </c>
      <c r="J309">
        <v>1</v>
      </c>
      <c r="K309">
        <v>133</v>
      </c>
      <c r="M309" t="s">
        <v>50</v>
      </c>
      <c r="N309" s="60">
        <v>43101</v>
      </c>
      <c r="O309" t="s">
        <v>50</v>
      </c>
      <c r="P309">
        <v>33</v>
      </c>
      <c r="Q309" t="s">
        <v>1358</v>
      </c>
      <c r="R309" s="102" t="s">
        <v>1376</v>
      </c>
      <c r="S309" s="109" t="s">
        <v>673</v>
      </c>
    </row>
    <row r="310" spans="1:19" ht="49">
      <c r="A310">
        <v>312</v>
      </c>
      <c r="B310" s="127" t="s">
        <v>168</v>
      </c>
      <c r="C310" s="27">
        <f>VLOOKUP(B310,Elements!$A$2:$B$435,2,0)</f>
        <v>133</v>
      </c>
      <c r="D310">
        <v>4</v>
      </c>
      <c r="E310" t="str">
        <f>VLOOKUP(D310,Categories!$A$2:$B$8,2,0)</f>
        <v>Sourcing</v>
      </c>
      <c r="F310">
        <v>15</v>
      </c>
      <c r="G310" t="str">
        <f>VLOOKUP(F310,Subcategories!$A$2:$B$29,2,0)</f>
        <v>RFX Auction</v>
      </c>
      <c r="H310" t="str">
        <f t="shared" si="4"/>
        <v>4-15-133</v>
      </c>
      <c r="I310">
        <f>VLOOKUP(H310,SuiteCatSubElem!$F$2:$G$666,2,0)</f>
        <v>311</v>
      </c>
      <c r="J310">
        <v>1</v>
      </c>
      <c r="K310">
        <v>133</v>
      </c>
      <c r="M310" t="s">
        <v>50</v>
      </c>
      <c r="N310" s="60">
        <v>43101</v>
      </c>
      <c r="O310" t="s">
        <v>50</v>
      </c>
      <c r="P310">
        <v>68</v>
      </c>
      <c r="Q310" t="s">
        <v>1358</v>
      </c>
      <c r="R310" s="102" t="s">
        <v>1376</v>
      </c>
      <c r="S310" s="109" t="s">
        <v>673</v>
      </c>
    </row>
    <row r="311" spans="1:19" ht="25">
      <c r="A311">
        <v>278</v>
      </c>
      <c r="B311" s="127" t="s">
        <v>169</v>
      </c>
      <c r="C311" s="27">
        <f>VLOOKUP(B311,Elements!$A$2:$B$435,2,0)</f>
        <v>134</v>
      </c>
      <c r="D311">
        <v>4</v>
      </c>
      <c r="E311" t="str">
        <f>VLOOKUP(D311,Categories!$A$2:$B$8,2,0)</f>
        <v>Sourcing</v>
      </c>
      <c r="F311">
        <v>14</v>
      </c>
      <c r="G311" t="str">
        <f>VLOOKUP(F311,Subcategories!$A$2:$B$29,2,0)</f>
        <v>Spend Analysis</v>
      </c>
      <c r="H311" t="str">
        <f t="shared" si="4"/>
        <v>4-14-134</v>
      </c>
      <c r="I311">
        <f>VLOOKUP(H311,SuiteCatSubElem!$F$2:$G$666,2,0)</f>
        <v>277</v>
      </c>
      <c r="J311">
        <v>1</v>
      </c>
      <c r="K311">
        <v>134</v>
      </c>
      <c r="M311" t="s">
        <v>50</v>
      </c>
      <c r="N311" s="60">
        <v>43101</v>
      </c>
      <c r="O311" t="s">
        <v>50</v>
      </c>
      <c r="P311">
        <v>34</v>
      </c>
      <c r="Q311" t="s">
        <v>1358</v>
      </c>
      <c r="R311" s="113" t="s">
        <v>617</v>
      </c>
      <c r="S311" s="109" t="s">
        <v>298</v>
      </c>
    </row>
    <row r="312" spans="1:19">
      <c r="A312">
        <v>279</v>
      </c>
      <c r="B312" s="127" t="s">
        <v>170</v>
      </c>
      <c r="C312" s="27">
        <f>VLOOKUP(B312,Elements!$A$2:$B$435,2,0)</f>
        <v>135</v>
      </c>
      <c r="D312">
        <v>4</v>
      </c>
      <c r="E312" t="str">
        <f>VLOOKUP(D312,Categories!$A$2:$B$8,2,0)</f>
        <v>Sourcing</v>
      </c>
      <c r="F312">
        <v>14</v>
      </c>
      <c r="G312" t="str">
        <f>VLOOKUP(F312,Subcategories!$A$2:$B$29,2,0)</f>
        <v>Spend Analysis</v>
      </c>
      <c r="H312" t="str">
        <f t="shared" si="4"/>
        <v>4-14-135</v>
      </c>
      <c r="I312">
        <f>VLOOKUP(H312,SuiteCatSubElem!$F$2:$G$666,2,0)</f>
        <v>278</v>
      </c>
      <c r="J312">
        <v>1</v>
      </c>
      <c r="K312">
        <v>135</v>
      </c>
      <c r="M312" t="s">
        <v>50</v>
      </c>
      <c r="N312" s="60">
        <v>43101</v>
      </c>
      <c r="O312" t="s">
        <v>50</v>
      </c>
      <c r="P312">
        <v>35</v>
      </c>
      <c r="Q312" t="s">
        <v>1358</v>
      </c>
      <c r="R312" s="102" t="s">
        <v>618</v>
      </c>
      <c r="S312" s="109" t="s">
        <v>298</v>
      </c>
    </row>
    <row r="313" spans="1:19">
      <c r="A313">
        <v>280</v>
      </c>
      <c r="B313" s="127" t="s">
        <v>171</v>
      </c>
      <c r="C313" s="27">
        <f>VLOOKUP(B313,Elements!$A$2:$B$435,2,0)</f>
        <v>136</v>
      </c>
      <c r="D313">
        <v>4</v>
      </c>
      <c r="E313" t="str">
        <f>VLOOKUP(D313,Categories!$A$2:$B$8,2,0)</f>
        <v>Sourcing</v>
      </c>
      <c r="F313">
        <v>14</v>
      </c>
      <c r="G313" t="str">
        <f>VLOOKUP(F313,Subcategories!$A$2:$B$29,2,0)</f>
        <v>Spend Analysis</v>
      </c>
      <c r="H313" t="str">
        <f t="shared" si="4"/>
        <v>4-14-136</v>
      </c>
      <c r="I313">
        <f>VLOOKUP(H313,SuiteCatSubElem!$F$2:$G$666,2,0)</f>
        <v>279</v>
      </c>
      <c r="J313">
        <v>1</v>
      </c>
      <c r="K313">
        <v>136</v>
      </c>
      <c r="M313" t="s">
        <v>50</v>
      </c>
      <c r="N313" s="60">
        <v>43101</v>
      </c>
      <c r="O313" t="s">
        <v>50</v>
      </c>
      <c r="P313">
        <v>36</v>
      </c>
      <c r="Q313" t="s">
        <v>1358</v>
      </c>
      <c r="R313" s="102" t="s">
        <v>619</v>
      </c>
      <c r="S313" s="109" t="s">
        <v>298</v>
      </c>
    </row>
    <row r="314" spans="1:19" ht="30">
      <c r="A314">
        <v>281</v>
      </c>
      <c r="B314" s="127" t="s">
        <v>172</v>
      </c>
      <c r="C314" s="27">
        <f>VLOOKUP(B314,Elements!$A$2:$B$435,2,0)</f>
        <v>137</v>
      </c>
      <c r="D314">
        <v>4</v>
      </c>
      <c r="E314" t="str">
        <f>VLOOKUP(D314,Categories!$A$2:$B$8,2,0)</f>
        <v>Sourcing</v>
      </c>
      <c r="F314">
        <v>14</v>
      </c>
      <c r="G314" t="str">
        <f>VLOOKUP(F314,Subcategories!$A$2:$B$29,2,0)</f>
        <v>Spend Analysis</v>
      </c>
      <c r="H314" t="str">
        <f t="shared" si="4"/>
        <v>4-14-137</v>
      </c>
      <c r="I314">
        <f>VLOOKUP(H314,SuiteCatSubElem!$F$2:$G$666,2,0)</f>
        <v>280</v>
      </c>
      <c r="J314">
        <v>1</v>
      </c>
      <c r="K314">
        <v>137</v>
      </c>
      <c r="M314" t="s">
        <v>50</v>
      </c>
      <c r="N314" s="60">
        <v>43101</v>
      </c>
      <c r="O314" t="s">
        <v>50</v>
      </c>
      <c r="P314">
        <v>37</v>
      </c>
      <c r="Q314" t="s">
        <v>1358</v>
      </c>
      <c r="R314" s="102" t="s">
        <v>620</v>
      </c>
      <c r="S314" s="109" t="s">
        <v>298</v>
      </c>
    </row>
    <row r="315" spans="1:19" ht="45">
      <c r="A315">
        <v>282</v>
      </c>
      <c r="B315" s="127" t="s">
        <v>173</v>
      </c>
      <c r="C315" s="27">
        <f>VLOOKUP(B315,Elements!$A$2:$B$435,2,0)</f>
        <v>138</v>
      </c>
      <c r="D315">
        <v>4</v>
      </c>
      <c r="E315" t="str">
        <f>VLOOKUP(D315,Categories!$A$2:$B$8,2,0)</f>
        <v>Sourcing</v>
      </c>
      <c r="F315">
        <v>14</v>
      </c>
      <c r="G315" t="str">
        <f>VLOOKUP(F315,Subcategories!$A$2:$B$29,2,0)</f>
        <v>Spend Analysis</v>
      </c>
      <c r="H315" t="str">
        <f t="shared" si="4"/>
        <v>4-14-138</v>
      </c>
      <c r="I315">
        <f>VLOOKUP(H315,SuiteCatSubElem!$F$2:$G$666,2,0)</f>
        <v>281</v>
      </c>
      <c r="J315">
        <v>1</v>
      </c>
      <c r="K315">
        <v>138</v>
      </c>
      <c r="M315" t="s">
        <v>50</v>
      </c>
      <c r="N315" s="60">
        <v>43101</v>
      </c>
      <c r="O315" t="s">
        <v>50</v>
      </c>
      <c r="P315">
        <v>38</v>
      </c>
      <c r="Q315" t="s">
        <v>1358</v>
      </c>
      <c r="R315" s="113" t="s">
        <v>621</v>
      </c>
      <c r="S315" s="109" t="s">
        <v>298</v>
      </c>
    </row>
    <row r="316" spans="1:19" ht="30">
      <c r="A316">
        <v>283</v>
      </c>
      <c r="B316" s="127" t="s">
        <v>174</v>
      </c>
      <c r="C316" s="27">
        <f>VLOOKUP(B316,Elements!$A$2:$B$435,2,0)</f>
        <v>139</v>
      </c>
      <c r="D316">
        <v>4</v>
      </c>
      <c r="E316" t="str">
        <f>VLOOKUP(D316,Categories!$A$2:$B$8,2,0)</f>
        <v>Sourcing</v>
      </c>
      <c r="F316">
        <v>14</v>
      </c>
      <c r="G316" t="str">
        <f>VLOOKUP(F316,Subcategories!$A$2:$B$29,2,0)</f>
        <v>Spend Analysis</v>
      </c>
      <c r="H316" t="str">
        <f t="shared" si="4"/>
        <v>4-14-139</v>
      </c>
      <c r="I316">
        <f>VLOOKUP(H316,SuiteCatSubElem!$F$2:$G$666,2,0)</f>
        <v>282</v>
      </c>
      <c r="J316">
        <v>1</v>
      </c>
      <c r="K316">
        <v>139</v>
      </c>
      <c r="M316" t="s">
        <v>50</v>
      </c>
      <c r="N316" s="60">
        <v>43101</v>
      </c>
      <c r="O316" t="s">
        <v>50</v>
      </c>
      <c r="P316">
        <v>39</v>
      </c>
      <c r="Q316" t="s">
        <v>1358</v>
      </c>
      <c r="R316" s="102" t="s">
        <v>622</v>
      </c>
      <c r="S316" s="109" t="s">
        <v>298</v>
      </c>
    </row>
    <row r="317" spans="1:19">
      <c r="A317">
        <v>284</v>
      </c>
      <c r="B317" s="127" t="s">
        <v>175</v>
      </c>
      <c r="C317" s="27">
        <f>VLOOKUP(B317,Elements!$A$2:$B$435,2,0)</f>
        <v>140</v>
      </c>
      <c r="D317">
        <v>4</v>
      </c>
      <c r="E317" t="str">
        <f>VLOOKUP(D317,Categories!$A$2:$B$8,2,0)</f>
        <v>Sourcing</v>
      </c>
      <c r="F317">
        <v>14</v>
      </c>
      <c r="G317" t="str">
        <f>VLOOKUP(F317,Subcategories!$A$2:$B$29,2,0)</f>
        <v>Spend Analysis</v>
      </c>
      <c r="H317" t="str">
        <f t="shared" si="4"/>
        <v>4-14-140</v>
      </c>
      <c r="I317">
        <f>VLOOKUP(H317,SuiteCatSubElem!$F$2:$G$666,2,0)</f>
        <v>283</v>
      </c>
      <c r="J317">
        <v>1</v>
      </c>
      <c r="K317">
        <v>140</v>
      </c>
      <c r="M317" t="s">
        <v>50</v>
      </c>
      <c r="N317" s="60">
        <v>43101</v>
      </c>
      <c r="O317" t="s">
        <v>50</v>
      </c>
      <c r="P317">
        <v>40</v>
      </c>
      <c r="Q317" t="s">
        <v>1358</v>
      </c>
      <c r="R317" s="102" t="s">
        <v>623</v>
      </c>
      <c r="S317" s="109" t="s">
        <v>298</v>
      </c>
    </row>
    <row r="318" spans="1:19" ht="30">
      <c r="A318">
        <v>285</v>
      </c>
      <c r="B318" s="127" t="s">
        <v>176</v>
      </c>
      <c r="C318" s="27">
        <f>VLOOKUP(B318,Elements!$A$2:$B$435,2,0)</f>
        <v>141</v>
      </c>
      <c r="D318">
        <v>4</v>
      </c>
      <c r="E318" t="str">
        <f>VLOOKUP(D318,Categories!$A$2:$B$8,2,0)</f>
        <v>Sourcing</v>
      </c>
      <c r="F318">
        <v>14</v>
      </c>
      <c r="G318" t="str">
        <f>VLOOKUP(F318,Subcategories!$A$2:$B$29,2,0)</f>
        <v>Spend Analysis</v>
      </c>
      <c r="H318" t="str">
        <f t="shared" si="4"/>
        <v>4-14-141</v>
      </c>
      <c r="I318">
        <f>VLOOKUP(H318,SuiteCatSubElem!$F$2:$G$666,2,0)</f>
        <v>284</v>
      </c>
      <c r="J318">
        <v>1</v>
      </c>
      <c r="K318">
        <v>141</v>
      </c>
      <c r="M318" t="s">
        <v>50</v>
      </c>
      <c r="N318" s="60">
        <v>43101</v>
      </c>
      <c r="O318" t="s">
        <v>50</v>
      </c>
      <c r="P318">
        <v>41</v>
      </c>
      <c r="Q318" t="s">
        <v>1358</v>
      </c>
      <c r="R318" s="102" t="s">
        <v>624</v>
      </c>
      <c r="S318" s="109" t="s">
        <v>298</v>
      </c>
    </row>
    <row r="319" spans="1:19">
      <c r="A319">
        <v>286</v>
      </c>
      <c r="B319" s="127" t="s">
        <v>177</v>
      </c>
      <c r="C319" s="27">
        <f>VLOOKUP(B319,Elements!$A$2:$B$435,2,0)</f>
        <v>142</v>
      </c>
      <c r="D319">
        <v>4</v>
      </c>
      <c r="E319" t="str">
        <f>VLOOKUP(D319,Categories!$A$2:$B$8,2,0)</f>
        <v>Sourcing</v>
      </c>
      <c r="F319">
        <v>14</v>
      </c>
      <c r="G319" t="str">
        <f>VLOOKUP(F319,Subcategories!$A$2:$B$29,2,0)</f>
        <v>Spend Analysis</v>
      </c>
      <c r="H319" t="str">
        <f t="shared" si="4"/>
        <v>4-14-142</v>
      </c>
      <c r="I319">
        <f>VLOOKUP(H319,SuiteCatSubElem!$F$2:$G$666,2,0)</f>
        <v>285</v>
      </c>
      <c r="J319">
        <v>1</v>
      </c>
      <c r="K319">
        <v>142</v>
      </c>
      <c r="M319" t="s">
        <v>50</v>
      </c>
      <c r="N319" s="60">
        <v>43101</v>
      </c>
      <c r="O319" t="s">
        <v>50</v>
      </c>
      <c r="P319">
        <v>42</v>
      </c>
      <c r="Q319" t="s">
        <v>1358</v>
      </c>
      <c r="R319" s="102" t="s">
        <v>625</v>
      </c>
      <c r="S319" s="109" t="s">
        <v>298</v>
      </c>
    </row>
    <row r="320" spans="1:19" ht="30">
      <c r="A320">
        <v>287</v>
      </c>
      <c r="B320" s="127" t="s">
        <v>178</v>
      </c>
      <c r="C320" s="27">
        <f>VLOOKUP(B320,Elements!$A$2:$B$435,2,0)</f>
        <v>143</v>
      </c>
      <c r="D320">
        <v>4</v>
      </c>
      <c r="E320" t="str">
        <f>VLOOKUP(D320,Categories!$A$2:$B$8,2,0)</f>
        <v>Sourcing</v>
      </c>
      <c r="F320">
        <v>14</v>
      </c>
      <c r="G320" t="str">
        <f>VLOOKUP(F320,Subcategories!$A$2:$B$29,2,0)</f>
        <v>Spend Analysis</v>
      </c>
      <c r="H320" t="str">
        <f t="shared" si="4"/>
        <v>4-14-143</v>
      </c>
      <c r="I320">
        <f>VLOOKUP(H320,SuiteCatSubElem!$F$2:$G$666,2,0)</f>
        <v>286</v>
      </c>
      <c r="J320">
        <v>1</v>
      </c>
      <c r="K320">
        <v>143</v>
      </c>
      <c r="M320" t="s">
        <v>50</v>
      </c>
      <c r="N320" s="60">
        <v>43101</v>
      </c>
      <c r="O320" t="s">
        <v>50</v>
      </c>
      <c r="P320">
        <v>43</v>
      </c>
      <c r="Q320" t="s">
        <v>1358</v>
      </c>
      <c r="R320" s="113" t="s">
        <v>626</v>
      </c>
      <c r="S320" s="109" t="s">
        <v>298</v>
      </c>
    </row>
    <row r="321" spans="1:19" ht="25">
      <c r="A321">
        <v>288</v>
      </c>
      <c r="B321" s="127" t="s">
        <v>179</v>
      </c>
      <c r="C321" s="27">
        <f>VLOOKUP(B321,Elements!$A$2:$B$435,2,0)</f>
        <v>144</v>
      </c>
      <c r="D321">
        <v>4</v>
      </c>
      <c r="E321" t="str">
        <f>VLOOKUP(D321,Categories!$A$2:$B$8,2,0)</f>
        <v>Sourcing</v>
      </c>
      <c r="F321">
        <v>14</v>
      </c>
      <c r="G321" t="str">
        <f>VLOOKUP(F321,Subcategories!$A$2:$B$29,2,0)</f>
        <v>Spend Analysis</v>
      </c>
      <c r="H321" t="str">
        <f t="shared" si="4"/>
        <v>4-14-144</v>
      </c>
      <c r="I321">
        <f>VLOOKUP(H321,SuiteCatSubElem!$F$2:$G$666,2,0)</f>
        <v>287</v>
      </c>
      <c r="J321">
        <v>1</v>
      </c>
      <c r="K321">
        <v>144</v>
      </c>
      <c r="M321" t="s">
        <v>50</v>
      </c>
      <c r="N321" s="60">
        <v>43101</v>
      </c>
      <c r="O321" t="s">
        <v>50</v>
      </c>
      <c r="P321">
        <v>44</v>
      </c>
      <c r="Q321" t="s">
        <v>1358</v>
      </c>
      <c r="R321" s="113" t="s">
        <v>627</v>
      </c>
      <c r="S321" s="109" t="s">
        <v>298</v>
      </c>
    </row>
    <row r="322" spans="1:19">
      <c r="A322">
        <v>289</v>
      </c>
      <c r="B322" s="127" t="s">
        <v>180</v>
      </c>
      <c r="C322" s="27">
        <f>VLOOKUP(B322,Elements!$A$2:$B$435,2,0)</f>
        <v>145</v>
      </c>
      <c r="D322">
        <v>4</v>
      </c>
      <c r="E322" t="str">
        <f>VLOOKUP(D322,Categories!$A$2:$B$8,2,0)</f>
        <v>Sourcing</v>
      </c>
      <c r="F322">
        <v>14</v>
      </c>
      <c r="G322" t="str">
        <f>VLOOKUP(F322,Subcategories!$A$2:$B$29,2,0)</f>
        <v>Spend Analysis</v>
      </c>
      <c r="H322" t="str">
        <f t="shared" ref="H322:H385" si="5">_xlfn.CONCAT(D322,"-",F322,"-",C322)</f>
        <v>4-14-145</v>
      </c>
      <c r="I322">
        <f>VLOOKUP(H322,SuiteCatSubElem!$F$2:$G$666,2,0)</f>
        <v>288</v>
      </c>
      <c r="J322">
        <v>1</v>
      </c>
      <c r="K322">
        <v>145</v>
      </c>
      <c r="M322" t="s">
        <v>50</v>
      </c>
      <c r="N322" s="60">
        <v>43101</v>
      </c>
      <c r="O322" t="s">
        <v>50</v>
      </c>
      <c r="P322">
        <v>45</v>
      </c>
      <c r="Q322" t="s">
        <v>1358</v>
      </c>
      <c r="R322" s="102" t="s">
        <v>628</v>
      </c>
      <c r="S322" s="109" t="s">
        <v>298</v>
      </c>
    </row>
    <row r="323" spans="1:19" ht="37">
      <c r="A323">
        <v>290</v>
      </c>
      <c r="B323" s="127" t="s">
        <v>181</v>
      </c>
      <c r="C323" s="27">
        <f>VLOOKUP(B323,Elements!$A$2:$B$435,2,0)</f>
        <v>146</v>
      </c>
      <c r="D323">
        <v>4</v>
      </c>
      <c r="E323" t="str">
        <f>VLOOKUP(D323,Categories!$A$2:$B$8,2,0)</f>
        <v>Sourcing</v>
      </c>
      <c r="F323">
        <v>14</v>
      </c>
      <c r="G323" t="str">
        <f>VLOOKUP(F323,Subcategories!$A$2:$B$29,2,0)</f>
        <v>Spend Analysis</v>
      </c>
      <c r="H323" t="str">
        <f t="shared" si="5"/>
        <v>4-14-146</v>
      </c>
      <c r="I323">
        <f>VLOOKUP(H323,SuiteCatSubElem!$F$2:$G$666,2,0)</f>
        <v>289</v>
      </c>
      <c r="J323">
        <v>1</v>
      </c>
      <c r="K323">
        <v>146</v>
      </c>
      <c r="M323" t="s">
        <v>50</v>
      </c>
      <c r="N323" s="60">
        <v>43101</v>
      </c>
      <c r="O323" t="s">
        <v>50</v>
      </c>
      <c r="P323">
        <v>46</v>
      </c>
      <c r="Q323" t="s">
        <v>1358</v>
      </c>
      <c r="R323" s="113" t="s">
        <v>1379</v>
      </c>
      <c r="S323" s="109" t="s">
        <v>298</v>
      </c>
    </row>
    <row r="324" spans="1:19" ht="37">
      <c r="A324">
        <v>563</v>
      </c>
      <c r="B324" s="38" t="s">
        <v>181</v>
      </c>
      <c r="C324" s="27">
        <f>VLOOKUP(B324,Elements!$A$2:$B$435,2,0)</f>
        <v>146</v>
      </c>
      <c r="D324">
        <v>6</v>
      </c>
      <c r="E324" t="str">
        <f>VLOOKUP(D324,Categories!$A$2:$B$8,2,0)</f>
        <v>SXM</v>
      </c>
      <c r="F324">
        <v>24</v>
      </c>
      <c r="G324" t="str">
        <f>VLOOKUP(F324,Subcategories!$A$2:$B$29,2,0)</f>
        <v>SXM</v>
      </c>
      <c r="H324" t="str">
        <f t="shared" si="5"/>
        <v>6-24-146</v>
      </c>
      <c r="I324">
        <f>VLOOKUP(H324,SuiteCatSubElem!$F$2:$G$666,2,0)</f>
        <v>557</v>
      </c>
      <c r="J324">
        <v>1</v>
      </c>
      <c r="K324">
        <v>146</v>
      </c>
      <c r="M324" t="s">
        <v>50</v>
      </c>
      <c r="N324" s="60">
        <v>43101</v>
      </c>
      <c r="O324" t="s">
        <v>50</v>
      </c>
      <c r="P324">
        <v>64</v>
      </c>
      <c r="Q324" t="s">
        <v>1358</v>
      </c>
      <c r="R324" s="113" t="s">
        <v>1379</v>
      </c>
      <c r="S324" s="109" t="s">
        <v>298</v>
      </c>
    </row>
    <row r="325" spans="1:19" ht="25">
      <c r="A325">
        <v>291</v>
      </c>
      <c r="B325" s="127" t="s">
        <v>183</v>
      </c>
      <c r="C325" s="27">
        <f>VLOOKUP(B325,Elements!$A$2:$B$435,2,0)</f>
        <v>147</v>
      </c>
      <c r="D325">
        <v>4</v>
      </c>
      <c r="E325" t="str">
        <f>VLOOKUP(D325,Categories!$A$2:$B$8,2,0)</f>
        <v>Sourcing</v>
      </c>
      <c r="F325">
        <v>15</v>
      </c>
      <c r="G325" t="str">
        <f>VLOOKUP(F325,Subcategories!$A$2:$B$29,2,0)</f>
        <v>RFX Auction</v>
      </c>
      <c r="H325" t="str">
        <f t="shared" si="5"/>
        <v>4-15-147</v>
      </c>
      <c r="I325">
        <f>VLOOKUP(H325,SuiteCatSubElem!$F$2:$G$666,2,0)</f>
        <v>290</v>
      </c>
      <c r="J325">
        <v>1</v>
      </c>
      <c r="K325">
        <v>147</v>
      </c>
      <c r="M325" t="s">
        <v>50</v>
      </c>
      <c r="N325" s="60">
        <v>43101</v>
      </c>
      <c r="O325" t="s">
        <v>50</v>
      </c>
      <c r="P325">
        <v>47</v>
      </c>
      <c r="Q325" t="s">
        <v>1358</v>
      </c>
      <c r="R325" s="102" t="s">
        <v>630</v>
      </c>
      <c r="S325" s="113" t="s">
        <v>631</v>
      </c>
    </row>
    <row r="326" spans="1:19" ht="37">
      <c r="A326">
        <v>292</v>
      </c>
      <c r="B326" s="127" t="s">
        <v>184</v>
      </c>
      <c r="C326" s="27">
        <f>VLOOKUP(B326,Elements!$A$2:$B$435,2,0)</f>
        <v>148</v>
      </c>
      <c r="D326" s="53">
        <v>4</v>
      </c>
      <c r="E326" t="str">
        <f>VLOOKUP(D326,Categories!$A$2:$B$8,2,0)</f>
        <v>Sourcing</v>
      </c>
      <c r="F326">
        <v>15</v>
      </c>
      <c r="G326" t="str">
        <f>VLOOKUP(F326,Subcategories!$A$2:$B$29,2,0)</f>
        <v>RFX Auction</v>
      </c>
      <c r="H326" t="str">
        <f t="shared" si="5"/>
        <v>4-15-148</v>
      </c>
      <c r="I326">
        <f>VLOOKUP(H326,SuiteCatSubElem!$F$2:$G$666,2,0)</f>
        <v>291</v>
      </c>
      <c r="J326" s="53">
        <v>1</v>
      </c>
      <c r="K326">
        <v>148</v>
      </c>
      <c r="L326" s="53"/>
      <c r="M326" t="s">
        <v>50</v>
      </c>
      <c r="N326" s="60">
        <v>43101</v>
      </c>
      <c r="O326" t="s">
        <v>50</v>
      </c>
      <c r="P326">
        <v>48</v>
      </c>
      <c r="Q326" t="s">
        <v>1358</v>
      </c>
      <c r="R326" s="102" t="s">
        <v>632</v>
      </c>
      <c r="S326" s="102" t="s">
        <v>633</v>
      </c>
    </row>
    <row r="327" spans="1:19" ht="37">
      <c r="A327">
        <v>294</v>
      </c>
      <c r="B327" s="127" t="s">
        <v>185</v>
      </c>
      <c r="C327" s="27">
        <f>VLOOKUP(B327,Elements!$A$2:$B$435,2,0)</f>
        <v>149</v>
      </c>
      <c r="D327">
        <v>4</v>
      </c>
      <c r="E327" t="str">
        <f>VLOOKUP(D327,Categories!$A$2:$B$8,2,0)</f>
        <v>Sourcing</v>
      </c>
      <c r="F327">
        <v>15</v>
      </c>
      <c r="G327" t="str">
        <f>VLOOKUP(F327,Subcategories!$A$2:$B$29,2,0)</f>
        <v>RFX Auction</v>
      </c>
      <c r="H327" t="str">
        <f t="shared" si="5"/>
        <v>4-15-149</v>
      </c>
      <c r="I327">
        <f>VLOOKUP(H327,SuiteCatSubElem!$F$2:$G$666,2,0)</f>
        <v>293</v>
      </c>
      <c r="J327">
        <v>1</v>
      </c>
      <c r="K327">
        <v>149</v>
      </c>
      <c r="M327" t="s">
        <v>50</v>
      </c>
      <c r="N327" s="60">
        <v>43101</v>
      </c>
      <c r="O327" t="s">
        <v>50</v>
      </c>
      <c r="P327">
        <v>50</v>
      </c>
      <c r="Q327" t="s">
        <v>1358</v>
      </c>
      <c r="R327" s="113" t="s">
        <v>636</v>
      </c>
      <c r="S327" s="113" t="s">
        <v>637</v>
      </c>
    </row>
    <row r="328" spans="1:19" ht="25">
      <c r="A328">
        <v>295</v>
      </c>
      <c r="B328" s="127" t="s">
        <v>186</v>
      </c>
      <c r="C328" s="27">
        <f>VLOOKUP(B328,Elements!$A$2:$B$435,2,0)</f>
        <v>150</v>
      </c>
      <c r="D328">
        <v>4</v>
      </c>
      <c r="E328" t="str">
        <f>VLOOKUP(D328,Categories!$A$2:$B$8,2,0)</f>
        <v>Sourcing</v>
      </c>
      <c r="F328">
        <v>15</v>
      </c>
      <c r="G328" t="str">
        <f>VLOOKUP(F328,Subcategories!$A$2:$B$29,2,0)</f>
        <v>RFX Auction</v>
      </c>
      <c r="H328" t="str">
        <f t="shared" si="5"/>
        <v>4-15-150</v>
      </c>
      <c r="I328">
        <f>VLOOKUP(H328,SuiteCatSubElem!$F$2:$G$666,2,0)</f>
        <v>294</v>
      </c>
      <c r="J328">
        <v>1</v>
      </c>
      <c r="K328">
        <v>150</v>
      </c>
      <c r="M328" t="s">
        <v>50</v>
      </c>
      <c r="N328" s="60">
        <v>43101</v>
      </c>
      <c r="O328" t="s">
        <v>50</v>
      </c>
      <c r="P328">
        <v>51</v>
      </c>
      <c r="Q328" t="s">
        <v>1358</v>
      </c>
      <c r="R328" s="102" t="s">
        <v>638</v>
      </c>
      <c r="S328" s="113" t="s">
        <v>639</v>
      </c>
    </row>
    <row r="329" spans="1:19" ht="25">
      <c r="A329">
        <v>296</v>
      </c>
      <c r="B329" s="127" t="s">
        <v>187</v>
      </c>
      <c r="C329" s="27">
        <f>VLOOKUP(B329,Elements!$A$2:$B$435,2,0)</f>
        <v>151</v>
      </c>
      <c r="D329">
        <v>4</v>
      </c>
      <c r="E329" t="str">
        <f>VLOOKUP(D329,Categories!$A$2:$B$8,2,0)</f>
        <v>Sourcing</v>
      </c>
      <c r="F329">
        <v>15</v>
      </c>
      <c r="G329" t="str">
        <f>VLOOKUP(F329,Subcategories!$A$2:$B$29,2,0)</f>
        <v>RFX Auction</v>
      </c>
      <c r="H329" t="str">
        <f t="shared" si="5"/>
        <v>4-15-151</v>
      </c>
      <c r="I329">
        <f>VLOOKUP(H329,SuiteCatSubElem!$F$2:$G$666,2,0)</f>
        <v>295</v>
      </c>
      <c r="J329">
        <v>1</v>
      </c>
      <c r="K329">
        <v>151</v>
      </c>
      <c r="M329" t="s">
        <v>50</v>
      </c>
      <c r="N329" s="60">
        <v>43101</v>
      </c>
      <c r="O329" t="s">
        <v>50</v>
      </c>
      <c r="P329">
        <v>52</v>
      </c>
      <c r="Q329" t="s">
        <v>1358</v>
      </c>
      <c r="R329" s="113" t="s">
        <v>640</v>
      </c>
      <c r="S329" s="113" t="s">
        <v>641</v>
      </c>
    </row>
    <row r="330" spans="1:19" ht="25">
      <c r="A330">
        <v>297</v>
      </c>
      <c r="B330" s="127" t="s">
        <v>188</v>
      </c>
      <c r="C330" s="27">
        <f>VLOOKUP(B330,Elements!$A$2:$B$435,2,0)</f>
        <v>152</v>
      </c>
      <c r="D330">
        <v>4</v>
      </c>
      <c r="E330" t="str">
        <f>VLOOKUP(D330,Categories!$A$2:$B$8,2,0)</f>
        <v>Sourcing</v>
      </c>
      <c r="F330">
        <v>15</v>
      </c>
      <c r="G330" t="str">
        <f>VLOOKUP(F330,Subcategories!$A$2:$B$29,2,0)</f>
        <v>RFX Auction</v>
      </c>
      <c r="H330" t="str">
        <f t="shared" si="5"/>
        <v>4-15-152</v>
      </c>
      <c r="I330">
        <f>VLOOKUP(H330,SuiteCatSubElem!$F$2:$G$666,2,0)</f>
        <v>296</v>
      </c>
      <c r="J330">
        <v>1</v>
      </c>
      <c r="K330">
        <v>152</v>
      </c>
      <c r="M330" t="s">
        <v>50</v>
      </c>
      <c r="N330" s="60">
        <v>43101</v>
      </c>
      <c r="O330" t="s">
        <v>50</v>
      </c>
      <c r="P330">
        <v>53</v>
      </c>
      <c r="Q330" t="s">
        <v>1358</v>
      </c>
      <c r="R330" s="113" t="s">
        <v>642</v>
      </c>
      <c r="S330" s="113" t="s">
        <v>643</v>
      </c>
    </row>
    <row r="331" spans="1:19" ht="25">
      <c r="A331">
        <v>298</v>
      </c>
      <c r="B331" s="127" t="s">
        <v>189</v>
      </c>
      <c r="C331" s="27">
        <f>VLOOKUP(B331,Elements!$A$2:$B$435,2,0)</f>
        <v>153</v>
      </c>
      <c r="D331">
        <v>4</v>
      </c>
      <c r="E331" t="str">
        <f>VLOOKUP(D331,Categories!$A$2:$B$8,2,0)</f>
        <v>Sourcing</v>
      </c>
      <c r="F331">
        <v>15</v>
      </c>
      <c r="G331" t="str">
        <f>VLOOKUP(F331,Subcategories!$A$2:$B$29,2,0)</f>
        <v>RFX Auction</v>
      </c>
      <c r="H331" t="str">
        <f t="shared" si="5"/>
        <v>4-15-153</v>
      </c>
      <c r="I331">
        <f>VLOOKUP(H331,SuiteCatSubElem!$F$2:$G$666,2,0)</f>
        <v>297</v>
      </c>
      <c r="J331">
        <v>1</v>
      </c>
      <c r="K331">
        <v>153</v>
      </c>
      <c r="M331" t="s">
        <v>50</v>
      </c>
      <c r="N331" s="60">
        <v>43101</v>
      </c>
      <c r="O331" t="s">
        <v>50</v>
      </c>
      <c r="P331">
        <v>54</v>
      </c>
      <c r="Q331" t="s">
        <v>1358</v>
      </c>
      <c r="R331" s="102" t="s">
        <v>644</v>
      </c>
      <c r="S331" s="113" t="s">
        <v>645</v>
      </c>
    </row>
    <row r="332" spans="1:19" ht="25">
      <c r="A332">
        <v>299</v>
      </c>
      <c r="B332" s="127" t="s">
        <v>190</v>
      </c>
      <c r="C332" s="27">
        <f>VLOOKUP(B332,Elements!$A$2:$B$435,2,0)</f>
        <v>154</v>
      </c>
      <c r="D332">
        <v>4</v>
      </c>
      <c r="E332" t="str">
        <f>VLOOKUP(D332,Categories!$A$2:$B$8,2,0)</f>
        <v>Sourcing</v>
      </c>
      <c r="F332">
        <v>15</v>
      </c>
      <c r="G332" t="str">
        <f>VLOOKUP(F332,Subcategories!$A$2:$B$29,2,0)</f>
        <v>RFX Auction</v>
      </c>
      <c r="H332" t="str">
        <f t="shared" si="5"/>
        <v>4-15-154</v>
      </c>
      <c r="I332">
        <f>VLOOKUP(H332,SuiteCatSubElem!$F$2:$G$666,2,0)</f>
        <v>298</v>
      </c>
      <c r="J332">
        <v>1</v>
      </c>
      <c r="K332">
        <v>154</v>
      </c>
      <c r="M332" t="s">
        <v>50</v>
      </c>
      <c r="N332" s="60">
        <v>43101</v>
      </c>
      <c r="O332" t="s">
        <v>50</v>
      </c>
      <c r="P332">
        <v>55</v>
      </c>
      <c r="Q332" t="s">
        <v>1358</v>
      </c>
      <c r="R332" s="113" t="s">
        <v>646</v>
      </c>
      <c r="S332" s="113" t="s">
        <v>647</v>
      </c>
    </row>
    <row r="333" spans="1:19" ht="25">
      <c r="A333">
        <v>300</v>
      </c>
      <c r="B333" s="127" t="s">
        <v>191</v>
      </c>
      <c r="C333" s="27">
        <f>VLOOKUP(B333,Elements!$A$2:$B$435,2,0)</f>
        <v>155</v>
      </c>
      <c r="D333">
        <v>4</v>
      </c>
      <c r="E333" t="str">
        <f>VLOOKUP(D333,Categories!$A$2:$B$8,2,0)</f>
        <v>Sourcing</v>
      </c>
      <c r="F333">
        <v>15</v>
      </c>
      <c r="G333" t="str">
        <f>VLOOKUP(F333,Subcategories!$A$2:$B$29,2,0)</f>
        <v>RFX Auction</v>
      </c>
      <c r="H333" t="str">
        <f t="shared" si="5"/>
        <v>4-15-155</v>
      </c>
      <c r="I333">
        <f>VLOOKUP(H333,SuiteCatSubElem!$F$2:$G$666,2,0)</f>
        <v>299</v>
      </c>
      <c r="J333">
        <v>1</v>
      </c>
      <c r="K333">
        <v>155</v>
      </c>
      <c r="M333" t="s">
        <v>50</v>
      </c>
      <c r="N333" s="60">
        <v>43101</v>
      </c>
      <c r="O333" t="s">
        <v>50</v>
      </c>
      <c r="P333">
        <v>56</v>
      </c>
      <c r="Q333" t="s">
        <v>1358</v>
      </c>
      <c r="R333" s="113" t="s">
        <v>648</v>
      </c>
      <c r="S333" s="113" t="s">
        <v>649</v>
      </c>
    </row>
    <row r="334" spans="1:19">
      <c r="A334">
        <v>301</v>
      </c>
      <c r="B334" s="127" t="s">
        <v>192</v>
      </c>
      <c r="C334" s="27">
        <f>VLOOKUP(B334,Elements!$A$2:$B$435,2,0)</f>
        <v>156</v>
      </c>
      <c r="D334">
        <v>4</v>
      </c>
      <c r="E334" t="str">
        <f>VLOOKUP(D334,Categories!$A$2:$B$8,2,0)</f>
        <v>Sourcing</v>
      </c>
      <c r="F334">
        <v>15</v>
      </c>
      <c r="G334" t="str">
        <f>VLOOKUP(F334,Subcategories!$A$2:$B$29,2,0)</f>
        <v>RFX Auction</v>
      </c>
      <c r="H334" t="str">
        <f t="shared" si="5"/>
        <v>4-15-156</v>
      </c>
      <c r="I334">
        <f>VLOOKUP(H334,SuiteCatSubElem!$F$2:$G$666,2,0)</f>
        <v>300</v>
      </c>
      <c r="J334">
        <v>1</v>
      </c>
      <c r="K334">
        <v>156</v>
      </c>
      <c r="M334" t="s">
        <v>50</v>
      </c>
      <c r="N334" s="60">
        <v>43101</v>
      </c>
      <c r="O334" t="s">
        <v>50</v>
      </c>
      <c r="P334">
        <v>57</v>
      </c>
      <c r="Q334" t="s">
        <v>1358</v>
      </c>
      <c r="R334" s="102" t="s">
        <v>650</v>
      </c>
      <c r="S334" s="113" t="s">
        <v>651</v>
      </c>
    </row>
    <row r="335" spans="1:19">
      <c r="A335">
        <v>302</v>
      </c>
      <c r="B335" s="127" t="s">
        <v>193</v>
      </c>
      <c r="C335" s="27">
        <f>VLOOKUP(B335,Elements!$A$2:$B$435,2,0)</f>
        <v>157</v>
      </c>
      <c r="D335">
        <v>4</v>
      </c>
      <c r="E335" t="str">
        <f>VLOOKUP(D335,Categories!$A$2:$B$8,2,0)</f>
        <v>Sourcing</v>
      </c>
      <c r="F335">
        <v>15</v>
      </c>
      <c r="G335" t="str">
        <f>VLOOKUP(F335,Subcategories!$A$2:$B$29,2,0)</f>
        <v>RFX Auction</v>
      </c>
      <c r="H335" t="str">
        <f t="shared" si="5"/>
        <v>4-15-157</v>
      </c>
      <c r="I335">
        <f>VLOOKUP(H335,SuiteCatSubElem!$F$2:$G$666,2,0)</f>
        <v>301</v>
      </c>
      <c r="J335">
        <v>1</v>
      </c>
      <c r="K335">
        <v>157</v>
      </c>
      <c r="M335" t="s">
        <v>50</v>
      </c>
      <c r="N335" s="60">
        <v>43101</v>
      </c>
      <c r="O335" t="s">
        <v>50</v>
      </c>
      <c r="P335">
        <v>58</v>
      </c>
      <c r="Q335" t="s">
        <v>1358</v>
      </c>
      <c r="R335" s="102" t="s">
        <v>652</v>
      </c>
      <c r="S335" s="113" t="s">
        <v>653</v>
      </c>
    </row>
    <row r="336" spans="1:19" ht="30">
      <c r="A336">
        <v>303</v>
      </c>
      <c r="B336" s="127" t="s">
        <v>194</v>
      </c>
      <c r="C336" s="27">
        <f>VLOOKUP(B336,Elements!$A$2:$B$435,2,0)</f>
        <v>158</v>
      </c>
      <c r="D336">
        <v>4</v>
      </c>
      <c r="E336" t="str">
        <f>VLOOKUP(D336,Categories!$A$2:$B$8,2,0)</f>
        <v>Sourcing</v>
      </c>
      <c r="F336">
        <v>15</v>
      </c>
      <c r="G336" t="str">
        <f>VLOOKUP(F336,Subcategories!$A$2:$B$29,2,0)</f>
        <v>RFX Auction</v>
      </c>
      <c r="H336" t="str">
        <f t="shared" si="5"/>
        <v>4-15-158</v>
      </c>
      <c r="I336">
        <f>VLOOKUP(H336,SuiteCatSubElem!$F$2:$G$666,2,0)</f>
        <v>302</v>
      </c>
      <c r="J336">
        <v>1</v>
      </c>
      <c r="K336">
        <v>158</v>
      </c>
      <c r="M336" t="s">
        <v>50</v>
      </c>
      <c r="N336" s="60">
        <v>43101</v>
      </c>
      <c r="O336" t="s">
        <v>50</v>
      </c>
      <c r="P336">
        <v>59</v>
      </c>
      <c r="Q336" t="s">
        <v>1358</v>
      </c>
      <c r="R336" s="113" t="s">
        <v>654</v>
      </c>
      <c r="S336" s="113" t="s">
        <v>655</v>
      </c>
    </row>
    <row r="337" spans="1:19" ht="37">
      <c r="A337">
        <v>304</v>
      </c>
      <c r="B337" s="127" t="s">
        <v>195</v>
      </c>
      <c r="C337" s="27">
        <f>VLOOKUP(B337,Elements!$A$2:$B$435,2,0)</f>
        <v>159</v>
      </c>
      <c r="D337">
        <v>4</v>
      </c>
      <c r="E337" t="str">
        <f>VLOOKUP(D337,Categories!$A$2:$B$8,2,0)</f>
        <v>Sourcing</v>
      </c>
      <c r="F337">
        <v>15</v>
      </c>
      <c r="G337" t="str">
        <f>VLOOKUP(F337,Subcategories!$A$2:$B$29,2,0)</f>
        <v>RFX Auction</v>
      </c>
      <c r="H337" t="str">
        <f t="shared" si="5"/>
        <v>4-15-159</v>
      </c>
      <c r="I337">
        <f>VLOOKUP(H337,SuiteCatSubElem!$F$2:$G$666,2,0)</f>
        <v>303</v>
      </c>
      <c r="J337">
        <v>1</v>
      </c>
      <c r="K337">
        <v>159</v>
      </c>
      <c r="M337" t="s">
        <v>50</v>
      </c>
      <c r="N337" s="60">
        <v>43101</v>
      </c>
      <c r="O337" t="s">
        <v>50</v>
      </c>
      <c r="P337">
        <v>60</v>
      </c>
      <c r="Q337" t="s">
        <v>1358</v>
      </c>
      <c r="R337" s="102" t="s">
        <v>656</v>
      </c>
      <c r="S337" s="113" t="s">
        <v>657</v>
      </c>
    </row>
    <row r="338" spans="1:19" ht="37">
      <c r="A338">
        <v>305</v>
      </c>
      <c r="B338" s="127" t="s">
        <v>196</v>
      </c>
      <c r="C338" s="27">
        <f>VLOOKUP(B338,Elements!$A$2:$B$435,2,0)</f>
        <v>160</v>
      </c>
      <c r="D338">
        <v>4</v>
      </c>
      <c r="E338" t="str">
        <f>VLOOKUP(D338,Categories!$A$2:$B$8,2,0)</f>
        <v>Sourcing</v>
      </c>
      <c r="F338">
        <v>15</v>
      </c>
      <c r="G338" t="str">
        <f>VLOOKUP(F338,Subcategories!$A$2:$B$29,2,0)</f>
        <v>RFX Auction</v>
      </c>
      <c r="H338" t="str">
        <f t="shared" si="5"/>
        <v>4-15-160</v>
      </c>
      <c r="I338">
        <f>VLOOKUP(H338,SuiteCatSubElem!$F$2:$G$666,2,0)</f>
        <v>304</v>
      </c>
      <c r="J338">
        <v>1</v>
      </c>
      <c r="K338">
        <v>160</v>
      </c>
      <c r="M338" t="s">
        <v>50</v>
      </c>
      <c r="N338" s="60">
        <v>43101</v>
      </c>
      <c r="O338" t="s">
        <v>50</v>
      </c>
      <c r="P338">
        <v>61</v>
      </c>
      <c r="Q338" t="s">
        <v>1358</v>
      </c>
      <c r="R338" s="102" t="s">
        <v>658</v>
      </c>
      <c r="S338" s="113" t="s">
        <v>659</v>
      </c>
    </row>
    <row r="339" spans="1:19" ht="25">
      <c r="A339">
        <v>307</v>
      </c>
      <c r="B339" s="108" t="s">
        <v>399</v>
      </c>
      <c r="C339" s="27">
        <f>VLOOKUP(B339,Elements!$A$2:$B$435,2,0)</f>
        <v>161</v>
      </c>
      <c r="D339">
        <v>4</v>
      </c>
      <c r="E339" t="str">
        <f>VLOOKUP(D339,Categories!$A$2:$B$8,2,0)</f>
        <v>Sourcing</v>
      </c>
      <c r="F339">
        <v>15</v>
      </c>
      <c r="G339" t="str">
        <f>VLOOKUP(F339,Subcategories!$A$2:$B$29,2,0)</f>
        <v>RFX Auction</v>
      </c>
      <c r="H339" t="str">
        <f t="shared" si="5"/>
        <v>4-15-161</v>
      </c>
      <c r="I339">
        <f>VLOOKUP(H339,SuiteCatSubElem!$F$2:$G$666,2,0)</f>
        <v>306</v>
      </c>
      <c r="J339">
        <v>1</v>
      </c>
      <c r="K339">
        <v>161</v>
      </c>
      <c r="M339" t="s">
        <v>50</v>
      </c>
      <c r="N339" s="60">
        <v>43101</v>
      </c>
      <c r="O339" t="s">
        <v>50</v>
      </c>
      <c r="P339">
        <v>63</v>
      </c>
      <c r="Q339" t="s">
        <v>1358</v>
      </c>
      <c r="R339" s="113" t="s">
        <v>1380</v>
      </c>
      <c r="S339" s="113" t="s">
        <v>663</v>
      </c>
    </row>
    <row r="340" spans="1:19" ht="25">
      <c r="A340">
        <v>532</v>
      </c>
      <c r="B340" s="127" t="s">
        <v>399</v>
      </c>
      <c r="C340" s="27">
        <f>VLOOKUP(B340,Elements!$A$2:$B$435,2,0)</f>
        <v>161</v>
      </c>
      <c r="D340">
        <v>6</v>
      </c>
      <c r="E340" t="str">
        <f>VLOOKUP(D340,Categories!$A$2:$B$8,2,0)</f>
        <v>SXM</v>
      </c>
      <c r="F340">
        <v>23</v>
      </c>
      <c r="G340" t="str">
        <f>VLOOKUP(F340,Subcategories!$A$2:$B$29,2,0)</f>
        <v>SIM</v>
      </c>
      <c r="H340" t="str">
        <f t="shared" si="5"/>
        <v>6-23-161</v>
      </c>
      <c r="I340">
        <f>VLOOKUP(H340,SuiteCatSubElem!$F$2:$G$666,2,0)</f>
        <v>526</v>
      </c>
      <c r="J340">
        <v>1</v>
      </c>
      <c r="K340">
        <v>161</v>
      </c>
      <c r="M340" t="s">
        <v>50</v>
      </c>
      <c r="N340" s="60">
        <v>43101</v>
      </c>
      <c r="O340" t="s">
        <v>50</v>
      </c>
      <c r="P340">
        <v>33</v>
      </c>
      <c r="Q340" t="s">
        <v>1358</v>
      </c>
      <c r="R340" s="113" t="s">
        <v>1380</v>
      </c>
      <c r="S340" s="113" t="s">
        <v>663</v>
      </c>
    </row>
    <row r="341" spans="1:19" ht="25">
      <c r="A341">
        <v>308</v>
      </c>
      <c r="B341" s="127" t="s">
        <v>198</v>
      </c>
      <c r="C341" s="27">
        <f>VLOOKUP(B341,Elements!$A$2:$B$435,2,0)</f>
        <v>162</v>
      </c>
      <c r="D341">
        <v>4</v>
      </c>
      <c r="E341" t="str">
        <f>VLOOKUP(D341,Categories!$A$2:$B$8,2,0)</f>
        <v>Sourcing</v>
      </c>
      <c r="F341">
        <v>15</v>
      </c>
      <c r="G341" t="str">
        <f>VLOOKUP(F341,Subcategories!$A$2:$B$29,2,0)</f>
        <v>RFX Auction</v>
      </c>
      <c r="H341" t="str">
        <f t="shared" si="5"/>
        <v>4-15-162</v>
      </c>
      <c r="I341">
        <f>VLOOKUP(H341,SuiteCatSubElem!$F$2:$G$666,2,0)</f>
        <v>307</v>
      </c>
      <c r="J341">
        <v>1</v>
      </c>
      <c r="K341">
        <v>162</v>
      </c>
      <c r="M341" t="s">
        <v>50</v>
      </c>
      <c r="N341" s="60">
        <v>43101</v>
      </c>
      <c r="O341" t="s">
        <v>50</v>
      </c>
      <c r="P341">
        <v>64</v>
      </c>
      <c r="Q341" t="s">
        <v>1358</v>
      </c>
      <c r="R341" s="113" t="s">
        <v>664</v>
      </c>
      <c r="S341" s="113" t="s">
        <v>665</v>
      </c>
    </row>
    <row r="342" spans="1:19" ht="25">
      <c r="A342">
        <v>309</v>
      </c>
      <c r="B342" s="127" t="s">
        <v>199</v>
      </c>
      <c r="C342" s="27">
        <f>VLOOKUP(B342,Elements!$A$2:$B$435,2,0)</f>
        <v>163</v>
      </c>
      <c r="D342">
        <v>4</v>
      </c>
      <c r="E342" t="str">
        <f>VLOOKUP(D342,Categories!$A$2:$B$8,2,0)</f>
        <v>Sourcing</v>
      </c>
      <c r="F342">
        <v>15</v>
      </c>
      <c r="G342" t="str">
        <f>VLOOKUP(F342,Subcategories!$A$2:$B$29,2,0)</f>
        <v>RFX Auction</v>
      </c>
      <c r="H342" t="str">
        <f t="shared" si="5"/>
        <v>4-15-163</v>
      </c>
      <c r="I342">
        <f>VLOOKUP(H342,SuiteCatSubElem!$F$2:$G$666,2,0)</f>
        <v>308</v>
      </c>
      <c r="J342">
        <v>1</v>
      </c>
      <c r="K342">
        <v>163</v>
      </c>
      <c r="M342" t="s">
        <v>50</v>
      </c>
      <c r="N342" s="60">
        <v>43101</v>
      </c>
      <c r="O342" t="s">
        <v>50</v>
      </c>
      <c r="P342">
        <v>65</v>
      </c>
      <c r="Q342" t="s">
        <v>1358</v>
      </c>
      <c r="R342" s="113" t="s">
        <v>666</v>
      </c>
      <c r="S342" s="113" t="s">
        <v>667</v>
      </c>
    </row>
    <row r="343" spans="1:19" ht="37">
      <c r="A343">
        <v>310</v>
      </c>
      <c r="B343" s="127" t="s">
        <v>200</v>
      </c>
      <c r="C343" s="27">
        <f>VLOOKUP(B343,Elements!$A$2:$B$435,2,0)</f>
        <v>164</v>
      </c>
      <c r="D343">
        <v>4</v>
      </c>
      <c r="E343" t="str">
        <f>VLOOKUP(D343,Categories!$A$2:$B$8,2,0)</f>
        <v>Sourcing</v>
      </c>
      <c r="F343">
        <v>15</v>
      </c>
      <c r="G343" t="str">
        <f>VLOOKUP(F343,Subcategories!$A$2:$B$29,2,0)</f>
        <v>RFX Auction</v>
      </c>
      <c r="H343" t="str">
        <f t="shared" si="5"/>
        <v>4-15-164</v>
      </c>
      <c r="I343">
        <f>VLOOKUP(H343,SuiteCatSubElem!$F$2:$G$666,2,0)</f>
        <v>309</v>
      </c>
      <c r="J343">
        <v>1</v>
      </c>
      <c r="K343">
        <v>164</v>
      </c>
      <c r="M343" t="s">
        <v>50</v>
      </c>
      <c r="N343" s="60">
        <v>43101</v>
      </c>
      <c r="O343" t="s">
        <v>50</v>
      </c>
      <c r="P343">
        <v>66</v>
      </c>
      <c r="Q343" t="s">
        <v>1358</v>
      </c>
      <c r="R343" s="113" t="s">
        <v>668</v>
      </c>
      <c r="S343" s="113" t="s">
        <v>669</v>
      </c>
    </row>
    <row r="344" spans="1:19" ht="25">
      <c r="A344">
        <v>313</v>
      </c>
      <c r="B344" s="127" t="s">
        <v>201</v>
      </c>
      <c r="C344" s="27">
        <f>VLOOKUP(B344,Elements!$A$2:$B$435,2,0)</f>
        <v>165</v>
      </c>
      <c r="D344">
        <v>4</v>
      </c>
      <c r="E344" t="str">
        <f>VLOOKUP(D344,Categories!$A$2:$B$8,2,0)</f>
        <v>Sourcing</v>
      </c>
      <c r="F344">
        <v>15</v>
      </c>
      <c r="G344" t="str">
        <f>VLOOKUP(F344,Subcategories!$A$2:$B$29,2,0)</f>
        <v>RFX Auction</v>
      </c>
      <c r="H344" t="str">
        <f t="shared" si="5"/>
        <v>4-15-165</v>
      </c>
      <c r="I344">
        <f>VLOOKUP(H344,SuiteCatSubElem!$F$2:$G$666,2,0)</f>
        <v>312</v>
      </c>
      <c r="J344">
        <v>1</v>
      </c>
      <c r="K344">
        <v>165</v>
      </c>
      <c r="M344" t="s">
        <v>50</v>
      </c>
      <c r="N344" s="60">
        <v>43101</v>
      </c>
      <c r="O344" t="s">
        <v>50</v>
      </c>
      <c r="P344">
        <v>69</v>
      </c>
      <c r="Q344" t="s">
        <v>1358</v>
      </c>
      <c r="R344" s="113" t="s">
        <v>674</v>
      </c>
      <c r="S344" s="113" t="s">
        <v>675</v>
      </c>
    </row>
    <row r="345" spans="1:19" ht="37">
      <c r="A345">
        <v>314</v>
      </c>
      <c r="B345" s="127" t="s">
        <v>202</v>
      </c>
      <c r="C345" s="27">
        <f>VLOOKUP(B345,Elements!$A$2:$B$435,2,0)</f>
        <v>166</v>
      </c>
      <c r="D345">
        <v>4</v>
      </c>
      <c r="E345" t="str">
        <f>VLOOKUP(D345,Categories!$A$2:$B$8,2,0)</f>
        <v>Sourcing</v>
      </c>
      <c r="F345">
        <v>15</v>
      </c>
      <c r="G345" t="str">
        <f>VLOOKUP(F345,Subcategories!$A$2:$B$29,2,0)</f>
        <v>RFX Auction</v>
      </c>
      <c r="H345" t="str">
        <f t="shared" si="5"/>
        <v>4-15-166</v>
      </c>
      <c r="I345">
        <f>VLOOKUP(H345,SuiteCatSubElem!$F$2:$G$666,2,0)</f>
        <v>313</v>
      </c>
      <c r="J345">
        <v>1</v>
      </c>
      <c r="K345">
        <v>166</v>
      </c>
      <c r="M345" t="s">
        <v>50</v>
      </c>
      <c r="N345" s="60">
        <v>43101</v>
      </c>
      <c r="O345" t="s">
        <v>50</v>
      </c>
      <c r="P345">
        <v>70</v>
      </c>
      <c r="Q345" t="s">
        <v>1358</v>
      </c>
      <c r="R345" s="102" t="s">
        <v>676</v>
      </c>
      <c r="S345" s="113" t="s">
        <v>677</v>
      </c>
    </row>
    <row r="346" spans="1:19" ht="49">
      <c r="A346">
        <v>315</v>
      </c>
      <c r="B346" s="127" t="s">
        <v>203</v>
      </c>
      <c r="C346" s="27">
        <f>VLOOKUP(B346,Elements!$A$2:$B$435,2,0)</f>
        <v>167</v>
      </c>
      <c r="D346">
        <v>4</v>
      </c>
      <c r="E346" t="str">
        <f>VLOOKUP(D346,Categories!$A$2:$B$8,2,0)</f>
        <v>Sourcing</v>
      </c>
      <c r="F346">
        <v>15</v>
      </c>
      <c r="G346" t="str">
        <f>VLOOKUP(F346,Subcategories!$A$2:$B$29,2,0)</f>
        <v>RFX Auction</v>
      </c>
      <c r="H346" t="str">
        <f t="shared" si="5"/>
        <v>4-15-167</v>
      </c>
      <c r="I346">
        <f>VLOOKUP(H346,SuiteCatSubElem!$F$2:$G$666,2,0)</f>
        <v>314</v>
      </c>
      <c r="J346">
        <v>1</v>
      </c>
      <c r="K346">
        <v>167</v>
      </c>
      <c r="M346" t="s">
        <v>50</v>
      </c>
      <c r="N346" s="60">
        <v>43101</v>
      </c>
      <c r="O346" t="s">
        <v>50</v>
      </c>
      <c r="P346">
        <v>71</v>
      </c>
      <c r="Q346" t="s">
        <v>1358</v>
      </c>
      <c r="R346" s="102" t="s">
        <v>678</v>
      </c>
      <c r="S346" s="113" t="s">
        <v>679</v>
      </c>
    </row>
    <row r="347" spans="1:19" ht="37">
      <c r="A347">
        <v>316</v>
      </c>
      <c r="B347" s="127" t="s">
        <v>204</v>
      </c>
      <c r="C347" s="27">
        <f>VLOOKUP(B347,Elements!$A$2:$B$435,2,0)</f>
        <v>168</v>
      </c>
      <c r="D347">
        <v>4</v>
      </c>
      <c r="E347" t="str">
        <f>VLOOKUP(D347,Categories!$A$2:$B$8,2,0)</f>
        <v>Sourcing</v>
      </c>
      <c r="F347">
        <v>15</v>
      </c>
      <c r="G347" t="str">
        <f>VLOOKUP(F347,Subcategories!$A$2:$B$29,2,0)</f>
        <v>RFX Auction</v>
      </c>
      <c r="H347" t="str">
        <f t="shared" si="5"/>
        <v>4-15-168</v>
      </c>
      <c r="I347">
        <f>VLOOKUP(H347,SuiteCatSubElem!$F$2:$G$666,2,0)</f>
        <v>315</v>
      </c>
      <c r="J347">
        <v>1</v>
      </c>
      <c r="K347">
        <v>168</v>
      </c>
      <c r="M347" t="s">
        <v>50</v>
      </c>
      <c r="N347" s="60">
        <v>43101</v>
      </c>
      <c r="O347" t="s">
        <v>50</v>
      </c>
      <c r="P347">
        <v>72</v>
      </c>
      <c r="Q347" t="s">
        <v>1358</v>
      </c>
      <c r="R347" s="102" t="s">
        <v>680</v>
      </c>
      <c r="S347" s="113" t="s">
        <v>681</v>
      </c>
    </row>
    <row r="348" spans="1:19" ht="37">
      <c r="A348">
        <v>317</v>
      </c>
      <c r="B348" s="127" t="s">
        <v>205</v>
      </c>
      <c r="C348" s="27">
        <f>VLOOKUP(B348,Elements!$A$2:$B$435,2,0)</f>
        <v>169</v>
      </c>
      <c r="D348">
        <v>4</v>
      </c>
      <c r="E348" t="str">
        <f>VLOOKUP(D348,Categories!$A$2:$B$8,2,0)</f>
        <v>Sourcing</v>
      </c>
      <c r="F348">
        <v>15</v>
      </c>
      <c r="G348" t="str">
        <f>VLOOKUP(F348,Subcategories!$A$2:$B$29,2,0)</f>
        <v>RFX Auction</v>
      </c>
      <c r="H348" t="str">
        <f t="shared" si="5"/>
        <v>4-15-169</v>
      </c>
      <c r="I348">
        <f>VLOOKUP(H348,SuiteCatSubElem!$F$2:$G$666,2,0)</f>
        <v>316</v>
      </c>
      <c r="J348">
        <v>1</v>
      </c>
      <c r="K348">
        <v>169</v>
      </c>
      <c r="M348" t="s">
        <v>50</v>
      </c>
      <c r="N348" s="60">
        <v>43101</v>
      </c>
      <c r="O348" t="s">
        <v>50</v>
      </c>
      <c r="P348">
        <v>73</v>
      </c>
      <c r="Q348" t="s">
        <v>1358</v>
      </c>
      <c r="R348" s="102" t="s">
        <v>682</v>
      </c>
      <c r="S348" s="113" t="s">
        <v>683</v>
      </c>
    </row>
    <row r="349" spans="1:19" ht="37">
      <c r="A349">
        <v>318</v>
      </c>
      <c r="B349" s="127" t="s">
        <v>206</v>
      </c>
      <c r="C349" s="27">
        <f>VLOOKUP(B349,Elements!$A$2:$B$435,2,0)</f>
        <v>170</v>
      </c>
      <c r="D349">
        <v>4</v>
      </c>
      <c r="E349" t="str">
        <f>VLOOKUP(D349,Categories!$A$2:$B$8,2,0)</f>
        <v>Sourcing</v>
      </c>
      <c r="F349">
        <v>15</v>
      </c>
      <c r="G349" t="str">
        <f>VLOOKUP(F349,Subcategories!$A$2:$B$29,2,0)</f>
        <v>RFX Auction</v>
      </c>
      <c r="H349" t="str">
        <f t="shared" si="5"/>
        <v>4-15-170</v>
      </c>
      <c r="I349">
        <f>VLOOKUP(H349,SuiteCatSubElem!$F$2:$G$666,2,0)</f>
        <v>317</v>
      </c>
      <c r="J349">
        <v>1</v>
      </c>
      <c r="K349">
        <v>170</v>
      </c>
      <c r="M349" t="s">
        <v>50</v>
      </c>
      <c r="N349" s="60">
        <v>43101</v>
      </c>
      <c r="O349" t="s">
        <v>50</v>
      </c>
      <c r="P349">
        <v>74</v>
      </c>
      <c r="Q349" t="s">
        <v>1358</v>
      </c>
      <c r="R349" s="113" t="s">
        <v>684</v>
      </c>
      <c r="S349" s="113" t="s">
        <v>685</v>
      </c>
    </row>
    <row r="350" spans="1:19" ht="37">
      <c r="A350">
        <v>319</v>
      </c>
      <c r="B350" s="127" t="s">
        <v>207</v>
      </c>
      <c r="C350" s="27">
        <f>VLOOKUP(B350,Elements!$A$2:$B$435,2,0)</f>
        <v>171</v>
      </c>
      <c r="D350">
        <v>4</v>
      </c>
      <c r="E350" t="str">
        <f>VLOOKUP(D350,Categories!$A$2:$B$8,2,0)</f>
        <v>Sourcing</v>
      </c>
      <c r="F350">
        <v>15</v>
      </c>
      <c r="G350" t="str">
        <f>VLOOKUP(F350,Subcategories!$A$2:$B$29,2,0)</f>
        <v>RFX Auction</v>
      </c>
      <c r="H350" t="str">
        <f t="shared" si="5"/>
        <v>4-15-171</v>
      </c>
      <c r="I350">
        <f>VLOOKUP(H350,SuiteCatSubElem!$F$2:$G$666,2,0)</f>
        <v>318</v>
      </c>
      <c r="J350">
        <v>1</v>
      </c>
      <c r="K350">
        <v>171</v>
      </c>
      <c r="M350" t="s">
        <v>50</v>
      </c>
      <c r="N350" s="60">
        <v>43101</v>
      </c>
      <c r="O350" t="s">
        <v>50</v>
      </c>
      <c r="P350">
        <v>75</v>
      </c>
      <c r="Q350" t="s">
        <v>1358</v>
      </c>
      <c r="R350" s="113" t="s">
        <v>686</v>
      </c>
      <c r="S350" s="113" t="s">
        <v>687</v>
      </c>
    </row>
    <row r="351" spans="1:19" ht="49">
      <c r="A351">
        <v>321</v>
      </c>
      <c r="B351" s="127" t="s">
        <v>209</v>
      </c>
      <c r="C351" s="27">
        <f>VLOOKUP(B351,Elements!$A$2:$B$435,2,0)</f>
        <v>172</v>
      </c>
      <c r="D351">
        <v>4</v>
      </c>
      <c r="E351" t="str">
        <f>VLOOKUP(D351,Categories!$A$2:$B$8,2,0)</f>
        <v>Sourcing</v>
      </c>
      <c r="F351">
        <v>15</v>
      </c>
      <c r="G351" t="str">
        <f>VLOOKUP(F351,Subcategories!$A$2:$B$29,2,0)</f>
        <v>RFX Auction</v>
      </c>
      <c r="H351" t="str">
        <f t="shared" si="5"/>
        <v>4-15-172</v>
      </c>
      <c r="I351">
        <f>VLOOKUP(H351,SuiteCatSubElem!$F$2:$G$666,2,0)</f>
        <v>319</v>
      </c>
      <c r="J351">
        <v>1</v>
      </c>
      <c r="K351">
        <v>172</v>
      </c>
      <c r="M351" t="s">
        <v>50</v>
      </c>
      <c r="N351" s="60">
        <v>43101</v>
      </c>
      <c r="O351" t="s">
        <v>50</v>
      </c>
      <c r="P351">
        <v>76</v>
      </c>
      <c r="Q351" t="s">
        <v>1358</v>
      </c>
      <c r="R351" s="113" t="s">
        <v>689</v>
      </c>
      <c r="S351" s="113" t="s">
        <v>690</v>
      </c>
    </row>
    <row r="352" spans="1:19" ht="37">
      <c r="A352">
        <v>322</v>
      </c>
      <c r="B352" s="127" t="s">
        <v>210</v>
      </c>
      <c r="C352" s="27">
        <f>VLOOKUP(B352,Elements!$A$2:$B$435,2,0)</f>
        <v>173</v>
      </c>
      <c r="D352">
        <v>4</v>
      </c>
      <c r="E352" t="str">
        <f>VLOOKUP(D352,Categories!$A$2:$B$8,2,0)</f>
        <v>Sourcing</v>
      </c>
      <c r="F352">
        <v>15</v>
      </c>
      <c r="G352" t="str">
        <f>VLOOKUP(F352,Subcategories!$A$2:$B$29,2,0)</f>
        <v>RFX Auction</v>
      </c>
      <c r="H352" t="str">
        <f t="shared" si="5"/>
        <v>4-15-173</v>
      </c>
      <c r="I352">
        <f>VLOOKUP(H352,SuiteCatSubElem!$F$2:$G$666,2,0)</f>
        <v>320</v>
      </c>
      <c r="J352">
        <v>1</v>
      </c>
      <c r="K352">
        <v>173</v>
      </c>
      <c r="M352" t="s">
        <v>50</v>
      </c>
      <c r="N352" s="60">
        <v>43101</v>
      </c>
      <c r="O352" t="s">
        <v>50</v>
      </c>
      <c r="P352">
        <v>77</v>
      </c>
      <c r="Q352" t="s">
        <v>1358</v>
      </c>
      <c r="R352" s="102" t="s">
        <v>691</v>
      </c>
      <c r="S352" s="113" t="s">
        <v>692</v>
      </c>
    </row>
    <row r="353" spans="1:19" ht="25">
      <c r="A353">
        <v>323</v>
      </c>
      <c r="B353" s="127" t="s">
        <v>211</v>
      </c>
      <c r="C353" s="27">
        <f>VLOOKUP(B353,Elements!$A$2:$B$435,2,0)</f>
        <v>174</v>
      </c>
      <c r="D353">
        <v>4</v>
      </c>
      <c r="E353" t="str">
        <f>VLOOKUP(D353,Categories!$A$2:$B$8,2,0)</f>
        <v>Sourcing</v>
      </c>
      <c r="F353">
        <v>15</v>
      </c>
      <c r="G353" t="str">
        <f>VLOOKUP(F353,Subcategories!$A$2:$B$29,2,0)</f>
        <v>RFX Auction</v>
      </c>
      <c r="H353" t="str">
        <f t="shared" si="5"/>
        <v>4-15-174</v>
      </c>
      <c r="I353">
        <f>VLOOKUP(H353,SuiteCatSubElem!$F$2:$G$666,2,0)</f>
        <v>321</v>
      </c>
      <c r="J353">
        <v>1</v>
      </c>
      <c r="K353">
        <v>174</v>
      </c>
      <c r="M353" t="s">
        <v>50</v>
      </c>
      <c r="N353" s="60">
        <v>43101</v>
      </c>
      <c r="O353" t="s">
        <v>50</v>
      </c>
      <c r="P353">
        <v>78</v>
      </c>
      <c r="Q353" t="s">
        <v>1358</v>
      </c>
      <c r="R353" s="113" t="s">
        <v>693</v>
      </c>
      <c r="S353" s="113" t="s">
        <v>694</v>
      </c>
    </row>
    <row r="354" spans="1:19" ht="25">
      <c r="A354">
        <v>325</v>
      </c>
      <c r="B354" s="127" t="s">
        <v>213</v>
      </c>
      <c r="C354" s="27">
        <f>VLOOKUP(B354,Elements!$A$2:$B$435,2,0)</f>
        <v>175</v>
      </c>
      <c r="D354">
        <v>4</v>
      </c>
      <c r="E354" t="str">
        <f>VLOOKUP(D354,Categories!$A$2:$B$8,2,0)</f>
        <v>Sourcing</v>
      </c>
      <c r="F354">
        <v>15</v>
      </c>
      <c r="G354" t="str">
        <f>VLOOKUP(F354,Subcategories!$A$2:$B$29,2,0)</f>
        <v>RFX Auction</v>
      </c>
      <c r="H354" t="str">
        <f t="shared" si="5"/>
        <v>4-15-175</v>
      </c>
      <c r="I354">
        <f>VLOOKUP(H354,SuiteCatSubElem!$F$2:$G$666,2,0)</f>
        <v>322</v>
      </c>
      <c r="J354">
        <v>1</v>
      </c>
      <c r="K354">
        <v>175</v>
      </c>
      <c r="M354" t="s">
        <v>50</v>
      </c>
      <c r="N354" s="60">
        <v>43101</v>
      </c>
      <c r="O354" t="s">
        <v>50</v>
      </c>
      <c r="P354">
        <v>79</v>
      </c>
      <c r="Q354" t="s">
        <v>1358</v>
      </c>
      <c r="R354" s="113" t="s">
        <v>695</v>
      </c>
      <c r="S354" s="113" t="s">
        <v>696</v>
      </c>
    </row>
    <row r="355" spans="1:19" ht="37">
      <c r="A355">
        <v>326</v>
      </c>
      <c r="B355" s="127" t="s">
        <v>214</v>
      </c>
      <c r="C355" s="27">
        <f>VLOOKUP(B355,Elements!$A$2:$B$435,2,0)</f>
        <v>176</v>
      </c>
      <c r="D355">
        <v>4</v>
      </c>
      <c r="E355" t="str">
        <f>VLOOKUP(D355,Categories!$A$2:$B$8,2,0)</f>
        <v>Sourcing</v>
      </c>
      <c r="F355">
        <v>15</v>
      </c>
      <c r="G355" t="str">
        <f>VLOOKUP(F355,Subcategories!$A$2:$B$29,2,0)</f>
        <v>RFX Auction</v>
      </c>
      <c r="H355" t="str">
        <f t="shared" si="5"/>
        <v>4-15-176</v>
      </c>
      <c r="I355">
        <f>VLOOKUP(H355,SuiteCatSubElem!$F$2:$G$666,2,0)</f>
        <v>323</v>
      </c>
      <c r="J355">
        <v>1</v>
      </c>
      <c r="K355">
        <v>176</v>
      </c>
      <c r="M355" t="s">
        <v>50</v>
      </c>
      <c r="N355" s="60">
        <v>43101</v>
      </c>
      <c r="O355" t="s">
        <v>50</v>
      </c>
      <c r="P355">
        <v>80</v>
      </c>
      <c r="Q355" t="s">
        <v>1358</v>
      </c>
      <c r="R355" s="113" t="s">
        <v>697</v>
      </c>
      <c r="S355" s="113" t="s">
        <v>698</v>
      </c>
    </row>
    <row r="356" spans="1:19" ht="37">
      <c r="A356">
        <v>327</v>
      </c>
      <c r="B356" s="127" t="s">
        <v>216</v>
      </c>
      <c r="C356" s="27">
        <f>VLOOKUP(B356,Elements!$A$2:$B$435,2,0)</f>
        <v>177</v>
      </c>
      <c r="D356">
        <v>4</v>
      </c>
      <c r="E356" t="str">
        <f>VLOOKUP(D356,Categories!$A$2:$B$8,2,0)</f>
        <v>Sourcing</v>
      </c>
      <c r="F356">
        <v>15</v>
      </c>
      <c r="G356" t="str">
        <f>VLOOKUP(F356,Subcategories!$A$2:$B$29,2,0)</f>
        <v>RFX Auction</v>
      </c>
      <c r="H356" t="str">
        <f t="shared" si="5"/>
        <v>4-15-177</v>
      </c>
      <c r="I356">
        <f>VLOOKUP(H356,SuiteCatSubElem!$F$2:$G$666,2,0)</f>
        <v>324</v>
      </c>
      <c r="J356">
        <v>1</v>
      </c>
      <c r="K356">
        <v>177</v>
      </c>
      <c r="M356" t="s">
        <v>50</v>
      </c>
      <c r="N356" s="60">
        <v>43101</v>
      </c>
      <c r="O356" t="s">
        <v>50</v>
      </c>
      <c r="P356">
        <v>81</v>
      </c>
      <c r="Q356" t="s">
        <v>1358</v>
      </c>
      <c r="R356" s="113" t="s">
        <v>699</v>
      </c>
      <c r="S356" s="113" t="s">
        <v>700</v>
      </c>
    </row>
    <row r="357" spans="1:19" ht="37">
      <c r="A357">
        <v>328</v>
      </c>
      <c r="B357" s="127" t="s">
        <v>217</v>
      </c>
      <c r="C357" s="27">
        <f>VLOOKUP(B357,Elements!$A$2:$B$435,2,0)</f>
        <v>178</v>
      </c>
      <c r="D357">
        <v>4</v>
      </c>
      <c r="E357" t="str">
        <f>VLOOKUP(D357,Categories!$A$2:$B$8,2,0)</f>
        <v>Sourcing</v>
      </c>
      <c r="F357">
        <v>15</v>
      </c>
      <c r="G357" t="str">
        <f>VLOOKUP(F357,Subcategories!$A$2:$B$29,2,0)</f>
        <v>RFX Auction</v>
      </c>
      <c r="H357" t="str">
        <f t="shared" si="5"/>
        <v>4-15-178</v>
      </c>
      <c r="I357">
        <f>VLOOKUP(H357,SuiteCatSubElem!$F$2:$G$666,2,0)</f>
        <v>325</v>
      </c>
      <c r="J357">
        <v>1</v>
      </c>
      <c r="K357">
        <v>178</v>
      </c>
      <c r="M357" t="s">
        <v>50</v>
      </c>
      <c r="N357" s="60">
        <v>43101</v>
      </c>
      <c r="O357" t="s">
        <v>50</v>
      </c>
      <c r="P357">
        <v>82</v>
      </c>
      <c r="Q357" t="s">
        <v>1358</v>
      </c>
      <c r="R357" s="102" t="s">
        <v>701</v>
      </c>
      <c r="S357" s="113" t="s">
        <v>702</v>
      </c>
    </row>
    <row r="358" spans="1:19" ht="37">
      <c r="A358">
        <v>329</v>
      </c>
      <c r="B358" s="127" t="s">
        <v>218</v>
      </c>
      <c r="C358" s="27">
        <f>VLOOKUP(B358,Elements!$A$2:$B$435,2,0)</f>
        <v>179</v>
      </c>
      <c r="D358">
        <v>4</v>
      </c>
      <c r="E358" t="str">
        <f>VLOOKUP(D358,Categories!$A$2:$B$8,2,0)</f>
        <v>Sourcing</v>
      </c>
      <c r="F358">
        <v>15</v>
      </c>
      <c r="G358" t="str">
        <f>VLOOKUP(F358,Subcategories!$A$2:$B$29,2,0)</f>
        <v>RFX Auction</v>
      </c>
      <c r="H358" t="str">
        <f t="shared" si="5"/>
        <v>4-15-179</v>
      </c>
      <c r="I358">
        <f>VLOOKUP(H358,SuiteCatSubElem!$F$2:$G$666,2,0)</f>
        <v>326</v>
      </c>
      <c r="J358">
        <v>1</v>
      </c>
      <c r="K358">
        <v>179</v>
      </c>
      <c r="M358" t="s">
        <v>50</v>
      </c>
      <c r="N358" s="60">
        <v>43101</v>
      </c>
      <c r="O358" t="s">
        <v>50</v>
      </c>
      <c r="P358">
        <v>83</v>
      </c>
      <c r="Q358" t="s">
        <v>1358</v>
      </c>
      <c r="R358" s="113" t="s">
        <v>703</v>
      </c>
      <c r="S358" s="113" t="s">
        <v>704</v>
      </c>
    </row>
    <row r="359" spans="1:19" ht="37">
      <c r="A359">
        <v>330</v>
      </c>
      <c r="B359" s="127" t="s">
        <v>219</v>
      </c>
      <c r="C359" s="27">
        <f>VLOOKUP(B359,Elements!$A$2:$B$435,2,0)</f>
        <v>180</v>
      </c>
      <c r="D359">
        <v>4</v>
      </c>
      <c r="E359" t="str">
        <f>VLOOKUP(D359,Categories!$A$2:$B$8,2,0)</f>
        <v>Sourcing</v>
      </c>
      <c r="F359">
        <v>15</v>
      </c>
      <c r="G359" t="str">
        <f>VLOOKUP(F359,Subcategories!$A$2:$B$29,2,0)</f>
        <v>RFX Auction</v>
      </c>
      <c r="H359" t="str">
        <f t="shared" si="5"/>
        <v>4-15-180</v>
      </c>
      <c r="I359">
        <f>VLOOKUP(H359,SuiteCatSubElem!$F$2:$G$666,2,0)</f>
        <v>327</v>
      </c>
      <c r="J359">
        <v>1</v>
      </c>
      <c r="K359">
        <v>180</v>
      </c>
      <c r="M359" t="s">
        <v>50</v>
      </c>
      <c r="N359" s="60">
        <v>43101</v>
      </c>
      <c r="O359" t="s">
        <v>50</v>
      </c>
      <c r="P359">
        <v>84</v>
      </c>
      <c r="Q359" t="s">
        <v>1358</v>
      </c>
      <c r="R359" s="113" t="s">
        <v>705</v>
      </c>
      <c r="S359" s="113" t="s">
        <v>706</v>
      </c>
    </row>
    <row r="360" spans="1:19" ht="49">
      <c r="A360">
        <v>331</v>
      </c>
      <c r="B360" s="127" t="s">
        <v>220</v>
      </c>
      <c r="C360" s="27">
        <f>VLOOKUP(B360,Elements!$A$2:$B$435,2,0)</f>
        <v>181</v>
      </c>
      <c r="D360">
        <v>4</v>
      </c>
      <c r="E360" t="str">
        <f>VLOOKUP(D360,Categories!$A$2:$B$8,2,0)</f>
        <v>Sourcing</v>
      </c>
      <c r="F360">
        <v>15</v>
      </c>
      <c r="G360" t="str">
        <f>VLOOKUP(F360,Subcategories!$A$2:$B$29,2,0)</f>
        <v>RFX Auction</v>
      </c>
      <c r="H360" t="str">
        <f t="shared" si="5"/>
        <v>4-15-181</v>
      </c>
      <c r="I360">
        <f>VLOOKUP(H360,SuiteCatSubElem!$F$2:$G$666,2,0)</f>
        <v>328</v>
      </c>
      <c r="J360">
        <v>1</v>
      </c>
      <c r="K360">
        <v>181</v>
      </c>
      <c r="M360" t="s">
        <v>50</v>
      </c>
      <c r="N360" s="60">
        <v>43101</v>
      </c>
      <c r="O360" t="s">
        <v>50</v>
      </c>
      <c r="P360">
        <v>85</v>
      </c>
      <c r="Q360" t="s">
        <v>1358</v>
      </c>
      <c r="R360" s="113" t="s">
        <v>707</v>
      </c>
      <c r="S360" s="113" t="s">
        <v>708</v>
      </c>
    </row>
    <row r="361" spans="1:19" ht="37">
      <c r="A361">
        <v>332</v>
      </c>
      <c r="B361" s="127" t="s">
        <v>221</v>
      </c>
      <c r="C361" s="27">
        <f>VLOOKUP(B361,Elements!$A$2:$B$435,2,0)</f>
        <v>182</v>
      </c>
      <c r="D361">
        <v>4</v>
      </c>
      <c r="E361" t="str">
        <f>VLOOKUP(D361,Categories!$A$2:$B$8,2,0)</f>
        <v>Sourcing</v>
      </c>
      <c r="F361">
        <v>15</v>
      </c>
      <c r="G361" t="str">
        <f>VLOOKUP(F361,Subcategories!$A$2:$B$29,2,0)</f>
        <v>RFX Auction</v>
      </c>
      <c r="H361" t="str">
        <f t="shared" si="5"/>
        <v>4-15-182</v>
      </c>
      <c r="I361">
        <f>VLOOKUP(H361,SuiteCatSubElem!$F$2:$G$666,2,0)</f>
        <v>329</v>
      </c>
      <c r="J361">
        <v>1</v>
      </c>
      <c r="K361">
        <v>182</v>
      </c>
      <c r="M361" t="s">
        <v>50</v>
      </c>
      <c r="N361" s="60">
        <v>43101</v>
      </c>
      <c r="O361" t="s">
        <v>50</v>
      </c>
      <c r="P361">
        <v>86</v>
      </c>
      <c r="Q361" t="s">
        <v>1358</v>
      </c>
      <c r="R361" s="113" t="s">
        <v>709</v>
      </c>
      <c r="S361" s="113" t="s">
        <v>710</v>
      </c>
    </row>
    <row r="362" spans="1:19" ht="37">
      <c r="A362">
        <v>333</v>
      </c>
      <c r="B362" s="127" t="s">
        <v>222</v>
      </c>
      <c r="C362" s="27">
        <f>VLOOKUP(B362,Elements!$A$2:$B$435,2,0)</f>
        <v>183</v>
      </c>
      <c r="D362">
        <v>4</v>
      </c>
      <c r="E362" t="str">
        <f>VLOOKUP(D362,Categories!$A$2:$B$8,2,0)</f>
        <v>Sourcing</v>
      </c>
      <c r="F362">
        <v>15</v>
      </c>
      <c r="G362" t="str">
        <f>VLOOKUP(F362,Subcategories!$A$2:$B$29,2,0)</f>
        <v>RFX Auction</v>
      </c>
      <c r="H362" t="str">
        <f t="shared" si="5"/>
        <v>4-15-183</v>
      </c>
      <c r="I362">
        <f>VLOOKUP(H362,SuiteCatSubElem!$F$2:$G$666,2,0)</f>
        <v>330</v>
      </c>
      <c r="J362">
        <v>1</v>
      </c>
      <c r="K362">
        <v>183</v>
      </c>
      <c r="M362" t="s">
        <v>50</v>
      </c>
      <c r="N362" s="60">
        <v>43101</v>
      </c>
      <c r="O362" t="s">
        <v>50</v>
      </c>
      <c r="P362">
        <v>87</v>
      </c>
      <c r="Q362" t="s">
        <v>1358</v>
      </c>
      <c r="R362" s="113" t="s">
        <v>711</v>
      </c>
      <c r="S362" s="113" t="s">
        <v>712</v>
      </c>
    </row>
    <row r="363" spans="1:19" ht="49">
      <c r="A363">
        <v>334</v>
      </c>
      <c r="B363" s="127" t="s">
        <v>223</v>
      </c>
      <c r="C363" s="27">
        <f>VLOOKUP(B363,Elements!$A$2:$B$435,2,0)</f>
        <v>184</v>
      </c>
      <c r="D363">
        <v>4</v>
      </c>
      <c r="E363" t="str">
        <f>VLOOKUP(D363,Categories!$A$2:$B$8,2,0)</f>
        <v>Sourcing</v>
      </c>
      <c r="F363">
        <v>15</v>
      </c>
      <c r="G363" t="str">
        <f>VLOOKUP(F363,Subcategories!$A$2:$B$29,2,0)</f>
        <v>RFX Auction</v>
      </c>
      <c r="H363" t="str">
        <f t="shared" si="5"/>
        <v>4-15-184</v>
      </c>
      <c r="I363">
        <f>VLOOKUP(H363,SuiteCatSubElem!$F$2:$G$666,2,0)</f>
        <v>331</v>
      </c>
      <c r="J363">
        <v>1</v>
      </c>
      <c r="K363">
        <v>184</v>
      </c>
      <c r="M363" t="s">
        <v>50</v>
      </c>
      <c r="N363" s="60">
        <v>43101</v>
      </c>
      <c r="O363" t="s">
        <v>50</v>
      </c>
      <c r="P363">
        <v>88</v>
      </c>
      <c r="Q363" t="s">
        <v>1358</v>
      </c>
      <c r="R363" s="113" t="s">
        <v>713</v>
      </c>
      <c r="S363" s="113" t="s">
        <v>714</v>
      </c>
    </row>
    <row r="364" spans="1:19" ht="49">
      <c r="A364">
        <v>335</v>
      </c>
      <c r="B364" s="127" t="s">
        <v>224</v>
      </c>
      <c r="C364" s="27">
        <f>VLOOKUP(B364,Elements!$A$2:$B$435,2,0)</f>
        <v>185</v>
      </c>
      <c r="D364">
        <v>4</v>
      </c>
      <c r="E364" t="str">
        <f>VLOOKUP(D364,Categories!$A$2:$B$8,2,0)</f>
        <v>Sourcing</v>
      </c>
      <c r="F364">
        <v>15</v>
      </c>
      <c r="G364" t="str">
        <f>VLOOKUP(F364,Subcategories!$A$2:$B$29,2,0)</f>
        <v>RFX Auction</v>
      </c>
      <c r="H364" t="str">
        <f t="shared" si="5"/>
        <v>4-15-185</v>
      </c>
      <c r="I364">
        <f>VLOOKUP(H364,SuiteCatSubElem!$F$2:$G$666,2,0)</f>
        <v>332</v>
      </c>
      <c r="J364">
        <v>1</v>
      </c>
      <c r="K364">
        <v>185</v>
      </c>
      <c r="M364" t="s">
        <v>50</v>
      </c>
      <c r="N364" s="60">
        <v>43101</v>
      </c>
      <c r="O364" t="s">
        <v>50</v>
      </c>
      <c r="P364">
        <v>89</v>
      </c>
      <c r="Q364" t="s">
        <v>1358</v>
      </c>
      <c r="R364" s="113" t="s">
        <v>715</v>
      </c>
      <c r="S364" s="113" t="s">
        <v>716</v>
      </c>
    </row>
    <row r="365" spans="1:19" ht="37">
      <c r="A365">
        <v>336</v>
      </c>
      <c r="B365" s="127" t="s">
        <v>225</v>
      </c>
      <c r="C365" s="27">
        <f>VLOOKUP(B365,Elements!$A$2:$B$435,2,0)</f>
        <v>186</v>
      </c>
      <c r="D365">
        <v>4</v>
      </c>
      <c r="E365" t="str">
        <f>VLOOKUP(D365,Categories!$A$2:$B$8,2,0)</f>
        <v>Sourcing</v>
      </c>
      <c r="F365">
        <v>15</v>
      </c>
      <c r="G365" t="str">
        <f>VLOOKUP(F365,Subcategories!$A$2:$B$29,2,0)</f>
        <v>RFX Auction</v>
      </c>
      <c r="H365" t="str">
        <f t="shared" si="5"/>
        <v>4-15-186</v>
      </c>
      <c r="I365">
        <f>VLOOKUP(H365,SuiteCatSubElem!$F$2:$G$666,2,0)</f>
        <v>333</v>
      </c>
      <c r="J365">
        <v>1</v>
      </c>
      <c r="K365">
        <v>186</v>
      </c>
      <c r="M365" t="s">
        <v>50</v>
      </c>
      <c r="N365" s="60">
        <v>43101</v>
      </c>
      <c r="O365" t="s">
        <v>50</v>
      </c>
      <c r="P365">
        <v>90</v>
      </c>
      <c r="Q365" t="s">
        <v>1358</v>
      </c>
      <c r="R365" s="102" t="s">
        <v>717</v>
      </c>
      <c r="S365" s="113" t="s">
        <v>677</v>
      </c>
    </row>
    <row r="366" spans="1:19" ht="37">
      <c r="A366">
        <v>337</v>
      </c>
      <c r="B366" s="127" t="s">
        <v>226</v>
      </c>
      <c r="C366" s="27">
        <f>VLOOKUP(B366,Elements!$A$2:$B$435,2,0)</f>
        <v>187</v>
      </c>
      <c r="D366">
        <v>4</v>
      </c>
      <c r="E366" t="str">
        <f>VLOOKUP(D366,Categories!$A$2:$B$8,2,0)</f>
        <v>Sourcing</v>
      </c>
      <c r="F366">
        <v>16</v>
      </c>
      <c r="G366" t="str">
        <f>VLOOKUP(F366,Subcategories!$A$2:$B$29,2,0)</f>
        <v>Optimization</v>
      </c>
      <c r="H366" t="str">
        <f t="shared" si="5"/>
        <v>4-16-187</v>
      </c>
      <c r="I366">
        <f>VLOOKUP(H366,SuiteCatSubElem!$F$2:$G$666,2,0)</f>
        <v>334</v>
      </c>
      <c r="J366">
        <v>1</v>
      </c>
      <c r="K366">
        <v>187</v>
      </c>
      <c r="M366" t="s">
        <v>50</v>
      </c>
      <c r="N366" s="60">
        <v>43101</v>
      </c>
      <c r="O366" t="s">
        <v>50</v>
      </c>
      <c r="P366">
        <v>91</v>
      </c>
      <c r="Q366" t="s">
        <v>1358</v>
      </c>
      <c r="R366" s="113" t="s">
        <v>718</v>
      </c>
      <c r="S366" s="113" t="s">
        <v>719</v>
      </c>
    </row>
    <row r="367" spans="1:19" ht="61">
      <c r="A367">
        <v>338</v>
      </c>
      <c r="B367" s="127" t="s">
        <v>227</v>
      </c>
      <c r="C367" s="27">
        <f>VLOOKUP(B367,Elements!$A$2:$B$435,2,0)</f>
        <v>188</v>
      </c>
      <c r="D367">
        <v>4</v>
      </c>
      <c r="E367" t="str">
        <f>VLOOKUP(D367,Categories!$A$2:$B$8,2,0)</f>
        <v>Sourcing</v>
      </c>
      <c r="F367">
        <v>16</v>
      </c>
      <c r="G367" t="str">
        <f>VLOOKUP(F367,Subcategories!$A$2:$B$29,2,0)</f>
        <v>Optimization</v>
      </c>
      <c r="H367" t="str">
        <f t="shared" si="5"/>
        <v>4-16-188</v>
      </c>
      <c r="I367">
        <f>VLOOKUP(H367,SuiteCatSubElem!$F$2:$G$666,2,0)</f>
        <v>335</v>
      </c>
      <c r="J367">
        <v>1</v>
      </c>
      <c r="K367">
        <v>188</v>
      </c>
      <c r="M367" t="s">
        <v>50</v>
      </c>
      <c r="N367" s="60">
        <v>43101</v>
      </c>
      <c r="O367" t="s">
        <v>50</v>
      </c>
      <c r="P367">
        <v>92</v>
      </c>
      <c r="Q367" t="s">
        <v>1358</v>
      </c>
      <c r="R367" s="113" t="s">
        <v>720</v>
      </c>
      <c r="S367" s="113" t="s">
        <v>721</v>
      </c>
    </row>
    <row r="368" spans="1:19" ht="37">
      <c r="A368">
        <v>340</v>
      </c>
      <c r="B368" s="127" t="s">
        <v>228</v>
      </c>
      <c r="C368" s="27">
        <f>VLOOKUP(B368,Elements!$A$2:$B$435,2,0)</f>
        <v>189</v>
      </c>
      <c r="D368">
        <v>4</v>
      </c>
      <c r="E368" t="str">
        <f>VLOOKUP(D368,Categories!$A$2:$B$8,2,0)</f>
        <v>Sourcing</v>
      </c>
      <c r="F368">
        <v>16</v>
      </c>
      <c r="G368" t="str">
        <f>VLOOKUP(F368,Subcategories!$A$2:$B$29,2,0)</f>
        <v>Optimization</v>
      </c>
      <c r="H368" t="str">
        <f t="shared" si="5"/>
        <v>4-16-189</v>
      </c>
      <c r="I368">
        <f>VLOOKUP(H368,SuiteCatSubElem!$F$2:$G$666,2,0)</f>
        <v>336</v>
      </c>
      <c r="J368">
        <v>1</v>
      </c>
      <c r="K368">
        <v>189</v>
      </c>
      <c r="M368" t="s">
        <v>50</v>
      </c>
      <c r="N368" s="60">
        <v>43101</v>
      </c>
      <c r="O368" t="s">
        <v>50</v>
      </c>
      <c r="P368">
        <v>93</v>
      </c>
      <c r="Q368" t="s">
        <v>1358</v>
      </c>
      <c r="R368" s="102" t="s">
        <v>722</v>
      </c>
      <c r="S368" s="113" t="s">
        <v>723</v>
      </c>
    </row>
    <row r="369" spans="1:19" ht="37">
      <c r="A369">
        <v>341</v>
      </c>
      <c r="B369" s="127" t="s">
        <v>229</v>
      </c>
      <c r="C369" s="27">
        <f>VLOOKUP(B369,Elements!$A$2:$B$435,2,0)</f>
        <v>190</v>
      </c>
      <c r="D369">
        <v>4</v>
      </c>
      <c r="E369" t="str">
        <f>VLOOKUP(D369,Categories!$A$2:$B$8,2,0)</f>
        <v>Sourcing</v>
      </c>
      <c r="F369">
        <v>16</v>
      </c>
      <c r="G369" t="str">
        <f>VLOOKUP(F369,Subcategories!$A$2:$B$29,2,0)</f>
        <v>Optimization</v>
      </c>
      <c r="H369" t="str">
        <f t="shared" si="5"/>
        <v>4-16-190</v>
      </c>
      <c r="I369">
        <f>VLOOKUP(H369,SuiteCatSubElem!$F$2:$G$666,2,0)</f>
        <v>337</v>
      </c>
      <c r="J369">
        <v>1</v>
      </c>
      <c r="K369">
        <v>190</v>
      </c>
      <c r="M369" t="s">
        <v>50</v>
      </c>
      <c r="N369" s="60">
        <v>43101</v>
      </c>
      <c r="O369" t="s">
        <v>50</v>
      </c>
      <c r="P369">
        <v>94</v>
      </c>
      <c r="Q369" t="s">
        <v>1358</v>
      </c>
      <c r="R369" s="102" t="s">
        <v>724</v>
      </c>
      <c r="S369" s="113" t="s">
        <v>725</v>
      </c>
    </row>
    <row r="370" spans="1:19" ht="37">
      <c r="A370">
        <v>342</v>
      </c>
      <c r="B370" s="127" t="s">
        <v>230</v>
      </c>
      <c r="C370" s="27">
        <f>VLOOKUP(B370,Elements!$A$2:$B$435,2,0)</f>
        <v>191</v>
      </c>
      <c r="D370">
        <v>4</v>
      </c>
      <c r="E370" t="str">
        <f>VLOOKUP(D370,Categories!$A$2:$B$8,2,0)</f>
        <v>Sourcing</v>
      </c>
      <c r="F370">
        <v>16</v>
      </c>
      <c r="G370" t="str">
        <f>VLOOKUP(F370,Subcategories!$A$2:$B$29,2,0)</f>
        <v>Optimization</v>
      </c>
      <c r="H370" t="str">
        <f t="shared" si="5"/>
        <v>4-16-191</v>
      </c>
      <c r="I370">
        <f>VLOOKUP(H370,SuiteCatSubElem!$F$2:$G$666,2,0)</f>
        <v>338</v>
      </c>
      <c r="J370">
        <v>1</v>
      </c>
      <c r="K370">
        <v>191</v>
      </c>
      <c r="M370" t="s">
        <v>50</v>
      </c>
      <c r="N370" s="60">
        <v>43101</v>
      </c>
      <c r="O370" t="s">
        <v>50</v>
      </c>
      <c r="P370">
        <v>95</v>
      </c>
      <c r="Q370" t="s">
        <v>1358</v>
      </c>
      <c r="R370" s="113" t="s">
        <v>726</v>
      </c>
      <c r="S370" s="113" t="s">
        <v>727</v>
      </c>
    </row>
    <row r="371" spans="1:19" ht="25">
      <c r="A371">
        <v>343</v>
      </c>
      <c r="B371" s="127" t="s">
        <v>231</v>
      </c>
      <c r="C371" s="27">
        <f>VLOOKUP(B371,Elements!$A$2:$B$435,2,0)</f>
        <v>192</v>
      </c>
      <c r="D371" s="53">
        <v>4</v>
      </c>
      <c r="E371" t="str">
        <f>VLOOKUP(D371,Categories!$A$2:$B$8,2,0)</f>
        <v>Sourcing</v>
      </c>
      <c r="F371">
        <v>16</v>
      </c>
      <c r="G371" t="str">
        <f>VLOOKUP(F371,Subcategories!$A$2:$B$29,2,0)</f>
        <v>Optimization</v>
      </c>
      <c r="H371" t="str">
        <f t="shared" si="5"/>
        <v>4-16-192</v>
      </c>
      <c r="I371">
        <f>VLOOKUP(H371,SuiteCatSubElem!$F$2:$G$666,2,0)</f>
        <v>339</v>
      </c>
      <c r="J371" s="53">
        <v>1</v>
      </c>
      <c r="K371">
        <v>192</v>
      </c>
      <c r="L371" s="53"/>
      <c r="M371" t="s">
        <v>50</v>
      </c>
      <c r="N371" s="60">
        <v>43101</v>
      </c>
      <c r="O371" t="s">
        <v>50</v>
      </c>
      <c r="P371">
        <v>96</v>
      </c>
      <c r="Q371" t="s">
        <v>1358</v>
      </c>
      <c r="R371" s="113" t="s">
        <v>728</v>
      </c>
      <c r="S371" s="102" t="s">
        <v>729</v>
      </c>
    </row>
    <row r="372" spans="1:19" ht="25">
      <c r="A372">
        <v>344</v>
      </c>
      <c r="B372" s="127" t="s">
        <v>232</v>
      </c>
      <c r="C372" s="27">
        <f>VLOOKUP(B372,Elements!$A$2:$B$435,2,0)</f>
        <v>193</v>
      </c>
      <c r="D372">
        <v>4</v>
      </c>
      <c r="E372" t="str">
        <f>VLOOKUP(D372,Categories!$A$2:$B$8,2,0)</f>
        <v>Sourcing</v>
      </c>
      <c r="F372">
        <v>16</v>
      </c>
      <c r="G372" t="str">
        <f>VLOOKUP(F372,Subcategories!$A$2:$B$29,2,0)</f>
        <v>Optimization</v>
      </c>
      <c r="H372" t="str">
        <f t="shared" si="5"/>
        <v>4-16-193</v>
      </c>
      <c r="I372">
        <f>VLOOKUP(H372,SuiteCatSubElem!$F$2:$G$666,2,0)</f>
        <v>340</v>
      </c>
      <c r="J372">
        <v>1</v>
      </c>
      <c r="K372">
        <v>193</v>
      </c>
      <c r="M372" t="s">
        <v>50</v>
      </c>
      <c r="N372" s="60">
        <v>43101</v>
      </c>
      <c r="O372" t="s">
        <v>50</v>
      </c>
      <c r="P372">
        <v>97</v>
      </c>
      <c r="Q372" t="s">
        <v>1358</v>
      </c>
      <c r="R372" s="113" t="s">
        <v>730</v>
      </c>
      <c r="S372" s="113" t="s">
        <v>731</v>
      </c>
    </row>
    <row r="373" spans="1:19" ht="37">
      <c r="A373">
        <v>345</v>
      </c>
      <c r="B373" s="127" t="s">
        <v>233</v>
      </c>
      <c r="C373" s="27">
        <f>VLOOKUP(B373,Elements!$A$2:$B$435,2,0)</f>
        <v>194</v>
      </c>
      <c r="D373">
        <v>4</v>
      </c>
      <c r="E373" t="str">
        <f>VLOOKUP(D373,Categories!$A$2:$B$8,2,0)</f>
        <v>Sourcing</v>
      </c>
      <c r="F373">
        <v>16</v>
      </c>
      <c r="G373" t="str">
        <f>VLOOKUP(F373,Subcategories!$A$2:$B$29,2,0)</f>
        <v>Optimization</v>
      </c>
      <c r="H373" t="str">
        <f t="shared" si="5"/>
        <v>4-16-194</v>
      </c>
      <c r="I373">
        <f>VLOOKUP(H373,SuiteCatSubElem!$F$2:$G$666,2,0)</f>
        <v>341</v>
      </c>
      <c r="J373">
        <v>1</v>
      </c>
      <c r="K373">
        <v>194</v>
      </c>
      <c r="M373" t="s">
        <v>50</v>
      </c>
      <c r="N373" s="60">
        <v>43101</v>
      </c>
      <c r="O373" t="s">
        <v>50</v>
      </c>
      <c r="P373">
        <v>98</v>
      </c>
      <c r="Q373" t="s">
        <v>1358</v>
      </c>
      <c r="R373" s="113" t="s">
        <v>732</v>
      </c>
      <c r="S373" s="113" t="s">
        <v>733</v>
      </c>
    </row>
    <row r="374" spans="1:19" ht="49">
      <c r="A374">
        <v>346</v>
      </c>
      <c r="B374" s="127" t="s">
        <v>234</v>
      </c>
      <c r="C374" s="27">
        <f>VLOOKUP(B374,Elements!$A$2:$B$435,2,0)</f>
        <v>195</v>
      </c>
      <c r="D374">
        <v>4</v>
      </c>
      <c r="E374" t="str">
        <f>VLOOKUP(D374,Categories!$A$2:$B$8,2,0)</f>
        <v>Sourcing</v>
      </c>
      <c r="F374">
        <v>16</v>
      </c>
      <c r="G374" t="str">
        <f>VLOOKUP(F374,Subcategories!$A$2:$B$29,2,0)</f>
        <v>Optimization</v>
      </c>
      <c r="H374" t="str">
        <f t="shared" si="5"/>
        <v>4-16-195</v>
      </c>
      <c r="I374">
        <f>VLOOKUP(H374,SuiteCatSubElem!$F$2:$G$666,2,0)</f>
        <v>342</v>
      </c>
      <c r="J374">
        <v>1</v>
      </c>
      <c r="K374">
        <v>195</v>
      </c>
      <c r="M374" t="s">
        <v>50</v>
      </c>
      <c r="N374" s="60">
        <v>43101</v>
      </c>
      <c r="O374" t="s">
        <v>50</v>
      </c>
      <c r="P374">
        <v>99</v>
      </c>
      <c r="Q374" t="s">
        <v>1358</v>
      </c>
      <c r="R374" s="102" t="s">
        <v>734</v>
      </c>
      <c r="S374" s="113" t="s">
        <v>735</v>
      </c>
    </row>
    <row r="375" spans="1:19" ht="49">
      <c r="A375">
        <v>347</v>
      </c>
      <c r="B375" s="127" t="s">
        <v>235</v>
      </c>
      <c r="C375" s="27">
        <f>VLOOKUP(B375,Elements!$A$2:$B$435,2,0)</f>
        <v>196</v>
      </c>
      <c r="D375">
        <v>4</v>
      </c>
      <c r="E375" t="str">
        <f>VLOOKUP(D375,Categories!$A$2:$B$8,2,0)</f>
        <v>Sourcing</v>
      </c>
      <c r="F375">
        <v>16</v>
      </c>
      <c r="G375" t="str">
        <f>VLOOKUP(F375,Subcategories!$A$2:$B$29,2,0)</f>
        <v>Optimization</v>
      </c>
      <c r="H375" t="str">
        <f t="shared" si="5"/>
        <v>4-16-196</v>
      </c>
      <c r="I375">
        <f>VLOOKUP(H375,SuiteCatSubElem!$F$2:$G$666,2,0)</f>
        <v>343</v>
      </c>
      <c r="J375">
        <v>1</v>
      </c>
      <c r="K375">
        <v>196</v>
      </c>
      <c r="M375" t="s">
        <v>50</v>
      </c>
      <c r="N375" s="60">
        <v>43101</v>
      </c>
      <c r="O375" t="s">
        <v>50</v>
      </c>
      <c r="P375">
        <v>100</v>
      </c>
      <c r="Q375" t="s">
        <v>1358</v>
      </c>
      <c r="R375" s="113" t="s">
        <v>736</v>
      </c>
      <c r="S375" s="113" t="s">
        <v>737</v>
      </c>
    </row>
    <row r="376" spans="1:19" ht="49">
      <c r="A376">
        <v>348</v>
      </c>
      <c r="B376" s="127" t="s">
        <v>236</v>
      </c>
      <c r="C376" s="27">
        <f>VLOOKUP(B376,Elements!$A$2:$B$435,2,0)</f>
        <v>197</v>
      </c>
      <c r="D376">
        <v>4</v>
      </c>
      <c r="E376" t="str">
        <f>VLOOKUP(D376,Categories!$A$2:$B$8,2,0)</f>
        <v>Sourcing</v>
      </c>
      <c r="F376">
        <v>16</v>
      </c>
      <c r="G376" t="str">
        <f>VLOOKUP(F376,Subcategories!$A$2:$B$29,2,0)</f>
        <v>Optimization</v>
      </c>
      <c r="H376" t="str">
        <f t="shared" si="5"/>
        <v>4-16-197</v>
      </c>
      <c r="I376">
        <f>VLOOKUP(H376,SuiteCatSubElem!$F$2:$G$666,2,0)</f>
        <v>344</v>
      </c>
      <c r="J376">
        <v>1</v>
      </c>
      <c r="K376">
        <v>197</v>
      </c>
      <c r="M376" t="s">
        <v>50</v>
      </c>
      <c r="N376" s="60">
        <v>43101</v>
      </c>
      <c r="O376" t="s">
        <v>50</v>
      </c>
      <c r="P376">
        <v>101</v>
      </c>
      <c r="Q376" t="s">
        <v>1358</v>
      </c>
      <c r="R376" s="102" t="s">
        <v>738</v>
      </c>
      <c r="S376" s="113" t="s">
        <v>739</v>
      </c>
    </row>
    <row r="377" spans="1:19" ht="49">
      <c r="A377">
        <v>349</v>
      </c>
      <c r="B377" s="127" t="s">
        <v>237</v>
      </c>
      <c r="C377" s="27">
        <f>VLOOKUP(B377,Elements!$A$2:$B$435,2,0)</f>
        <v>198</v>
      </c>
      <c r="D377">
        <v>4</v>
      </c>
      <c r="E377" t="str">
        <f>VLOOKUP(D377,Categories!$A$2:$B$8,2,0)</f>
        <v>Sourcing</v>
      </c>
      <c r="F377">
        <v>16</v>
      </c>
      <c r="G377" t="str">
        <f>VLOOKUP(F377,Subcategories!$A$2:$B$29,2,0)</f>
        <v>Optimization</v>
      </c>
      <c r="H377" t="str">
        <f t="shared" si="5"/>
        <v>4-16-198</v>
      </c>
      <c r="I377">
        <f>VLOOKUP(H377,SuiteCatSubElem!$F$2:$G$666,2,0)</f>
        <v>345</v>
      </c>
      <c r="J377">
        <v>1</v>
      </c>
      <c r="K377">
        <v>198</v>
      </c>
      <c r="M377" t="s">
        <v>50</v>
      </c>
      <c r="N377" s="60">
        <v>43101</v>
      </c>
      <c r="O377" t="s">
        <v>50</v>
      </c>
      <c r="P377">
        <v>102</v>
      </c>
      <c r="Q377" t="s">
        <v>1358</v>
      </c>
      <c r="R377" s="113" t="s">
        <v>740</v>
      </c>
      <c r="S377" s="113" t="s">
        <v>741</v>
      </c>
    </row>
    <row r="378" spans="1:19" ht="37">
      <c r="A378">
        <v>350</v>
      </c>
      <c r="B378" s="127" t="s">
        <v>238</v>
      </c>
      <c r="C378" s="27">
        <f>VLOOKUP(B378,Elements!$A$2:$B$435,2,0)</f>
        <v>199</v>
      </c>
      <c r="D378">
        <v>4</v>
      </c>
      <c r="E378" t="str">
        <f>VLOOKUP(D378,Categories!$A$2:$B$8,2,0)</f>
        <v>Sourcing</v>
      </c>
      <c r="F378">
        <v>16</v>
      </c>
      <c r="G378" t="str">
        <f>VLOOKUP(F378,Subcategories!$A$2:$B$29,2,0)</f>
        <v>Optimization</v>
      </c>
      <c r="H378" t="str">
        <f t="shared" si="5"/>
        <v>4-16-199</v>
      </c>
      <c r="I378">
        <f>VLOOKUP(H378,SuiteCatSubElem!$F$2:$G$666,2,0)</f>
        <v>346</v>
      </c>
      <c r="J378">
        <v>1</v>
      </c>
      <c r="K378">
        <v>199</v>
      </c>
      <c r="M378" t="s">
        <v>50</v>
      </c>
      <c r="N378" s="60">
        <v>43101</v>
      </c>
      <c r="O378" t="s">
        <v>50</v>
      </c>
      <c r="P378">
        <v>103</v>
      </c>
      <c r="Q378" t="s">
        <v>1358</v>
      </c>
      <c r="R378" s="113" t="s">
        <v>742</v>
      </c>
      <c r="S378" s="113" t="s">
        <v>743</v>
      </c>
    </row>
    <row r="379" spans="1:19" ht="49">
      <c r="A379">
        <v>351</v>
      </c>
      <c r="B379" s="127" t="s">
        <v>239</v>
      </c>
      <c r="C379" s="27">
        <f>VLOOKUP(B379,Elements!$A$2:$B$435,2,0)</f>
        <v>200</v>
      </c>
      <c r="D379">
        <v>4</v>
      </c>
      <c r="E379" t="str">
        <f>VLOOKUP(D379,Categories!$A$2:$B$8,2,0)</f>
        <v>Sourcing</v>
      </c>
      <c r="F379">
        <v>16</v>
      </c>
      <c r="G379" t="str">
        <f>VLOOKUP(F379,Subcategories!$A$2:$B$29,2,0)</f>
        <v>Optimization</v>
      </c>
      <c r="H379" t="str">
        <f t="shared" si="5"/>
        <v>4-16-200</v>
      </c>
      <c r="I379">
        <f>VLOOKUP(H379,SuiteCatSubElem!$F$2:$G$666,2,0)</f>
        <v>347</v>
      </c>
      <c r="J379">
        <v>1</v>
      </c>
      <c r="K379">
        <v>200</v>
      </c>
      <c r="M379" t="s">
        <v>50</v>
      </c>
      <c r="N379" s="60">
        <v>43101</v>
      </c>
      <c r="O379" t="s">
        <v>50</v>
      </c>
      <c r="P379">
        <v>104</v>
      </c>
      <c r="Q379" t="s">
        <v>1358</v>
      </c>
      <c r="R379" s="113" t="s">
        <v>744</v>
      </c>
      <c r="S379" s="113" t="s">
        <v>745</v>
      </c>
    </row>
    <row r="380" spans="1:19" ht="37">
      <c r="A380">
        <v>352</v>
      </c>
      <c r="B380" s="127" t="s">
        <v>240</v>
      </c>
      <c r="C380" s="27">
        <f>VLOOKUP(B380,Elements!$A$2:$B$435,2,0)</f>
        <v>201</v>
      </c>
      <c r="D380">
        <v>4</v>
      </c>
      <c r="E380" t="str">
        <f>VLOOKUP(D380,Categories!$A$2:$B$8,2,0)</f>
        <v>Sourcing</v>
      </c>
      <c r="F380">
        <v>16</v>
      </c>
      <c r="G380" t="str">
        <f>VLOOKUP(F380,Subcategories!$A$2:$B$29,2,0)</f>
        <v>Optimization</v>
      </c>
      <c r="H380" t="str">
        <f t="shared" si="5"/>
        <v>4-16-201</v>
      </c>
      <c r="I380">
        <f>VLOOKUP(H380,SuiteCatSubElem!$F$2:$G$666,2,0)</f>
        <v>348</v>
      </c>
      <c r="J380">
        <v>1</v>
      </c>
      <c r="K380">
        <v>201</v>
      </c>
      <c r="M380" t="s">
        <v>50</v>
      </c>
      <c r="N380" s="60">
        <v>43101</v>
      </c>
      <c r="O380" t="s">
        <v>50</v>
      </c>
      <c r="P380">
        <v>105</v>
      </c>
      <c r="Q380" t="s">
        <v>1358</v>
      </c>
      <c r="R380" s="113" t="s">
        <v>746</v>
      </c>
      <c r="S380" s="113" t="s">
        <v>747</v>
      </c>
    </row>
    <row r="381" spans="1:19" ht="61">
      <c r="A381">
        <v>353</v>
      </c>
      <c r="B381" s="127" t="s">
        <v>241</v>
      </c>
      <c r="C381" s="27">
        <f>VLOOKUP(B381,Elements!$A$2:$B$435,2,0)</f>
        <v>202</v>
      </c>
      <c r="D381">
        <v>4</v>
      </c>
      <c r="E381" t="str">
        <f>VLOOKUP(D381,Categories!$A$2:$B$8,2,0)</f>
        <v>Sourcing</v>
      </c>
      <c r="F381">
        <v>16</v>
      </c>
      <c r="G381" t="str">
        <f>VLOOKUP(F381,Subcategories!$A$2:$B$29,2,0)</f>
        <v>Optimization</v>
      </c>
      <c r="H381" t="str">
        <f t="shared" si="5"/>
        <v>4-16-202</v>
      </c>
      <c r="I381">
        <f>VLOOKUP(H381,SuiteCatSubElem!$F$2:$G$666,2,0)</f>
        <v>349</v>
      </c>
      <c r="J381">
        <v>1</v>
      </c>
      <c r="K381">
        <v>202</v>
      </c>
      <c r="M381" t="s">
        <v>50</v>
      </c>
      <c r="N381" s="60">
        <v>43101</v>
      </c>
      <c r="O381" t="s">
        <v>50</v>
      </c>
      <c r="P381">
        <v>106</v>
      </c>
      <c r="Q381" t="s">
        <v>1358</v>
      </c>
      <c r="R381" s="113" t="s">
        <v>748</v>
      </c>
      <c r="S381" s="113" t="s">
        <v>749</v>
      </c>
    </row>
    <row r="382" spans="1:19" ht="37">
      <c r="A382">
        <v>354</v>
      </c>
      <c r="B382" s="127" t="s">
        <v>243</v>
      </c>
      <c r="C382" s="27">
        <f>VLOOKUP(B382,Elements!$A$2:$B$435,2,0)</f>
        <v>203</v>
      </c>
      <c r="D382">
        <v>4</v>
      </c>
      <c r="E382" t="str">
        <f>VLOOKUP(D382,Categories!$A$2:$B$8,2,0)</f>
        <v>Sourcing</v>
      </c>
      <c r="F382">
        <v>17</v>
      </c>
      <c r="G382" t="str">
        <f>VLOOKUP(F382,Subcategories!$A$2:$B$29,2,0)</f>
        <v>Contracts</v>
      </c>
      <c r="H382" t="str">
        <f t="shared" si="5"/>
        <v>4-17-203</v>
      </c>
      <c r="I382">
        <f>VLOOKUP(H382,SuiteCatSubElem!$F$2:$G$666,2,0)</f>
        <v>350</v>
      </c>
      <c r="J382">
        <v>1</v>
      </c>
      <c r="K382">
        <v>203</v>
      </c>
      <c r="M382" t="s">
        <v>50</v>
      </c>
      <c r="N382" s="60">
        <v>43101</v>
      </c>
      <c r="O382" t="s">
        <v>50</v>
      </c>
      <c r="P382">
        <v>107</v>
      </c>
      <c r="Q382" t="s">
        <v>1358</v>
      </c>
      <c r="R382" s="113" t="s">
        <v>750</v>
      </c>
      <c r="S382" s="113" t="s">
        <v>751</v>
      </c>
    </row>
    <row r="383" spans="1:19" ht="37">
      <c r="A383">
        <v>355</v>
      </c>
      <c r="B383" s="127" t="s">
        <v>244</v>
      </c>
      <c r="C383" s="27">
        <f>VLOOKUP(B383,Elements!$A$2:$B$435,2,0)</f>
        <v>204</v>
      </c>
      <c r="D383">
        <v>4</v>
      </c>
      <c r="E383" t="str">
        <f>VLOOKUP(D383,Categories!$A$2:$B$8,2,0)</f>
        <v>Sourcing</v>
      </c>
      <c r="F383">
        <v>17</v>
      </c>
      <c r="G383" t="str">
        <f>VLOOKUP(F383,Subcategories!$A$2:$B$29,2,0)</f>
        <v>Contracts</v>
      </c>
      <c r="H383" t="str">
        <f t="shared" si="5"/>
        <v>4-17-204</v>
      </c>
      <c r="I383">
        <f>VLOOKUP(H383,SuiteCatSubElem!$F$2:$G$666,2,0)</f>
        <v>351</v>
      </c>
      <c r="J383">
        <v>1</v>
      </c>
      <c r="K383">
        <v>204</v>
      </c>
      <c r="M383" t="s">
        <v>50</v>
      </c>
      <c r="N383" s="60">
        <v>43101</v>
      </c>
      <c r="O383" t="s">
        <v>50</v>
      </c>
      <c r="P383">
        <v>108</v>
      </c>
      <c r="Q383" t="s">
        <v>1358</v>
      </c>
      <c r="R383" s="102" t="s">
        <v>752</v>
      </c>
      <c r="S383" s="113" t="s">
        <v>753</v>
      </c>
    </row>
    <row r="384" spans="1:19" ht="25">
      <c r="A384">
        <v>356</v>
      </c>
      <c r="B384" s="127" t="s">
        <v>245</v>
      </c>
      <c r="C384" s="27">
        <f>VLOOKUP(B384,Elements!$A$2:$B$435,2,0)</f>
        <v>205</v>
      </c>
      <c r="D384">
        <v>4</v>
      </c>
      <c r="E384" t="str">
        <f>VLOOKUP(D384,Categories!$A$2:$B$8,2,0)</f>
        <v>Sourcing</v>
      </c>
      <c r="F384">
        <v>17</v>
      </c>
      <c r="G384" t="str">
        <f>VLOOKUP(F384,Subcategories!$A$2:$B$29,2,0)</f>
        <v>Contracts</v>
      </c>
      <c r="H384" t="str">
        <f t="shared" si="5"/>
        <v>4-17-205</v>
      </c>
      <c r="I384">
        <f>VLOOKUP(H384,SuiteCatSubElem!$F$2:$G$666,2,0)</f>
        <v>352</v>
      </c>
      <c r="J384">
        <v>1</v>
      </c>
      <c r="K384">
        <v>205</v>
      </c>
      <c r="M384" t="s">
        <v>50</v>
      </c>
      <c r="N384" s="60">
        <v>43101</v>
      </c>
      <c r="O384" t="s">
        <v>50</v>
      </c>
      <c r="P384">
        <v>109</v>
      </c>
      <c r="Q384" t="s">
        <v>1358</v>
      </c>
      <c r="R384" s="100" t="s">
        <v>754</v>
      </c>
      <c r="S384" s="113" t="s">
        <v>755</v>
      </c>
    </row>
    <row r="385" spans="1:19" ht="37">
      <c r="A385">
        <v>358</v>
      </c>
      <c r="B385" s="127" t="s">
        <v>246</v>
      </c>
      <c r="C385" s="27">
        <f>VLOOKUP(B385,Elements!$A$2:$B$435,2,0)</f>
        <v>206</v>
      </c>
      <c r="D385" s="53">
        <v>4</v>
      </c>
      <c r="E385" t="str">
        <f>VLOOKUP(D385,Categories!$A$2:$B$8,2,0)</f>
        <v>Sourcing</v>
      </c>
      <c r="F385">
        <v>17</v>
      </c>
      <c r="G385" t="str">
        <f>VLOOKUP(F385,Subcategories!$A$2:$B$29,2,0)</f>
        <v>Contracts</v>
      </c>
      <c r="H385" t="str">
        <f t="shared" si="5"/>
        <v>4-17-206</v>
      </c>
      <c r="I385">
        <f>VLOOKUP(H385,SuiteCatSubElem!$F$2:$G$666,2,0)</f>
        <v>354</v>
      </c>
      <c r="J385" s="53">
        <v>1</v>
      </c>
      <c r="K385">
        <v>206</v>
      </c>
      <c r="L385" s="53"/>
      <c r="M385" t="s">
        <v>50</v>
      </c>
      <c r="N385" s="60">
        <v>43101</v>
      </c>
      <c r="O385" t="s">
        <v>50</v>
      </c>
      <c r="P385">
        <v>111</v>
      </c>
      <c r="Q385" t="s">
        <v>1358</v>
      </c>
      <c r="R385" s="102" t="s">
        <v>758</v>
      </c>
      <c r="S385" s="102" t="s">
        <v>759</v>
      </c>
    </row>
    <row r="386" spans="1:19" ht="37">
      <c r="A386">
        <v>613</v>
      </c>
      <c r="B386" s="133" t="s">
        <v>246</v>
      </c>
      <c r="C386" s="27">
        <f>VLOOKUP(B386,Elements!$A$2:$B$435,2,0)</f>
        <v>206</v>
      </c>
      <c r="D386" s="53">
        <v>7</v>
      </c>
      <c r="E386" t="str">
        <f>VLOOKUP(D386,Categories!$A$2:$B$8,2,0)</f>
        <v>CLM</v>
      </c>
      <c r="F386">
        <v>26</v>
      </c>
      <c r="G386" t="str">
        <f>VLOOKUP(F386,Subcategories!$A$2:$B$29,2,0)</f>
        <v>Contract Information Management</v>
      </c>
      <c r="H386" t="str">
        <f t="shared" ref="H386:H449" si="6">_xlfn.CONCAT(D386,"-",F386,"-",C386)</f>
        <v>7-26-206</v>
      </c>
      <c r="I386">
        <f>VLOOKUP(H386,SuiteCatSubElem!$F$2:$G$666,2,0)</f>
        <v>607</v>
      </c>
      <c r="J386" s="53">
        <v>1</v>
      </c>
      <c r="K386">
        <v>206</v>
      </c>
      <c r="L386" s="53"/>
      <c r="M386" t="s">
        <v>50</v>
      </c>
      <c r="N386" s="60">
        <v>43101</v>
      </c>
      <c r="O386" t="s">
        <v>50</v>
      </c>
      <c r="P386">
        <v>13</v>
      </c>
      <c r="Q386" t="s">
        <v>1358</v>
      </c>
      <c r="R386" s="119" t="s">
        <v>758</v>
      </c>
      <c r="S386" s="120" t="s">
        <v>759</v>
      </c>
    </row>
    <row r="387" spans="1:19" ht="37">
      <c r="A387">
        <v>359</v>
      </c>
      <c r="B387" s="127" t="s">
        <v>247</v>
      </c>
      <c r="C387" s="27">
        <f>VLOOKUP(B387,Elements!$A$2:$B$435,2,0)</f>
        <v>207</v>
      </c>
      <c r="D387">
        <v>4</v>
      </c>
      <c r="E387" t="str">
        <f>VLOOKUP(D387,Categories!$A$2:$B$8,2,0)</f>
        <v>Sourcing</v>
      </c>
      <c r="F387">
        <v>17</v>
      </c>
      <c r="G387" t="str">
        <f>VLOOKUP(F387,Subcategories!$A$2:$B$29,2,0)</f>
        <v>Contracts</v>
      </c>
      <c r="H387" t="str">
        <f t="shared" si="6"/>
        <v>4-17-207</v>
      </c>
      <c r="I387">
        <f>VLOOKUP(H387,SuiteCatSubElem!$F$2:$G$666,2,0)</f>
        <v>355</v>
      </c>
      <c r="J387">
        <v>1</v>
      </c>
      <c r="K387">
        <v>207</v>
      </c>
      <c r="M387" t="s">
        <v>50</v>
      </c>
      <c r="N387" s="60">
        <v>43101</v>
      </c>
      <c r="O387" t="s">
        <v>50</v>
      </c>
      <c r="P387">
        <v>112</v>
      </c>
      <c r="Q387" t="s">
        <v>1358</v>
      </c>
      <c r="R387" s="102" t="s">
        <v>760</v>
      </c>
      <c r="S387" s="113" t="s">
        <v>761</v>
      </c>
    </row>
    <row r="388" spans="1:19" ht="61">
      <c r="A388">
        <v>360</v>
      </c>
      <c r="B388" s="127" t="s">
        <v>248</v>
      </c>
      <c r="C388" s="27">
        <f>VLOOKUP(B388,Elements!$A$2:$B$435,2,0)</f>
        <v>208</v>
      </c>
      <c r="D388">
        <v>4</v>
      </c>
      <c r="E388" t="str">
        <f>VLOOKUP(D388,Categories!$A$2:$B$8,2,0)</f>
        <v>Sourcing</v>
      </c>
      <c r="F388">
        <v>17</v>
      </c>
      <c r="G388" t="str">
        <f>VLOOKUP(F388,Subcategories!$A$2:$B$29,2,0)</f>
        <v>Contracts</v>
      </c>
      <c r="H388" t="str">
        <f t="shared" si="6"/>
        <v>4-17-208</v>
      </c>
      <c r="I388">
        <f>VLOOKUP(H388,SuiteCatSubElem!$F$2:$G$666,2,0)</f>
        <v>356</v>
      </c>
      <c r="J388">
        <v>1</v>
      </c>
      <c r="K388">
        <v>208</v>
      </c>
      <c r="M388" t="s">
        <v>50</v>
      </c>
      <c r="N388" s="60">
        <v>43101</v>
      </c>
      <c r="O388" t="s">
        <v>50</v>
      </c>
      <c r="P388">
        <v>113</v>
      </c>
      <c r="Q388" t="s">
        <v>1358</v>
      </c>
      <c r="R388" s="113" t="s">
        <v>762</v>
      </c>
      <c r="S388" s="113" t="s">
        <v>1054</v>
      </c>
    </row>
    <row r="389" spans="1:19" ht="61">
      <c r="A389">
        <v>628</v>
      </c>
      <c r="B389" s="133" t="s">
        <v>248</v>
      </c>
      <c r="C389" s="27">
        <f>VLOOKUP(B389,Elements!$A$2:$B$435,2,0)</f>
        <v>208</v>
      </c>
      <c r="D389">
        <v>7</v>
      </c>
      <c r="E389" t="str">
        <f>VLOOKUP(D389,Categories!$A$2:$B$8,2,0)</f>
        <v>CLM</v>
      </c>
      <c r="F389">
        <v>27</v>
      </c>
      <c r="G389" t="str">
        <f>VLOOKUP(F389,Subcategories!$A$2:$B$29,2,0)</f>
        <v>Contract Process Management</v>
      </c>
      <c r="H389" t="str">
        <f t="shared" si="6"/>
        <v>7-27-208</v>
      </c>
      <c r="I389">
        <f>VLOOKUP(H389,SuiteCatSubElem!$F$2:$G$666,2,0)</f>
        <v>622</v>
      </c>
      <c r="J389">
        <v>1</v>
      </c>
      <c r="K389">
        <v>208</v>
      </c>
      <c r="M389" t="s">
        <v>50</v>
      </c>
      <c r="N389" s="60">
        <v>43101</v>
      </c>
      <c r="O389" t="s">
        <v>50</v>
      </c>
      <c r="P389">
        <v>28</v>
      </c>
      <c r="Q389" t="s">
        <v>1358</v>
      </c>
      <c r="R389" s="113" t="s">
        <v>762</v>
      </c>
      <c r="S389" s="113" t="s">
        <v>1054</v>
      </c>
    </row>
    <row r="390" spans="1:19" ht="25">
      <c r="A390">
        <v>361</v>
      </c>
      <c r="B390" s="127" t="s">
        <v>249</v>
      </c>
      <c r="C390" s="27">
        <f>VLOOKUP(B390,Elements!$A$2:$B$435,2,0)</f>
        <v>209</v>
      </c>
      <c r="D390">
        <v>4</v>
      </c>
      <c r="E390" t="str">
        <f>VLOOKUP(D390,Categories!$A$2:$B$8,2,0)</f>
        <v>Sourcing</v>
      </c>
      <c r="F390">
        <v>17</v>
      </c>
      <c r="G390" t="str">
        <f>VLOOKUP(F390,Subcategories!$A$2:$B$29,2,0)</f>
        <v>Contracts</v>
      </c>
      <c r="H390" t="str">
        <f t="shared" si="6"/>
        <v>4-17-209</v>
      </c>
      <c r="I390">
        <f>VLOOKUP(H390,SuiteCatSubElem!$F$2:$G$666,2,0)</f>
        <v>357</v>
      </c>
      <c r="J390">
        <v>1</v>
      </c>
      <c r="K390">
        <v>209</v>
      </c>
      <c r="M390" t="s">
        <v>50</v>
      </c>
      <c r="N390" s="60">
        <v>43101</v>
      </c>
      <c r="O390" t="s">
        <v>50</v>
      </c>
      <c r="P390">
        <v>114</v>
      </c>
      <c r="Q390" t="s">
        <v>1358</v>
      </c>
      <c r="R390" s="113" t="s">
        <v>764</v>
      </c>
      <c r="S390" s="113" t="s">
        <v>765</v>
      </c>
    </row>
    <row r="391" spans="1:19" ht="37">
      <c r="A391">
        <v>362</v>
      </c>
      <c r="B391" s="127" t="s">
        <v>250</v>
      </c>
      <c r="C391" s="27">
        <f>VLOOKUP(B391,Elements!$A$2:$B$435,2,0)</f>
        <v>210</v>
      </c>
      <c r="D391">
        <v>4</v>
      </c>
      <c r="E391" t="str">
        <f>VLOOKUP(D391,Categories!$A$2:$B$8,2,0)</f>
        <v>Sourcing</v>
      </c>
      <c r="F391">
        <v>17</v>
      </c>
      <c r="G391" t="str">
        <f>VLOOKUP(F391,Subcategories!$A$2:$B$29,2,0)</f>
        <v>Contracts</v>
      </c>
      <c r="H391" t="str">
        <f t="shared" si="6"/>
        <v>4-17-210</v>
      </c>
      <c r="I391">
        <f>VLOOKUP(H391,SuiteCatSubElem!$F$2:$G$666,2,0)</f>
        <v>358</v>
      </c>
      <c r="J391">
        <v>1</v>
      </c>
      <c r="K391">
        <v>210</v>
      </c>
      <c r="M391" t="s">
        <v>50</v>
      </c>
      <c r="N391" s="60">
        <v>43101</v>
      </c>
      <c r="O391" t="s">
        <v>50</v>
      </c>
      <c r="P391">
        <v>115</v>
      </c>
      <c r="Q391" t="s">
        <v>1358</v>
      </c>
      <c r="R391" s="102" t="s">
        <v>766</v>
      </c>
      <c r="S391" s="113" t="s">
        <v>767</v>
      </c>
    </row>
    <row r="392" spans="1:19" ht="25">
      <c r="A392">
        <v>363</v>
      </c>
      <c r="B392" s="127" t="s">
        <v>253</v>
      </c>
      <c r="C392" s="27">
        <f>VLOOKUP(B392,Elements!$A$2:$B$435,2,0)</f>
        <v>211</v>
      </c>
      <c r="D392">
        <v>4</v>
      </c>
      <c r="E392" t="str">
        <f>VLOOKUP(D392,Categories!$A$2:$B$8,2,0)</f>
        <v>Sourcing</v>
      </c>
      <c r="F392">
        <v>18</v>
      </c>
      <c r="G392" t="str">
        <f>VLOOKUP(F392,Subcategories!$A$2:$B$29,2,0)</f>
        <v>Execution</v>
      </c>
      <c r="H392" t="str">
        <f t="shared" si="6"/>
        <v>4-18-211</v>
      </c>
      <c r="I392">
        <f>VLOOKUP(H392,SuiteCatSubElem!$F$2:$G$666,2,0)</f>
        <v>359</v>
      </c>
      <c r="J392">
        <v>1</v>
      </c>
      <c r="K392">
        <v>211</v>
      </c>
      <c r="M392" t="s">
        <v>50</v>
      </c>
      <c r="N392" s="60">
        <v>43101</v>
      </c>
      <c r="O392" t="s">
        <v>50</v>
      </c>
      <c r="P392">
        <v>116</v>
      </c>
      <c r="Q392" t="s">
        <v>1358</v>
      </c>
      <c r="R392" s="102" t="s">
        <v>768</v>
      </c>
      <c r="S392" s="113" t="s">
        <v>769</v>
      </c>
    </row>
    <row r="393" spans="1:19" ht="37">
      <c r="A393">
        <v>364</v>
      </c>
      <c r="B393" s="127" t="s">
        <v>254</v>
      </c>
      <c r="C393" s="27">
        <f>VLOOKUP(B393,Elements!$A$2:$B$435,2,0)</f>
        <v>212</v>
      </c>
      <c r="D393">
        <v>4</v>
      </c>
      <c r="E393" t="str">
        <f>VLOOKUP(D393,Categories!$A$2:$B$8,2,0)</f>
        <v>Sourcing</v>
      </c>
      <c r="F393">
        <v>18</v>
      </c>
      <c r="G393" t="str">
        <f>VLOOKUP(F393,Subcategories!$A$2:$B$29,2,0)</f>
        <v>Execution</v>
      </c>
      <c r="H393" t="str">
        <f t="shared" si="6"/>
        <v>4-18-212</v>
      </c>
      <c r="I393">
        <f>VLOOKUP(H393,SuiteCatSubElem!$F$2:$G$666,2,0)</f>
        <v>360</v>
      </c>
      <c r="J393">
        <v>1</v>
      </c>
      <c r="K393">
        <v>212</v>
      </c>
      <c r="M393" t="s">
        <v>50</v>
      </c>
      <c r="N393" s="60">
        <v>43101</v>
      </c>
      <c r="O393" t="s">
        <v>50</v>
      </c>
      <c r="P393">
        <v>117</v>
      </c>
      <c r="Q393" t="s">
        <v>1358</v>
      </c>
      <c r="R393" s="113" t="s">
        <v>770</v>
      </c>
      <c r="S393" s="113" t="s">
        <v>771</v>
      </c>
    </row>
    <row r="394" spans="1:19" ht="37">
      <c r="A394">
        <v>367</v>
      </c>
      <c r="B394" s="127" t="s">
        <v>256</v>
      </c>
      <c r="C394" s="27">
        <f>VLOOKUP(B394,Elements!$A$2:$B$435,2,0)</f>
        <v>213</v>
      </c>
      <c r="D394">
        <v>4</v>
      </c>
      <c r="E394" t="str">
        <f>VLOOKUP(D394,Categories!$A$2:$B$8,2,0)</f>
        <v>Sourcing</v>
      </c>
      <c r="F394">
        <v>18</v>
      </c>
      <c r="G394" t="str">
        <f>VLOOKUP(F394,Subcategories!$A$2:$B$29,2,0)</f>
        <v>Execution</v>
      </c>
      <c r="H394" t="str">
        <f t="shared" si="6"/>
        <v>4-18-213</v>
      </c>
      <c r="I394">
        <f>VLOOKUP(H394,SuiteCatSubElem!$F$2:$G$666,2,0)</f>
        <v>363</v>
      </c>
      <c r="J394">
        <v>1</v>
      </c>
      <c r="K394">
        <v>213</v>
      </c>
      <c r="M394" t="s">
        <v>50</v>
      </c>
      <c r="N394" s="60">
        <v>43101</v>
      </c>
      <c r="O394" t="s">
        <v>50</v>
      </c>
      <c r="P394">
        <v>120</v>
      </c>
      <c r="Q394" t="s">
        <v>1358</v>
      </c>
      <c r="R394" s="113" t="s">
        <v>1385</v>
      </c>
      <c r="S394" s="113" t="s">
        <v>777</v>
      </c>
    </row>
    <row r="395" spans="1:19" ht="25">
      <c r="A395">
        <v>369</v>
      </c>
      <c r="B395" s="127" t="s">
        <v>257</v>
      </c>
      <c r="C395" s="27">
        <f>VLOOKUP(B395,Elements!$A$2:$B$435,2,0)</f>
        <v>214</v>
      </c>
      <c r="D395">
        <v>4</v>
      </c>
      <c r="E395" t="str">
        <f>VLOOKUP(D395,Categories!$A$2:$B$8,2,0)</f>
        <v>Sourcing</v>
      </c>
      <c r="F395">
        <v>18</v>
      </c>
      <c r="G395" t="str">
        <f>VLOOKUP(F395,Subcategories!$A$2:$B$29,2,0)</f>
        <v>Execution</v>
      </c>
      <c r="H395" t="str">
        <f t="shared" si="6"/>
        <v>4-18-214</v>
      </c>
      <c r="I395">
        <f>VLOOKUP(H395,SuiteCatSubElem!$F$2:$G$666,2,0)</f>
        <v>365</v>
      </c>
      <c r="J395">
        <v>1</v>
      </c>
      <c r="K395">
        <v>214</v>
      </c>
      <c r="M395" t="s">
        <v>50</v>
      </c>
      <c r="N395" s="60">
        <v>43101</v>
      </c>
      <c r="O395" t="s">
        <v>50</v>
      </c>
      <c r="P395">
        <v>122</v>
      </c>
      <c r="Q395" t="s">
        <v>1358</v>
      </c>
      <c r="R395" s="102" t="s">
        <v>780</v>
      </c>
      <c r="S395" s="113" t="s">
        <v>781</v>
      </c>
    </row>
    <row r="396" spans="1:19" ht="49">
      <c r="A396">
        <v>370</v>
      </c>
      <c r="B396" s="127" t="s">
        <v>258</v>
      </c>
      <c r="C396" s="27">
        <f>VLOOKUP(B396,Elements!$A$2:$B$435,2,0)</f>
        <v>215</v>
      </c>
      <c r="D396">
        <v>4</v>
      </c>
      <c r="E396" t="str">
        <f>VLOOKUP(D396,Categories!$A$2:$B$8,2,0)</f>
        <v>Sourcing</v>
      </c>
      <c r="F396">
        <v>18</v>
      </c>
      <c r="G396" t="str">
        <f>VLOOKUP(F396,Subcategories!$A$2:$B$29,2,0)</f>
        <v>Execution</v>
      </c>
      <c r="H396" t="str">
        <f t="shared" si="6"/>
        <v>4-18-215</v>
      </c>
      <c r="I396">
        <f>VLOOKUP(H396,SuiteCatSubElem!$F$2:$G$666,2,0)</f>
        <v>366</v>
      </c>
      <c r="J396">
        <v>1</v>
      </c>
      <c r="K396">
        <v>215</v>
      </c>
      <c r="M396" t="s">
        <v>50</v>
      </c>
      <c r="N396" s="60">
        <v>43101</v>
      </c>
      <c r="O396" t="s">
        <v>50</v>
      </c>
      <c r="P396">
        <v>123</v>
      </c>
      <c r="Q396" t="s">
        <v>1358</v>
      </c>
      <c r="R396" s="102" t="s">
        <v>782</v>
      </c>
      <c r="S396" s="113" t="s">
        <v>783</v>
      </c>
    </row>
    <row r="397" spans="1:19" ht="25">
      <c r="A397">
        <v>371</v>
      </c>
      <c r="B397" s="127" t="s">
        <v>259</v>
      </c>
      <c r="C397" s="27">
        <f>VLOOKUP(B397,Elements!$A$2:$B$435,2,0)</f>
        <v>216</v>
      </c>
      <c r="D397">
        <v>4</v>
      </c>
      <c r="E397" t="str">
        <f>VLOOKUP(D397,Categories!$A$2:$B$8,2,0)</f>
        <v>Sourcing</v>
      </c>
      <c r="F397">
        <v>18</v>
      </c>
      <c r="G397" t="str">
        <f>VLOOKUP(F397,Subcategories!$A$2:$B$29,2,0)</f>
        <v>Execution</v>
      </c>
      <c r="H397" t="str">
        <f t="shared" si="6"/>
        <v>4-18-216</v>
      </c>
      <c r="I397">
        <f>VLOOKUP(H397,SuiteCatSubElem!$F$2:$G$666,2,0)</f>
        <v>367</v>
      </c>
      <c r="J397">
        <v>1</v>
      </c>
      <c r="K397">
        <v>216</v>
      </c>
      <c r="M397" t="s">
        <v>50</v>
      </c>
      <c r="N397" s="60">
        <v>43101</v>
      </c>
      <c r="O397" t="s">
        <v>50</v>
      </c>
      <c r="P397">
        <v>124</v>
      </c>
      <c r="Q397" t="s">
        <v>1358</v>
      </c>
      <c r="R397" s="102" t="s">
        <v>784</v>
      </c>
      <c r="S397" s="113" t="s">
        <v>785</v>
      </c>
    </row>
    <row r="398" spans="1:19" ht="37">
      <c r="A398">
        <v>372</v>
      </c>
      <c r="B398" s="127" t="s">
        <v>260</v>
      </c>
      <c r="C398" s="27">
        <f>VLOOKUP(B398,Elements!$A$2:$B$435,2,0)</f>
        <v>217</v>
      </c>
      <c r="D398">
        <v>4</v>
      </c>
      <c r="E398" t="str">
        <f>VLOOKUP(D398,Categories!$A$2:$B$8,2,0)</f>
        <v>Sourcing</v>
      </c>
      <c r="F398">
        <v>18</v>
      </c>
      <c r="G398" t="str">
        <f>VLOOKUP(F398,Subcategories!$A$2:$B$29,2,0)</f>
        <v>Execution</v>
      </c>
      <c r="H398" t="str">
        <f t="shared" si="6"/>
        <v>4-18-217</v>
      </c>
      <c r="I398">
        <f>VLOOKUP(H398,SuiteCatSubElem!$F$2:$G$666,2,0)</f>
        <v>368</v>
      </c>
      <c r="J398">
        <v>1</v>
      </c>
      <c r="K398">
        <v>217</v>
      </c>
      <c r="M398" t="s">
        <v>50</v>
      </c>
      <c r="N398" s="60">
        <v>43101</v>
      </c>
      <c r="O398" t="s">
        <v>50</v>
      </c>
      <c r="P398">
        <v>125</v>
      </c>
      <c r="Q398" t="s">
        <v>1358</v>
      </c>
      <c r="R398" s="102" t="s">
        <v>786</v>
      </c>
      <c r="S398" s="113" t="s">
        <v>787</v>
      </c>
    </row>
    <row r="399" spans="1:19" ht="37">
      <c r="A399">
        <v>374</v>
      </c>
      <c r="B399" s="127" t="s">
        <v>262</v>
      </c>
      <c r="C399" s="27">
        <f>VLOOKUP(B399,Elements!$A$2:$B$435,2,0)</f>
        <v>218</v>
      </c>
      <c r="D399">
        <v>4</v>
      </c>
      <c r="E399" t="str">
        <f>VLOOKUP(D399,Categories!$A$2:$B$8,2,0)</f>
        <v>Sourcing</v>
      </c>
      <c r="F399">
        <v>18</v>
      </c>
      <c r="G399" t="str">
        <f>VLOOKUP(F399,Subcategories!$A$2:$B$29,2,0)</f>
        <v>Execution</v>
      </c>
      <c r="H399" t="str">
        <f t="shared" si="6"/>
        <v>4-18-218</v>
      </c>
      <c r="I399">
        <f>VLOOKUP(H399,SuiteCatSubElem!$F$2:$G$666,2,0)</f>
        <v>369</v>
      </c>
      <c r="J399">
        <v>1</v>
      </c>
      <c r="K399">
        <v>218</v>
      </c>
      <c r="M399" t="s">
        <v>50</v>
      </c>
      <c r="N399" s="60">
        <v>43101</v>
      </c>
      <c r="O399" t="s">
        <v>50</v>
      </c>
      <c r="P399">
        <v>126</v>
      </c>
      <c r="Q399" t="s">
        <v>1358</v>
      </c>
      <c r="R399" s="102" t="s">
        <v>974</v>
      </c>
      <c r="S399" s="113" t="s">
        <v>789</v>
      </c>
    </row>
    <row r="400" spans="1:19" ht="37">
      <c r="A400">
        <v>542</v>
      </c>
      <c r="B400" s="38" t="s">
        <v>262</v>
      </c>
      <c r="C400" s="27">
        <f>VLOOKUP(B400,Elements!$A$2:$B$435,2,0)</f>
        <v>218</v>
      </c>
      <c r="D400">
        <v>6</v>
      </c>
      <c r="E400" t="str">
        <f>VLOOKUP(D400,Categories!$A$2:$B$8,2,0)</f>
        <v>SXM</v>
      </c>
      <c r="F400">
        <v>24</v>
      </c>
      <c r="G400" t="str">
        <f>VLOOKUP(F400,Subcategories!$A$2:$B$29,2,0)</f>
        <v>SXM</v>
      </c>
      <c r="H400" t="str">
        <f t="shared" si="6"/>
        <v>6-24-218</v>
      </c>
      <c r="I400">
        <f>VLOOKUP(H400,SuiteCatSubElem!$F$2:$G$666,2,0)</f>
        <v>536</v>
      </c>
      <c r="J400">
        <v>1</v>
      </c>
      <c r="K400">
        <v>218</v>
      </c>
      <c r="M400" t="s">
        <v>50</v>
      </c>
      <c r="N400" s="60">
        <v>43101</v>
      </c>
      <c r="O400" t="s">
        <v>50</v>
      </c>
      <c r="P400">
        <v>43</v>
      </c>
      <c r="Q400" t="s">
        <v>1358</v>
      </c>
      <c r="R400" s="102" t="s">
        <v>974</v>
      </c>
      <c r="S400" s="113" t="s">
        <v>789</v>
      </c>
    </row>
    <row r="401" spans="1:19" ht="37">
      <c r="A401">
        <v>375</v>
      </c>
      <c r="B401" s="127" t="s">
        <v>263</v>
      </c>
      <c r="C401" s="27">
        <f>VLOOKUP(B401,Elements!$A$2:$B$435,2,0)</f>
        <v>219</v>
      </c>
      <c r="D401">
        <v>4</v>
      </c>
      <c r="E401" t="str">
        <f>VLOOKUP(D401,Categories!$A$2:$B$8,2,0)</f>
        <v>Sourcing</v>
      </c>
      <c r="F401">
        <v>18</v>
      </c>
      <c r="G401" t="str">
        <f>VLOOKUP(F401,Subcategories!$A$2:$B$29,2,0)</f>
        <v>Execution</v>
      </c>
      <c r="H401" t="str">
        <f t="shared" si="6"/>
        <v>4-18-219</v>
      </c>
      <c r="I401">
        <f>VLOOKUP(H401,SuiteCatSubElem!$F$2:$G$666,2,0)</f>
        <v>370</v>
      </c>
      <c r="J401">
        <v>1</v>
      </c>
      <c r="K401">
        <v>219</v>
      </c>
      <c r="M401" t="s">
        <v>50</v>
      </c>
      <c r="N401" s="60">
        <v>43101</v>
      </c>
      <c r="O401" t="s">
        <v>50</v>
      </c>
      <c r="P401">
        <v>127</v>
      </c>
      <c r="Q401" t="s">
        <v>1358</v>
      </c>
      <c r="R401" s="113" t="s">
        <v>790</v>
      </c>
      <c r="S401" s="113" t="s">
        <v>791</v>
      </c>
    </row>
    <row r="402" spans="1:19" ht="49">
      <c r="A402">
        <v>376</v>
      </c>
      <c r="B402" s="127" t="s">
        <v>264</v>
      </c>
      <c r="C402" s="27">
        <f>VLOOKUP(B402,Elements!$A$2:$B$435,2,0)</f>
        <v>220</v>
      </c>
      <c r="D402">
        <v>4</v>
      </c>
      <c r="E402" t="str">
        <f>VLOOKUP(D402,Categories!$A$2:$B$8,2,0)</f>
        <v>Sourcing</v>
      </c>
      <c r="F402">
        <v>18</v>
      </c>
      <c r="G402" t="str">
        <f>VLOOKUP(F402,Subcategories!$A$2:$B$29,2,0)</f>
        <v>Execution</v>
      </c>
      <c r="H402" t="str">
        <f t="shared" si="6"/>
        <v>4-18-220</v>
      </c>
      <c r="I402">
        <f>VLOOKUP(H402,SuiteCatSubElem!$F$2:$G$666,2,0)</f>
        <v>371</v>
      </c>
      <c r="J402">
        <v>1</v>
      </c>
      <c r="K402">
        <v>220</v>
      </c>
      <c r="M402" t="s">
        <v>50</v>
      </c>
      <c r="N402" s="60">
        <v>43101</v>
      </c>
      <c r="O402" t="s">
        <v>50</v>
      </c>
      <c r="P402">
        <v>128</v>
      </c>
      <c r="Q402" t="s">
        <v>1358</v>
      </c>
      <c r="R402" s="113" t="s">
        <v>792</v>
      </c>
      <c r="S402" s="113" t="s">
        <v>793</v>
      </c>
    </row>
    <row r="403" spans="1:19" ht="37">
      <c r="A403">
        <v>377</v>
      </c>
      <c r="B403" s="127" t="s">
        <v>265</v>
      </c>
      <c r="C403" s="27">
        <f>VLOOKUP(B403,Elements!$A$2:$B$435,2,0)</f>
        <v>221</v>
      </c>
      <c r="D403">
        <v>4</v>
      </c>
      <c r="E403" t="str">
        <f>VLOOKUP(D403,Categories!$A$2:$B$8,2,0)</f>
        <v>Sourcing</v>
      </c>
      <c r="F403">
        <v>18</v>
      </c>
      <c r="G403" t="str">
        <f>VLOOKUP(F403,Subcategories!$A$2:$B$29,2,0)</f>
        <v>Execution</v>
      </c>
      <c r="H403" t="str">
        <f t="shared" si="6"/>
        <v>4-18-221</v>
      </c>
      <c r="I403">
        <f>VLOOKUP(H403,SuiteCatSubElem!$F$2:$G$666,2,0)</f>
        <v>372</v>
      </c>
      <c r="J403">
        <v>1</v>
      </c>
      <c r="K403">
        <v>221</v>
      </c>
      <c r="M403" t="s">
        <v>50</v>
      </c>
      <c r="N403" s="60">
        <v>43101</v>
      </c>
      <c r="O403" t="s">
        <v>50</v>
      </c>
      <c r="P403">
        <v>129</v>
      </c>
      <c r="Q403" t="s">
        <v>1358</v>
      </c>
      <c r="R403" s="102" t="s">
        <v>1381</v>
      </c>
      <c r="S403" s="113" t="s">
        <v>795</v>
      </c>
    </row>
    <row r="404" spans="1:19" ht="37">
      <c r="A404">
        <v>556</v>
      </c>
      <c r="B404" s="40" t="s">
        <v>265</v>
      </c>
      <c r="C404" s="27">
        <f>VLOOKUP(B404,Elements!$A$2:$B$435,2,0)</f>
        <v>221</v>
      </c>
      <c r="D404">
        <v>6</v>
      </c>
      <c r="E404" t="str">
        <f>VLOOKUP(D404,Categories!$A$2:$B$8,2,0)</f>
        <v>SXM</v>
      </c>
      <c r="F404">
        <v>24</v>
      </c>
      <c r="G404" t="str">
        <f>VLOOKUP(F404,Subcategories!$A$2:$B$29,2,0)</f>
        <v>SXM</v>
      </c>
      <c r="H404" t="str">
        <f t="shared" si="6"/>
        <v>6-24-221</v>
      </c>
      <c r="I404">
        <f>VLOOKUP(H404,SuiteCatSubElem!$F$2:$G$666,2,0)</f>
        <v>550</v>
      </c>
      <c r="J404">
        <v>1</v>
      </c>
      <c r="K404">
        <v>221</v>
      </c>
      <c r="M404" t="s">
        <v>50</v>
      </c>
      <c r="N404" s="60">
        <v>43101</v>
      </c>
      <c r="O404" t="s">
        <v>50</v>
      </c>
      <c r="P404">
        <v>57</v>
      </c>
      <c r="Q404" t="s">
        <v>1358</v>
      </c>
      <c r="R404" s="102" t="s">
        <v>1381</v>
      </c>
      <c r="S404" s="113" t="s">
        <v>795</v>
      </c>
    </row>
    <row r="405" spans="1:19" ht="49">
      <c r="A405">
        <v>379</v>
      </c>
      <c r="B405" s="127" t="s">
        <v>267</v>
      </c>
      <c r="C405" s="27">
        <f>VLOOKUP(B405,Elements!$A$2:$B$435,2,0)</f>
        <v>222</v>
      </c>
      <c r="D405">
        <v>4</v>
      </c>
      <c r="E405" t="str">
        <f>VLOOKUP(D405,Categories!$A$2:$B$8,2,0)</f>
        <v>Sourcing</v>
      </c>
      <c r="F405">
        <v>18</v>
      </c>
      <c r="G405" t="str">
        <f>VLOOKUP(F405,Subcategories!$A$2:$B$29,2,0)</f>
        <v>Execution</v>
      </c>
      <c r="H405" t="str">
        <f t="shared" si="6"/>
        <v>4-18-222</v>
      </c>
      <c r="I405">
        <f>VLOOKUP(H405,SuiteCatSubElem!$F$2:$G$666,2,0)</f>
        <v>373</v>
      </c>
      <c r="J405">
        <v>1</v>
      </c>
      <c r="K405">
        <v>222</v>
      </c>
      <c r="M405" t="s">
        <v>50</v>
      </c>
      <c r="N405" s="60">
        <v>43101</v>
      </c>
      <c r="O405" t="s">
        <v>50</v>
      </c>
      <c r="P405">
        <v>130</v>
      </c>
      <c r="Q405" t="s">
        <v>1358</v>
      </c>
      <c r="R405" s="113" t="s">
        <v>796</v>
      </c>
      <c r="S405" s="113" t="s">
        <v>797</v>
      </c>
    </row>
    <row r="406" spans="1:19" ht="37">
      <c r="A406">
        <v>380</v>
      </c>
      <c r="B406" s="127" t="s">
        <v>268</v>
      </c>
      <c r="C406" s="27">
        <f>VLOOKUP(B406,Elements!$A$2:$B$435,2,0)</f>
        <v>223</v>
      </c>
      <c r="D406">
        <v>4</v>
      </c>
      <c r="E406" t="str">
        <f>VLOOKUP(D406,Categories!$A$2:$B$8,2,0)</f>
        <v>Sourcing</v>
      </c>
      <c r="F406">
        <v>18</v>
      </c>
      <c r="G406" t="str">
        <f>VLOOKUP(F406,Subcategories!$A$2:$B$29,2,0)</f>
        <v>Execution</v>
      </c>
      <c r="H406" t="str">
        <f t="shared" si="6"/>
        <v>4-18-223</v>
      </c>
      <c r="I406">
        <f>VLOOKUP(H406,SuiteCatSubElem!$F$2:$G$666,2,0)</f>
        <v>374</v>
      </c>
      <c r="J406">
        <v>1</v>
      </c>
      <c r="K406">
        <v>223</v>
      </c>
      <c r="M406" t="s">
        <v>50</v>
      </c>
      <c r="N406" s="60">
        <v>43101</v>
      </c>
      <c r="O406" t="s">
        <v>50</v>
      </c>
      <c r="P406">
        <v>131</v>
      </c>
      <c r="Q406" t="s">
        <v>1358</v>
      </c>
      <c r="R406" s="102" t="s">
        <v>798</v>
      </c>
      <c r="S406" s="113" t="s">
        <v>799</v>
      </c>
    </row>
    <row r="407" spans="1:19" ht="49">
      <c r="A407">
        <v>381</v>
      </c>
      <c r="B407" s="127" t="s">
        <v>269</v>
      </c>
      <c r="C407" s="27">
        <f>VLOOKUP(B407,Elements!$A$2:$B$435,2,0)</f>
        <v>224</v>
      </c>
      <c r="D407">
        <v>4</v>
      </c>
      <c r="E407" t="str">
        <f>VLOOKUP(D407,Categories!$A$2:$B$8,2,0)</f>
        <v>Sourcing</v>
      </c>
      <c r="F407">
        <v>18</v>
      </c>
      <c r="G407" t="str">
        <f>VLOOKUP(F407,Subcategories!$A$2:$B$29,2,0)</f>
        <v>Execution</v>
      </c>
      <c r="H407" t="str">
        <f t="shared" si="6"/>
        <v>4-18-224</v>
      </c>
      <c r="I407">
        <f>VLOOKUP(H407,SuiteCatSubElem!$F$2:$G$666,2,0)</f>
        <v>375</v>
      </c>
      <c r="J407">
        <v>1</v>
      </c>
      <c r="K407">
        <v>224</v>
      </c>
      <c r="M407" t="s">
        <v>50</v>
      </c>
      <c r="N407" s="60">
        <v>43101</v>
      </c>
      <c r="O407" t="s">
        <v>50</v>
      </c>
      <c r="P407">
        <v>132</v>
      </c>
      <c r="Q407" t="s">
        <v>1358</v>
      </c>
      <c r="R407" s="113" t="s">
        <v>800</v>
      </c>
      <c r="S407" s="113" t="s">
        <v>801</v>
      </c>
    </row>
    <row r="408" spans="1:19" ht="49">
      <c r="A408">
        <v>382</v>
      </c>
      <c r="B408" s="127" t="s">
        <v>270</v>
      </c>
      <c r="C408" s="27">
        <f>VLOOKUP(B408,Elements!$A$2:$B$435,2,0)</f>
        <v>225</v>
      </c>
      <c r="D408">
        <v>4</v>
      </c>
      <c r="E408" t="str">
        <f>VLOOKUP(D408,Categories!$A$2:$B$8,2,0)</f>
        <v>Sourcing</v>
      </c>
      <c r="F408">
        <v>7</v>
      </c>
      <c r="G408" t="str">
        <f>VLOOKUP(F408,Subcategories!$A$2:$B$29,2,0)</f>
        <v>Technology</v>
      </c>
      <c r="H408" t="str">
        <f t="shared" si="6"/>
        <v>4-7-225</v>
      </c>
      <c r="I408">
        <f>VLOOKUP(H408,SuiteCatSubElem!$F$2:$G$666,2,0)</f>
        <v>376</v>
      </c>
      <c r="J408">
        <v>1</v>
      </c>
      <c r="K408">
        <v>225</v>
      </c>
      <c r="M408" t="s">
        <v>50</v>
      </c>
      <c r="N408" s="60">
        <v>43101</v>
      </c>
      <c r="O408" t="s">
        <v>50</v>
      </c>
      <c r="P408">
        <v>133</v>
      </c>
      <c r="Q408" t="s">
        <v>1358</v>
      </c>
      <c r="R408" s="102" t="s">
        <v>802</v>
      </c>
      <c r="S408" s="113" t="s">
        <v>1189</v>
      </c>
    </row>
    <row r="409" spans="1:19" ht="49">
      <c r="A409">
        <v>576</v>
      </c>
      <c r="B409" s="127" t="s">
        <v>270</v>
      </c>
      <c r="C409" s="27">
        <f>VLOOKUP(B409,Elements!$A$2:$B$435,2,0)</f>
        <v>225</v>
      </c>
      <c r="D409">
        <v>6</v>
      </c>
      <c r="E409" t="str">
        <f>VLOOKUP(D409,Categories!$A$2:$B$8,2,0)</f>
        <v>SXM</v>
      </c>
      <c r="F409">
        <v>7</v>
      </c>
      <c r="G409" t="str">
        <f>VLOOKUP(F409,Subcategories!$A$2:$B$29,2,0)</f>
        <v>Technology</v>
      </c>
      <c r="H409" t="str">
        <f t="shared" si="6"/>
        <v>6-7-225</v>
      </c>
      <c r="I409">
        <f>VLOOKUP(H409,SuiteCatSubElem!$F$2:$G$666,2,0)</f>
        <v>570</v>
      </c>
      <c r="J409">
        <v>1</v>
      </c>
      <c r="K409">
        <v>225</v>
      </c>
      <c r="M409" t="s">
        <v>50</v>
      </c>
      <c r="N409" s="60">
        <v>43101</v>
      </c>
      <c r="O409" t="s">
        <v>50</v>
      </c>
      <c r="P409">
        <v>77</v>
      </c>
      <c r="Q409" t="s">
        <v>1358</v>
      </c>
      <c r="R409" s="102" t="s">
        <v>802</v>
      </c>
      <c r="S409" s="109" t="s">
        <v>1189</v>
      </c>
    </row>
    <row r="410" spans="1:19" ht="85">
      <c r="A410">
        <v>383</v>
      </c>
      <c r="B410" s="108" t="s">
        <v>351</v>
      </c>
      <c r="C410" s="27">
        <f>VLOOKUP(B410,Elements!$A$2:$B$435,2,0)</f>
        <v>226</v>
      </c>
      <c r="D410">
        <v>4</v>
      </c>
      <c r="E410" t="str">
        <f>VLOOKUP(D410,Categories!$A$2:$B$8,2,0)</f>
        <v>Sourcing</v>
      </c>
      <c r="F410">
        <v>7</v>
      </c>
      <c r="G410" t="str">
        <f>VLOOKUP(F410,Subcategories!$A$2:$B$29,2,0)</f>
        <v>Technology</v>
      </c>
      <c r="H410" t="str">
        <f t="shared" si="6"/>
        <v>4-7-226</v>
      </c>
      <c r="I410">
        <f>VLOOKUP(H410,SuiteCatSubElem!$F$2:$G$666,2,0)</f>
        <v>377</v>
      </c>
      <c r="J410">
        <v>1</v>
      </c>
      <c r="K410">
        <v>226</v>
      </c>
      <c r="M410" t="s">
        <v>50</v>
      </c>
      <c r="N410" s="60">
        <v>43101</v>
      </c>
      <c r="O410" t="s">
        <v>50</v>
      </c>
      <c r="P410">
        <v>134</v>
      </c>
      <c r="Q410" t="s">
        <v>1358</v>
      </c>
      <c r="R410" s="113" t="s">
        <v>1069</v>
      </c>
      <c r="S410" s="113" t="s">
        <v>1070</v>
      </c>
    </row>
    <row r="411" spans="1:19" ht="85">
      <c r="A411">
        <v>474</v>
      </c>
      <c r="B411" s="131" t="s">
        <v>351</v>
      </c>
      <c r="C411" s="27">
        <f>VLOOKUP(B411,Elements!$A$2:$B$435,2,0)</f>
        <v>226</v>
      </c>
      <c r="D411">
        <v>5</v>
      </c>
      <c r="E411" t="str">
        <f>VLOOKUP(D411,Categories!$A$2:$B$8,2,0)</f>
        <v>SA</v>
      </c>
      <c r="F411">
        <v>7</v>
      </c>
      <c r="G411" t="str">
        <f>VLOOKUP(F411,Subcategories!$A$2:$B$29,2,0)</f>
        <v>Technology</v>
      </c>
      <c r="H411" t="str">
        <f t="shared" si="6"/>
        <v>5-7-226</v>
      </c>
      <c r="I411">
        <f>VLOOKUP(H411,SuiteCatSubElem!$F$2:$G$666,2,0)</f>
        <v>468</v>
      </c>
      <c r="J411">
        <v>1</v>
      </c>
      <c r="K411">
        <v>226</v>
      </c>
      <c r="M411" t="s">
        <v>50</v>
      </c>
      <c r="N411" s="60">
        <v>43101</v>
      </c>
      <c r="O411" t="s">
        <v>50</v>
      </c>
      <c r="P411">
        <v>60</v>
      </c>
      <c r="Q411" t="s">
        <v>1358</v>
      </c>
      <c r="R411" s="113" t="s">
        <v>1069</v>
      </c>
      <c r="S411" s="113" t="s">
        <v>1070</v>
      </c>
    </row>
    <row r="412" spans="1:19" ht="85">
      <c r="A412">
        <v>577</v>
      </c>
      <c r="B412" s="127" t="s">
        <v>351</v>
      </c>
      <c r="C412" s="27">
        <f>VLOOKUP(B412,Elements!$A$2:$B$435,2,0)</f>
        <v>226</v>
      </c>
      <c r="D412">
        <v>6</v>
      </c>
      <c r="E412" t="str">
        <f>VLOOKUP(D412,Categories!$A$2:$B$8,2,0)</f>
        <v>SXM</v>
      </c>
      <c r="F412">
        <v>7</v>
      </c>
      <c r="G412" t="str">
        <f>VLOOKUP(F412,Subcategories!$A$2:$B$29,2,0)</f>
        <v>Technology</v>
      </c>
      <c r="H412" t="str">
        <f t="shared" si="6"/>
        <v>6-7-226</v>
      </c>
      <c r="I412">
        <f>VLOOKUP(H412,SuiteCatSubElem!$F$2:$G$666,2,0)</f>
        <v>571</v>
      </c>
      <c r="J412">
        <v>1</v>
      </c>
      <c r="K412">
        <v>226</v>
      </c>
      <c r="M412" t="s">
        <v>50</v>
      </c>
      <c r="N412" s="60">
        <v>43101</v>
      </c>
      <c r="O412" t="s">
        <v>50</v>
      </c>
      <c r="P412">
        <v>78</v>
      </c>
      <c r="Q412" t="s">
        <v>1358</v>
      </c>
      <c r="R412" s="113" t="s">
        <v>1069</v>
      </c>
      <c r="S412" s="113" t="s">
        <v>1070</v>
      </c>
    </row>
    <row r="413" spans="1:19" ht="85">
      <c r="A413">
        <v>650</v>
      </c>
      <c r="B413" s="131" t="s">
        <v>351</v>
      </c>
      <c r="C413" s="27">
        <f>VLOOKUP(B413,Elements!$A$2:$B$435,2,0)</f>
        <v>226</v>
      </c>
      <c r="D413" s="53">
        <v>7</v>
      </c>
      <c r="E413" t="str">
        <f>VLOOKUP(D413,Categories!$A$2:$B$8,2,0)</f>
        <v>CLM</v>
      </c>
      <c r="F413">
        <v>7</v>
      </c>
      <c r="G413" t="str">
        <f>VLOOKUP(F413,Subcategories!$A$2:$B$29,2,0)</f>
        <v>Technology</v>
      </c>
      <c r="H413" t="str">
        <f t="shared" si="6"/>
        <v>7-7-226</v>
      </c>
      <c r="I413">
        <f>VLOOKUP(H413,SuiteCatSubElem!$F$2:$G$666,2,0)</f>
        <v>641</v>
      </c>
      <c r="J413" s="53">
        <v>1</v>
      </c>
      <c r="K413">
        <v>226</v>
      </c>
      <c r="L413" s="53"/>
      <c r="M413" t="s">
        <v>50</v>
      </c>
      <c r="N413" s="60">
        <v>43101</v>
      </c>
      <c r="O413" t="s">
        <v>50</v>
      </c>
      <c r="P413">
        <v>47</v>
      </c>
      <c r="Q413" t="s">
        <v>1358</v>
      </c>
      <c r="R413" s="113" t="s">
        <v>1069</v>
      </c>
      <c r="S413" s="102" t="s">
        <v>1070</v>
      </c>
    </row>
    <row r="414" spans="1:19" s="4" customFormat="1" ht="50" thickBot="1">
      <c r="A414">
        <v>385</v>
      </c>
      <c r="B414" s="137" t="s">
        <v>272</v>
      </c>
      <c r="C414" s="27">
        <f>VLOOKUP(B414,Elements!$A$2:$B$435,2,0)</f>
        <v>227</v>
      </c>
      <c r="D414" s="4">
        <v>4</v>
      </c>
      <c r="E414" t="str">
        <f>VLOOKUP(D414,Categories!$A$2:$B$8,2,0)</f>
        <v>Sourcing</v>
      </c>
      <c r="F414">
        <v>7</v>
      </c>
      <c r="G414" t="str">
        <f>VLOOKUP(F414,Subcategories!$A$2:$B$29,2,0)</f>
        <v>Technology</v>
      </c>
      <c r="H414" t="str">
        <f t="shared" si="6"/>
        <v>4-7-227</v>
      </c>
      <c r="I414">
        <f>VLOOKUP(H414,SuiteCatSubElem!$F$2:$G$666,2,0)</f>
        <v>379</v>
      </c>
      <c r="J414" s="4">
        <v>1</v>
      </c>
      <c r="K414">
        <v>227</v>
      </c>
      <c r="M414" t="s">
        <v>50</v>
      </c>
      <c r="N414" s="60">
        <v>43101</v>
      </c>
      <c r="O414" t="s">
        <v>50</v>
      </c>
      <c r="P414">
        <v>136</v>
      </c>
      <c r="Q414" t="s">
        <v>1358</v>
      </c>
      <c r="R414" s="113" t="s">
        <v>807</v>
      </c>
      <c r="S414" s="122" t="s">
        <v>808</v>
      </c>
    </row>
    <row r="415" spans="1:19" ht="25">
      <c r="A415">
        <v>386</v>
      </c>
      <c r="B415" s="127" t="s">
        <v>273</v>
      </c>
      <c r="C415" s="27">
        <f>VLOOKUP(B415,Elements!$A$2:$B$435,2,0)</f>
        <v>228</v>
      </c>
      <c r="D415">
        <v>4</v>
      </c>
      <c r="E415" t="str">
        <f>VLOOKUP(D415,Categories!$A$2:$B$8,2,0)</f>
        <v>Sourcing</v>
      </c>
      <c r="F415">
        <v>7</v>
      </c>
      <c r="G415" t="str">
        <f>VLOOKUP(F415,Subcategories!$A$2:$B$29,2,0)</f>
        <v>Technology</v>
      </c>
      <c r="H415" t="str">
        <f t="shared" si="6"/>
        <v>4-7-228</v>
      </c>
      <c r="I415">
        <f>VLOOKUP(H415,SuiteCatSubElem!$F$2:$G$666,2,0)</f>
        <v>380</v>
      </c>
      <c r="J415">
        <v>1</v>
      </c>
      <c r="K415">
        <v>228</v>
      </c>
      <c r="M415" t="s">
        <v>50</v>
      </c>
      <c r="N415" s="60">
        <v>43101</v>
      </c>
      <c r="O415" t="s">
        <v>50</v>
      </c>
      <c r="P415">
        <v>137</v>
      </c>
      <c r="Q415" t="s">
        <v>1358</v>
      </c>
      <c r="R415" s="102" t="s">
        <v>809</v>
      </c>
      <c r="S415" s="113" t="s">
        <v>810</v>
      </c>
    </row>
    <row r="416" spans="1:19" ht="37">
      <c r="A416">
        <v>387</v>
      </c>
      <c r="B416" s="127" t="s">
        <v>274</v>
      </c>
      <c r="C416" s="27">
        <f>VLOOKUP(B416,Elements!$A$2:$B$435,2,0)</f>
        <v>229</v>
      </c>
      <c r="D416">
        <v>4</v>
      </c>
      <c r="E416" t="str">
        <f>VLOOKUP(D416,Categories!$A$2:$B$8,2,0)</f>
        <v>Sourcing</v>
      </c>
      <c r="F416">
        <v>7</v>
      </c>
      <c r="G416" t="str">
        <f>VLOOKUP(F416,Subcategories!$A$2:$B$29,2,0)</f>
        <v>Technology</v>
      </c>
      <c r="H416" t="str">
        <f t="shared" si="6"/>
        <v>4-7-229</v>
      </c>
      <c r="I416">
        <f>VLOOKUP(H416,SuiteCatSubElem!$F$2:$G$666,2,0)</f>
        <v>381</v>
      </c>
      <c r="J416">
        <v>1</v>
      </c>
      <c r="K416">
        <v>229</v>
      </c>
      <c r="M416" t="s">
        <v>50</v>
      </c>
      <c r="N416" s="60">
        <v>43101</v>
      </c>
      <c r="O416" t="s">
        <v>50</v>
      </c>
      <c r="P416">
        <v>138</v>
      </c>
      <c r="Q416" t="s">
        <v>1358</v>
      </c>
      <c r="R416" s="102" t="s">
        <v>811</v>
      </c>
      <c r="S416" s="113" t="s">
        <v>812</v>
      </c>
    </row>
    <row r="417" spans="1:19" ht="37">
      <c r="A417">
        <v>389</v>
      </c>
      <c r="B417" s="127" t="s">
        <v>275</v>
      </c>
      <c r="C417" s="27">
        <f>VLOOKUP(B417,Elements!$A$2:$B$435,2,0)</f>
        <v>230</v>
      </c>
      <c r="D417">
        <v>4</v>
      </c>
      <c r="E417" t="str">
        <f>VLOOKUP(D417,Categories!$A$2:$B$8,2,0)</f>
        <v>Sourcing</v>
      </c>
      <c r="F417">
        <v>7</v>
      </c>
      <c r="G417" t="str">
        <f>VLOOKUP(F417,Subcategories!$A$2:$B$29,2,0)</f>
        <v>Technology</v>
      </c>
      <c r="H417" t="str">
        <f t="shared" si="6"/>
        <v>4-7-230</v>
      </c>
      <c r="I417">
        <f>VLOOKUP(H417,SuiteCatSubElem!$F$2:$G$666,2,0)</f>
        <v>383</v>
      </c>
      <c r="J417">
        <v>1</v>
      </c>
      <c r="K417">
        <v>230</v>
      </c>
      <c r="M417" t="s">
        <v>50</v>
      </c>
      <c r="N417" s="60">
        <v>43101</v>
      </c>
      <c r="O417" t="s">
        <v>50</v>
      </c>
      <c r="P417">
        <v>140</v>
      </c>
      <c r="Q417" t="s">
        <v>1358</v>
      </c>
      <c r="R417" s="102" t="s">
        <v>815</v>
      </c>
      <c r="S417" s="113" t="s">
        <v>816</v>
      </c>
    </row>
    <row r="418" spans="1:19" ht="37">
      <c r="A418">
        <v>392</v>
      </c>
      <c r="B418" s="127" t="s">
        <v>276</v>
      </c>
      <c r="C418" s="27">
        <f>VLOOKUP(B418,Elements!$A$2:$B$435,2,0)</f>
        <v>231</v>
      </c>
      <c r="D418">
        <v>4</v>
      </c>
      <c r="E418" t="str">
        <f>VLOOKUP(D418,Categories!$A$2:$B$8,2,0)</f>
        <v>Sourcing</v>
      </c>
      <c r="F418">
        <v>7</v>
      </c>
      <c r="G418" t="str">
        <f>VLOOKUP(F418,Subcategories!$A$2:$B$29,2,0)</f>
        <v>Technology</v>
      </c>
      <c r="H418" t="str">
        <f t="shared" si="6"/>
        <v>4-7-231</v>
      </c>
      <c r="I418">
        <f>VLOOKUP(H418,SuiteCatSubElem!$F$2:$G$666,2,0)</f>
        <v>386</v>
      </c>
      <c r="J418">
        <v>1</v>
      </c>
      <c r="K418">
        <v>231</v>
      </c>
      <c r="M418" t="s">
        <v>50</v>
      </c>
      <c r="N418" s="60">
        <v>43101</v>
      </c>
      <c r="O418" t="s">
        <v>50</v>
      </c>
      <c r="P418">
        <v>143</v>
      </c>
      <c r="Q418" t="s">
        <v>1358</v>
      </c>
      <c r="R418" s="102" t="s">
        <v>1083</v>
      </c>
      <c r="S418" s="113" t="s">
        <v>1084</v>
      </c>
    </row>
    <row r="419" spans="1:19" ht="37">
      <c r="A419">
        <v>666</v>
      </c>
      <c r="B419" s="131" t="s">
        <v>276</v>
      </c>
      <c r="C419" s="27">
        <f>VLOOKUP(B419,Elements!$A$2:$B$435,2,0)</f>
        <v>231</v>
      </c>
      <c r="D419">
        <v>7</v>
      </c>
      <c r="E419" t="str">
        <f>VLOOKUP(D419,Categories!$A$2:$B$8,2,0)</f>
        <v>CLM</v>
      </c>
      <c r="F419">
        <v>7</v>
      </c>
      <c r="G419" t="str">
        <f>VLOOKUP(F419,Subcategories!$A$2:$B$29,2,0)</f>
        <v>Technology</v>
      </c>
      <c r="H419" t="str">
        <f t="shared" si="6"/>
        <v>7-7-231</v>
      </c>
      <c r="I419">
        <f>VLOOKUP(H419,SuiteCatSubElem!$F$2:$G$666,2,0)</f>
        <v>657</v>
      </c>
      <c r="J419">
        <v>1</v>
      </c>
      <c r="K419">
        <v>231</v>
      </c>
      <c r="M419" t="s">
        <v>50</v>
      </c>
      <c r="N419" s="60">
        <v>43101</v>
      </c>
      <c r="O419" t="s">
        <v>50</v>
      </c>
      <c r="P419">
        <v>63</v>
      </c>
      <c r="Q419" t="s">
        <v>1358</v>
      </c>
      <c r="R419" s="102" t="s">
        <v>1083</v>
      </c>
      <c r="S419" s="113" t="s">
        <v>1084</v>
      </c>
    </row>
    <row r="420" spans="1:19" ht="37">
      <c r="A420">
        <v>393</v>
      </c>
      <c r="B420" s="127" t="s">
        <v>277</v>
      </c>
      <c r="C420" s="27">
        <f>VLOOKUP(B420,Elements!$A$2:$B$435,2,0)</f>
        <v>232</v>
      </c>
      <c r="D420">
        <v>4</v>
      </c>
      <c r="E420" t="str">
        <f>VLOOKUP(D420,Categories!$A$2:$B$8,2,0)</f>
        <v>Sourcing</v>
      </c>
      <c r="F420">
        <v>7</v>
      </c>
      <c r="G420" t="str">
        <f>VLOOKUP(F420,Subcategories!$A$2:$B$29,2,0)</f>
        <v>Technology</v>
      </c>
      <c r="H420" t="str">
        <f t="shared" si="6"/>
        <v>4-7-232</v>
      </c>
      <c r="I420">
        <f>VLOOKUP(H420,SuiteCatSubElem!$F$2:$G$666,2,0)</f>
        <v>387</v>
      </c>
      <c r="J420">
        <v>1</v>
      </c>
      <c r="K420">
        <v>232</v>
      </c>
      <c r="M420" t="s">
        <v>50</v>
      </c>
      <c r="N420" s="60">
        <v>43101</v>
      </c>
      <c r="O420" t="s">
        <v>50</v>
      </c>
      <c r="P420">
        <v>144</v>
      </c>
      <c r="Q420" t="s">
        <v>1358</v>
      </c>
      <c r="R420" s="113" t="s">
        <v>1085</v>
      </c>
      <c r="S420" s="113" t="s">
        <v>1086</v>
      </c>
    </row>
    <row r="421" spans="1:19" ht="37">
      <c r="A421">
        <v>667</v>
      </c>
      <c r="B421" s="131" t="s">
        <v>277</v>
      </c>
      <c r="C421" s="27">
        <f>VLOOKUP(B421,Elements!$A$2:$B$435,2,0)</f>
        <v>232</v>
      </c>
      <c r="D421">
        <v>7</v>
      </c>
      <c r="E421" t="str">
        <f>VLOOKUP(D421,Categories!$A$2:$B$8,2,0)</f>
        <v>CLM</v>
      </c>
      <c r="F421">
        <v>7</v>
      </c>
      <c r="G421" t="str">
        <f>VLOOKUP(F421,Subcategories!$A$2:$B$29,2,0)</f>
        <v>Technology</v>
      </c>
      <c r="H421" t="str">
        <f t="shared" si="6"/>
        <v>7-7-232</v>
      </c>
      <c r="I421">
        <f>VLOOKUP(H421,SuiteCatSubElem!$F$2:$G$666,2,0)</f>
        <v>658</v>
      </c>
      <c r="J421">
        <v>1</v>
      </c>
      <c r="K421">
        <v>232</v>
      </c>
      <c r="M421" t="s">
        <v>50</v>
      </c>
      <c r="N421" s="60">
        <v>43101</v>
      </c>
      <c r="O421" t="s">
        <v>50</v>
      </c>
      <c r="P421">
        <v>64</v>
      </c>
      <c r="Q421" t="s">
        <v>1358</v>
      </c>
      <c r="R421" s="113" t="s">
        <v>1085</v>
      </c>
      <c r="S421" s="113" t="s">
        <v>1086</v>
      </c>
    </row>
    <row r="422" spans="1:19">
      <c r="A422">
        <v>394</v>
      </c>
      <c r="B422" s="127" t="s">
        <v>278</v>
      </c>
      <c r="C422" s="27">
        <f>VLOOKUP(B422,Elements!$A$2:$B$435,2,0)</f>
        <v>233</v>
      </c>
      <c r="D422">
        <v>4</v>
      </c>
      <c r="E422" t="str">
        <f>VLOOKUP(D422,Categories!$A$2:$B$8,2,0)</f>
        <v>Sourcing</v>
      </c>
      <c r="F422">
        <v>7</v>
      </c>
      <c r="G422" t="str">
        <f>VLOOKUP(F422,Subcategories!$A$2:$B$29,2,0)</f>
        <v>Technology</v>
      </c>
      <c r="H422" t="str">
        <f t="shared" si="6"/>
        <v>4-7-233</v>
      </c>
      <c r="I422">
        <f>VLOOKUP(H422,SuiteCatSubElem!$F$2:$G$666,2,0)</f>
        <v>388</v>
      </c>
      <c r="J422">
        <v>1</v>
      </c>
      <c r="K422">
        <v>233</v>
      </c>
      <c r="M422" t="s">
        <v>50</v>
      </c>
      <c r="N422" s="60">
        <v>43101</v>
      </c>
      <c r="O422" t="s">
        <v>50</v>
      </c>
      <c r="P422">
        <v>145</v>
      </c>
      <c r="Q422" t="s">
        <v>1358</v>
      </c>
      <c r="R422" s="113" t="s">
        <v>1087</v>
      </c>
      <c r="S422" s="113" t="s">
        <v>826</v>
      </c>
    </row>
    <row r="423" spans="1:19">
      <c r="A423">
        <v>668</v>
      </c>
      <c r="B423" s="131" t="s">
        <v>278</v>
      </c>
      <c r="C423" s="27">
        <f>VLOOKUP(B423,Elements!$A$2:$B$435,2,0)</f>
        <v>233</v>
      </c>
      <c r="D423">
        <v>7</v>
      </c>
      <c r="E423" t="str">
        <f>VLOOKUP(D423,Categories!$A$2:$B$8,2,0)</f>
        <v>CLM</v>
      </c>
      <c r="F423">
        <v>7</v>
      </c>
      <c r="G423" t="str">
        <f>VLOOKUP(F423,Subcategories!$A$2:$B$29,2,0)</f>
        <v>Technology</v>
      </c>
      <c r="H423" t="str">
        <f t="shared" si="6"/>
        <v>7-7-233</v>
      </c>
      <c r="I423">
        <f>VLOOKUP(H423,SuiteCatSubElem!$F$2:$G$666,2,0)</f>
        <v>659</v>
      </c>
      <c r="J423">
        <v>1</v>
      </c>
      <c r="K423">
        <v>233</v>
      </c>
      <c r="M423" t="s">
        <v>50</v>
      </c>
      <c r="N423" s="60">
        <v>43101</v>
      </c>
      <c r="O423" t="s">
        <v>50</v>
      </c>
      <c r="P423">
        <v>65</v>
      </c>
      <c r="Q423" t="s">
        <v>1358</v>
      </c>
      <c r="R423" s="113" t="s">
        <v>1087</v>
      </c>
      <c r="S423" s="113" t="s">
        <v>826</v>
      </c>
    </row>
    <row r="424" spans="1:19" ht="30">
      <c r="A424">
        <v>395</v>
      </c>
      <c r="B424" s="127" t="s">
        <v>279</v>
      </c>
      <c r="C424" s="27">
        <f>VLOOKUP(B424,Elements!$A$2:$B$435,2,0)</f>
        <v>234</v>
      </c>
      <c r="D424">
        <v>4</v>
      </c>
      <c r="E424" t="str">
        <f>VLOOKUP(D424,Categories!$A$2:$B$8,2,0)</f>
        <v>Sourcing</v>
      </c>
      <c r="F424">
        <v>7</v>
      </c>
      <c r="G424" t="str">
        <f>VLOOKUP(F424,Subcategories!$A$2:$B$29,2,0)</f>
        <v>Technology</v>
      </c>
      <c r="H424" t="str">
        <f t="shared" si="6"/>
        <v>4-7-234</v>
      </c>
      <c r="I424">
        <f>VLOOKUP(H424,SuiteCatSubElem!$F$2:$G$666,2,0)</f>
        <v>389</v>
      </c>
      <c r="J424">
        <v>1</v>
      </c>
      <c r="K424">
        <v>234</v>
      </c>
      <c r="M424" t="s">
        <v>50</v>
      </c>
      <c r="N424" s="60">
        <v>43101</v>
      </c>
      <c r="O424" t="s">
        <v>50</v>
      </c>
      <c r="P424">
        <v>146</v>
      </c>
      <c r="Q424" t="s">
        <v>1358</v>
      </c>
      <c r="R424" s="102" t="s">
        <v>827</v>
      </c>
      <c r="S424" s="113" t="s">
        <v>828</v>
      </c>
    </row>
    <row r="425" spans="1:19" ht="30">
      <c r="A425">
        <v>588</v>
      </c>
      <c r="B425" s="127" t="s">
        <v>279</v>
      </c>
      <c r="C425" s="27">
        <f>VLOOKUP(B425,Elements!$A$2:$B$435,2,0)</f>
        <v>234</v>
      </c>
      <c r="D425">
        <v>6</v>
      </c>
      <c r="E425" t="str">
        <f>VLOOKUP(D425,Categories!$A$2:$B$8,2,0)</f>
        <v>SXM</v>
      </c>
      <c r="F425">
        <v>7</v>
      </c>
      <c r="G425" t="str">
        <f>VLOOKUP(F425,Subcategories!$A$2:$B$29,2,0)</f>
        <v>Technology</v>
      </c>
      <c r="H425" t="str">
        <f t="shared" si="6"/>
        <v>6-7-234</v>
      </c>
      <c r="I425">
        <f>VLOOKUP(H425,SuiteCatSubElem!$F$2:$G$666,2,0)</f>
        <v>582</v>
      </c>
      <c r="J425">
        <v>1</v>
      </c>
      <c r="K425">
        <v>234</v>
      </c>
      <c r="M425" t="s">
        <v>50</v>
      </c>
      <c r="N425" s="60">
        <v>43101</v>
      </c>
      <c r="O425" t="s">
        <v>50</v>
      </c>
      <c r="P425">
        <v>89</v>
      </c>
      <c r="Q425" t="s">
        <v>1358</v>
      </c>
      <c r="R425" s="102" t="s">
        <v>827</v>
      </c>
      <c r="S425" s="113" t="s">
        <v>828</v>
      </c>
    </row>
    <row r="426" spans="1:19" ht="73">
      <c r="A426">
        <v>396</v>
      </c>
      <c r="B426" s="127" t="s">
        <v>280</v>
      </c>
      <c r="C426" s="27">
        <f>VLOOKUP(B426,Elements!$A$2:$B$435,2,0)</f>
        <v>235</v>
      </c>
      <c r="D426">
        <v>4</v>
      </c>
      <c r="E426" t="str">
        <f>VLOOKUP(D426,Categories!$A$2:$B$8,2,0)</f>
        <v>Sourcing</v>
      </c>
      <c r="F426">
        <v>6</v>
      </c>
      <c r="G426" t="str">
        <f>VLOOKUP(F426,Subcategories!$A$2:$B$29,2,0)</f>
        <v>Configurability</v>
      </c>
      <c r="H426" t="str">
        <f t="shared" si="6"/>
        <v>4-6-235</v>
      </c>
      <c r="I426">
        <f>VLOOKUP(H426,SuiteCatSubElem!$F$2:$G$666,2,0)</f>
        <v>390</v>
      </c>
      <c r="J426">
        <v>1</v>
      </c>
      <c r="K426">
        <v>235</v>
      </c>
      <c r="M426" t="s">
        <v>50</v>
      </c>
      <c r="N426" s="60">
        <v>43101</v>
      </c>
      <c r="O426" t="s">
        <v>50</v>
      </c>
      <c r="P426">
        <v>147</v>
      </c>
      <c r="Q426" t="s">
        <v>1358</v>
      </c>
      <c r="R426" s="113" t="s">
        <v>829</v>
      </c>
      <c r="S426" s="113" t="s">
        <v>830</v>
      </c>
    </row>
    <row r="427" spans="1:19" ht="37">
      <c r="A427">
        <v>397</v>
      </c>
      <c r="B427" s="127" t="s">
        <v>281</v>
      </c>
      <c r="C427" s="27">
        <f>VLOOKUP(B427,Elements!$A$2:$B$435,2,0)</f>
        <v>236</v>
      </c>
      <c r="D427">
        <v>4</v>
      </c>
      <c r="E427" t="str">
        <f>VLOOKUP(D427,Categories!$A$2:$B$8,2,0)</f>
        <v>Sourcing</v>
      </c>
      <c r="F427">
        <v>6</v>
      </c>
      <c r="G427" t="str">
        <f>VLOOKUP(F427,Subcategories!$A$2:$B$29,2,0)</f>
        <v>Configurability</v>
      </c>
      <c r="H427" t="str">
        <f t="shared" si="6"/>
        <v>4-6-236</v>
      </c>
      <c r="I427">
        <f>VLOOKUP(H427,SuiteCatSubElem!$F$2:$G$666,2,0)</f>
        <v>391</v>
      </c>
      <c r="J427">
        <v>1</v>
      </c>
      <c r="K427">
        <v>236</v>
      </c>
      <c r="M427" t="s">
        <v>50</v>
      </c>
      <c r="N427" s="60">
        <v>43101</v>
      </c>
      <c r="O427" t="s">
        <v>50</v>
      </c>
      <c r="P427">
        <v>148</v>
      </c>
      <c r="Q427" t="s">
        <v>1358</v>
      </c>
      <c r="R427" s="113" t="s">
        <v>831</v>
      </c>
      <c r="S427" s="113" t="s">
        <v>832</v>
      </c>
    </row>
    <row r="428" spans="1:19" ht="37">
      <c r="A428">
        <v>398</v>
      </c>
      <c r="B428" s="127" t="s">
        <v>282</v>
      </c>
      <c r="C428" s="27">
        <f>VLOOKUP(B428,Elements!$A$2:$B$435,2,0)</f>
        <v>237</v>
      </c>
      <c r="D428">
        <v>4</v>
      </c>
      <c r="E428" t="str">
        <f>VLOOKUP(D428,Categories!$A$2:$B$8,2,0)</f>
        <v>Sourcing</v>
      </c>
      <c r="F428">
        <v>6</v>
      </c>
      <c r="G428" t="str">
        <f>VLOOKUP(F428,Subcategories!$A$2:$B$29,2,0)</f>
        <v>Configurability</v>
      </c>
      <c r="H428" t="str">
        <f t="shared" si="6"/>
        <v>4-6-237</v>
      </c>
      <c r="I428">
        <f>VLOOKUP(H428,SuiteCatSubElem!$F$2:$G$666,2,0)</f>
        <v>392</v>
      </c>
      <c r="J428">
        <v>1</v>
      </c>
      <c r="K428">
        <v>237</v>
      </c>
      <c r="M428" t="s">
        <v>50</v>
      </c>
      <c r="N428" s="60">
        <v>43101</v>
      </c>
      <c r="O428" t="s">
        <v>50</v>
      </c>
      <c r="P428">
        <v>149</v>
      </c>
      <c r="Q428" t="s">
        <v>1358</v>
      </c>
      <c r="R428" s="102" t="s">
        <v>833</v>
      </c>
      <c r="S428" s="113" t="s">
        <v>834</v>
      </c>
    </row>
    <row r="429" spans="1:19" ht="37">
      <c r="A429">
        <v>399</v>
      </c>
      <c r="B429" s="127" t="s">
        <v>283</v>
      </c>
      <c r="C429" s="27">
        <f>VLOOKUP(B429,Elements!$A$2:$B$435,2,0)</f>
        <v>238</v>
      </c>
      <c r="D429">
        <v>4</v>
      </c>
      <c r="E429" t="str">
        <f>VLOOKUP(D429,Categories!$A$2:$B$8,2,0)</f>
        <v>Sourcing</v>
      </c>
      <c r="F429">
        <v>6</v>
      </c>
      <c r="G429" t="str">
        <f>VLOOKUP(F429,Subcategories!$A$2:$B$29,2,0)</f>
        <v>Configurability</v>
      </c>
      <c r="H429" t="str">
        <f t="shared" si="6"/>
        <v>4-6-238</v>
      </c>
      <c r="I429">
        <f>VLOOKUP(H429,SuiteCatSubElem!$F$2:$G$666,2,0)</f>
        <v>393</v>
      </c>
      <c r="J429">
        <v>1</v>
      </c>
      <c r="K429">
        <v>238</v>
      </c>
      <c r="M429" t="s">
        <v>50</v>
      </c>
      <c r="N429" s="60">
        <v>43101</v>
      </c>
      <c r="O429" t="s">
        <v>50</v>
      </c>
      <c r="P429">
        <v>150</v>
      </c>
      <c r="Q429" t="s">
        <v>1358</v>
      </c>
      <c r="R429" s="113" t="s">
        <v>835</v>
      </c>
      <c r="S429" s="113" t="s">
        <v>836</v>
      </c>
    </row>
    <row r="430" spans="1:19" ht="37">
      <c r="A430">
        <v>400</v>
      </c>
      <c r="B430" s="127" t="s">
        <v>284</v>
      </c>
      <c r="C430" s="27">
        <f>VLOOKUP(B430,Elements!$A$2:$B$435,2,0)</f>
        <v>239</v>
      </c>
      <c r="D430">
        <v>4</v>
      </c>
      <c r="E430" t="str">
        <f>VLOOKUP(D430,Categories!$A$2:$B$8,2,0)</f>
        <v>Sourcing</v>
      </c>
      <c r="F430">
        <v>6</v>
      </c>
      <c r="G430" t="str">
        <f>VLOOKUP(F430,Subcategories!$A$2:$B$29,2,0)</f>
        <v>Configurability</v>
      </c>
      <c r="H430" t="str">
        <f t="shared" si="6"/>
        <v>4-6-239</v>
      </c>
      <c r="I430">
        <f>VLOOKUP(H430,SuiteCatSubElem!$F$2:$G$666,2,0)</f>
        <v>394</v>
      </c>
      <c r="J430">
        <v>1</v>
      </c>
      <c r="K430">
        <v>239</v>
      </c>
      <c r="M430" t="s">
        <v>50</v>
      </c>
      <c r="N430" s="60">
        <v>43101</v>
      </c>
      <c r="O430" t="s">
        <v>50</v>
      </c>
      <c r="P430">
        <v>151</v>
      </c>
      <c r="Q430" t="s">
        <v>1358</v>
      </c>
      <c r="R430" s="113" t="s">
        <v>837</v>
      </c>
      <c r="S430" s="113" t="s">
        <v>838</v>
      </c>
    </row>
    <row r="431" spans="1:19" ht="37">
      <c r="A431">
        <v>401</v>
      </c>
      <c r="B431" s="127" t="s">
        <v>285</v>
      </c>
      <c r="C431" s="27">
        <f>VLOOKUP(B431,Elements!$A$2:$B$435,2,0)</f>
        <v>240</v>
      </c>
      <c r="D431">
        <v>4</v>
      </c>
      <c r="E431" t="str">
        <f>VLOOKUP(D431,Categories!$A$2:$B$8,2,0)</f>
        <v>Sourcing</v>
      </c>
      <c r="F431">
        <v>6</v>
      </c>
      <c r="G431" t="str">
        <f>VLOOKUP(F431,Subcategories!$A$2:$B$29,2,0)</f>
        <v>Configurability</v>
      </c>
      <c r="H431" t="str">
        <f t="shared" si="6"/>
        <v>4-6-240</v>
      </c>
      <c r="I431">
        <f>VLOOKUP(H431,SuiteCatSubElem!$F$2:$G$666,2,0)</f>
        <v>395</v>
      </c>
      <c r="J431">
        <v>1</v>
      </c>
      <c r="K431">
        <v>240</v>
      </c>
      <c r="M431" t="s">
        <v>50</v>
      </c>
      <c r="N431" s="60">
        <v>43101</v>
      </c>
      <c r="O431" t="s">
        <v>50</v>
      </c>
      <c r="P431">
        <v>152</v>
      </c>
      <c r="Q431" t="s">
        <v>1358</v>
      </c>
      <c r="R431" s="113" t="s">
        <v>1016</v>
      </c>
      <c r="S431" s="113" t="s">
        <v>840</v>
      </c>
    </row>
    <row r="432" spans="1:19" ht="37">
      <c r="A432">
        <v>491</v>
      </c>
      <c r="B432" s="131" t="s">
        <v>285</v>
      </c>
      <c r="C432" s="27">
        <f>VLOOKUP(B432,Elements!$A$2:$B$435,2,0)</f>
        <v>240</v>
      </c>
      <c r="D432">
        <v>5</v>
      </c>
      <c r="E432" t="str">
        <f>VLOOKUP(D432,Categories!$A$2:$B$8,2,0)</f>
        <v>SA</v>
      </c>
      <c r="F432">
        <v>6</v>
      </c>
      <c r="G432" t="str">
        <f>VLOOKUP(F432,Subcategories!$A$2:$B$29,2,0)</f>
        <v>Configurability</v>
      </c>
      <c r="H432" t="str">
        <f t="shared" si="6"/>
        <v>5-6-240</v>
      </c>
      <c r="I432">
        <f>VLOOKUP(H432,SuiteCatSubElem!$F$2:$G$666,2,0)</f>
        <v>485</v>
      </c>
      <c r="J432">
        <v>1</v>
      </c>
      <c r="K432">
        <v>240</v>
      </c>
      <c r="M432" t="s">
        <v>50</v>
      </c>
      <c r="N432" s="60">
        <v>43101</v>
      </c>
      <c r="O432" t="s">
        <v>50</v>
      </c>
      <c r="P432">
        <v>77</v>
      </c>
      <c r="Q432" t="s">
        <v>1358</v>
      </c>
      <c r="R432" s="113" t="s">
        <v>1016</v>
      </c>
      <c r="S432" s="113" t="s">
        <v>840</v>
      </c>
    </row>
    <row r="433" spans="1:19" ht="37">
      <c r="A433">
        <v>594</v>
      </c>
      <c r="B433" s="127" t="s">
        <v>285</v>
      </c>
      <c r="C433" s="27">
        <f>VLOOKUP(B433,Elements!$A$2:$B$435,2,0)</f>
        <v>240</v>
      </c>
      <c r="D433">
        <v>6</v>
      </c>
      <c r="E433" t="str">
        <f>VLOOKUP(D433,Categories!$A$2:$B$8,2,0)</f>
        <v>SXM</v>
      </c>
      <c r="F433">
        <v>6</v>
      </c>
      <c r="G433" t="str">
        <f>VLOOKUP(F433,Subcategories!$A$2:$B$29,2,0)</f>
        <v>Configurability</v>
      </c>
      <c r="H433" t="str">
        <f t="shared" si="6"/>
        <v>6-6-240</v>
      </c>
      <c r="I433">
        <f>VLOOKUP(H433,SuiteCatSubElem!$F$2:$G$666,2,0)</f>
        <v>588</v>
      </c>
      <c r="J433">
        <v>1</v>
      </c>
      <c r="K433">
        <v>240</v>
      </c>
      <c r="M433" t="s">
        <v>50</v>
      </c>
      <c r="N433" s="60">
        <v>43101</v>
      </c>
      <c r="O433" t="s">
        <v>50</v>
      </c>
      <c r="P433">
        <v>95</v>
      </c>
      <c r="Q433" t="s">
        <v>1358</v>
      </c>
      <c r="R433" s="113" t="s">
        <v>1016</v>
      </c>
      <c r="S433" s="113" t="s">
        <v>840</v>
      </c>
    </row>
    <row r="434" spans="1:19" ht="37">
      <c r="A434">
        <v>671</v>
      </c>
      <c r="B434" s="131" t="s">
        <v>285</v>
      </c>
      <c r="C434" s="27">
        <f>VLOOKUP(B434,Elements!$A$2:$B$435,2,0)</f>
        <v>240</v>
      </c>
      <c r="D434">
        <v>7</v>
      </c>
      <c r="E434" t="str">
        <f>VLOOKUP(D434,Categories!$A$2:$B$8,2,0)</f>
        <v>CLM</v>
      </c>
      <c r="F434">
        <v>6</v>
      </c>
      <c r="G434" t="str">
        <f>VLOOKUP(F434,Subcategories!$A$2:$B$29,2,0)</f>
        <v>Configurability</v>
      </c>
      <c r="H434" t="str">
        <f t="shared" si="6"/>
        <v>7-6-240</v>
      </c>
      <c r="I434">
        <f>VLOOKUP(H434,SuiteCatSubElem!$F$2:$G$666,2,0)</f>
        <v>662</v>
      </c>
      <c r="J434">
        <v>1</v>
      </c>
      <c r="K434">
        <v>240</v>
      </c>
      <c r="M434" t="s">
        <v>50</v>
      </c>
      <c r="N434" s="60">
        <v>43101</v>
      </c>
      <c r="O434" t="s">
        <v>50</v>
      </c>
      <c r="P434">
        <v>68</v>
      </c>
      <c r="Q434" t="s">
        <v>1358</v>
      </c>
      <c r="R434" s="113" t="s">
        <v>1016</v>
      </c>
      <c r="S434" s="113" t="s">
        <v>840</v>
      </c>
    </row>
    <row r="435" spans="1:19" ht="37">
      <c r="A435">
        <v>403</v>
      </c>
      <c r="B435" s="127" t="s">
        <v>287</v>
      </c>
      <c r="C435" s="27">
        <f>VLOOKUP(B435,Elements!$A$2:$B$435,2,0)</f>
        <v>241</v>
      </c>
      <c r="D435">
        <v>4</v>
      </c>
      <c r="E435" t="str">
        <f>VLOOKUP(D435,Categories!$A$2:$B$8,2,0)</f>
        <v>Sourcing</v>
      </c>
      <c r="F435">
        <v>6</v>
      </c>
      <c r="G435" t="str">
        <f>VLOOKUP(F435,Subcategories!$A$2:$B$29,2,0)</f>
        <v>Configurability</v>
      </c>
      <c r="H435" t="str">
        <f t="shared" si="6"/>
        <v>4-6-241</v>
      </c>
      <c r="I435">
        <f>VLOOKUP(H435,SuiteCatSubElem!$F$2:$G$666,2,0)</f>
        <v>397</v>
      </c>
      <c r="J435">
        <v>1</v>
      </c>
      <c r="K435">
        <v>241</v>
      </c>
      <c r="M435" t="s">
        <v>50</v>
      </c>
      <c r="N435" s="60">
        <v>43101</v>
      </c>
      <c r="O435" t="s">
        <v>50</v>
      </c>
      <c r="P435">
        <v>154</v>
      </c>
      <c r="Q435" t="s">
        <v>1358</v>
      </c>
      <c r="R435" s="113" t="s">
        <v>1017</v>
      </c>
      <c r="S435" s="113" t="s">
        <v>844</v>
      </c>
    </row>
    <row r="436" spans="1:19" ht="37">
      <c r="A436">
        <v>493</v>
      </c>
      <c r="B436" s="134" t="s">
        <v>287</v>
      </c>
      <c r="C436" s="27">
        <f>VLOOKUP(B436,Elements!$A$2:$B$435,2,0)</f>
        <v>241</v>
      </c>
      <c r="D436">
        <v>5</v>
      </c>
      <c r="E436" t="str">
        <f>VLOOKUP(D436,Categories!$A$2:$B$8,2,0)</f>
        <v>SA</v>
      </c>
      <c r="F436">
        <v>6</v>
      </c>
      <c r="G436" t="str">
        <f>VLOOKUP(F436,Subcategories!$A$2:$B$29,2,0)</f>
        <v>Configurability</v>
      </c>
      <c r="H436" t="str">
        <f t="shared" si="6"/>
        <v>5-6-241</v>
      </c>
      <c r="I436">
        <f>VLOOKUP(H436,SuiteCatSubElem!$F$2:$G$666,2,0)</f>
        <v>487</v>
      </c>
      <c r="J436">
        <v>1</v>
      </c>
      <c r="K436">
        <v>241</v>
      </c>
      <c r="M436" t="s">
        <v>50</v>
      </c>
      <c r="N436" s="60">
        <v>43101</v>
      </c>
      <c r="O436" t="s">
        <v>50</v>
      </c>
      <c r="P436">
        <v>79</v>
      </c>
      <c r="Q436" t="s">
        <v>1358</v>
      </c>
      <c r="R436" s="113" t="s">
        <v>1017</v>
      </c>
      <c r="S436" s="113" t="s">
        <v>844</v>
      </c>
    </row>
    <row r="437" spans="1:19" ht="37">
      <c r="A437">
        <v>596</v>
      </c>
      <c r="B437" s="127" t="s">
        <v>287</v>
      </c>
      <c r="C437" s="27">
        <f>VLOOKUP(B437,Elements!$A$2:$B$435,2,0)</f>
        <v>241</v>
      </c>
      <c r="D437">
        <v>6</v>
      </c>
      <c r="E437" t="str">
        <f>VLOOKUP(D437,Categories!$A$2:$B$8,2,0)</f>
        <v>SXM</v>
      </c>
      <c r="F437">
        <v>6</v>
      </c>
      <c r="G437" t="str">
        <f>VLOOKUP(F437,Subcategories!$A$2:$B$29,2,0)</f>
        <v>Configurability</v>
      </c>
      <c r="H437" t="str">
        <f t="shared" si="6"/>
        <v>6-6-241</v>
      </c>
      <c r="I437">
        <f>VLOOKUP(H437,SuiteCatSubElem!$F$2:$G$666,2,0)</f>
        <v>590</v>
      </c>
      <c r="J437">
        <v>1</v>
      </c>
      <c r="K437">
        <v>241</v>
      </c>
      <c r="M437" t="s">
        <v>50</v>
      </c>
      <c r="N437" s="60">
        <v>43101</v>
      </c>
      <c r="O437" t="s">
        <v>50</v>
      </c>
      <c r="P437">
        <v>97</v>
      </c>
      <c r="Q437" t="s">
        <v>1358</v>
      </c>
      <c r="R437" s="113" t="s">
        <v>1017</v>
      </c>
      <c r="S437" s="113" t="s">
        <v>844</v>
      </c>
    </row>
    <row r="438" spans="1:19" ht="37">
      <c r="A438">
        <v>672</v>
      </c>
      <c r="B438" s="131" t="s">
        <v>287</v>
      </c>
      <c r="C438" s="27">
        <f>VLOOKUP(B438,Elements!$A$2:$B$435,2,0)</f>
        <v>241</v>
      </c>
      <c r="D438">
        <v>7</v>
      </c>
      <c r="E438" t="str">
        <f>VLOOKUP(D438,Categories!$A$2:$B$8,2,0)</f>
        <v>CLM</v>
      </c>
      <c r="F438">
        <v>6</v>
      </c>
      <c r="G438" t="str">
        <f>VLOOKUP(F438,Subcategories!$A$2:$B$29,2,0)</f>
        <v>Configurability</v>
      </c>
      <c r="H438" t="str">
        <f t="shared" si="6"/>
        <v>7-6-241</v>
      </c>
      <c r="I438">
        <f>VLOOKUP(H438,SuiteCatSubElem!$F$2:$G$666,2,0)</f>
        <v>663</v>
      </c>
      <c r="J438">
        <v>1</v>
      </c>
      <c r="K438">
        <v>241</v>
      </c>
      <c r="M438" t="s">
        <v>50</v>
      </c>
      <c r="N438" s="60">
        <v>43101</v>
      </c>
      <c r="O438" t="s">
        <v>50</v>
      </c>
      <c r="P438">
        <v>69</v>
      </c>
      <c r="Q438" t="s">
        <v>1358</v>
      </c>
      <c r="R438" s="113" t="s">
        <v>1017</v>
      </c>
      <c r="S438" s="113" t="s">
        <v>844</v>
      </c>
    </row>
    <row r="439" spans="1:19">
      <c r="A439">
        <v>405</v>
      </c>
      <c r="B439" s="127" t="s">
        <v>289</v>
      </c>
      <c r="C439" s="27">
        <f>VLOOKUP(B439,Elements!$A$2:$B$435,2,0)</f>
        <v>242</v>
      </c>
      <c r="D439">
        <v>4</v>
      </c>
      <c r="E439" t="str">
        <f>VLOOKUP(D439,Categories!$A$2:$B$8,2,0)</f>
        <v>Sourcing</v>
      </c>
      <c r="F439">
        <v>6</v>
      </c>
      <c r="G439" t="str">
        <f>VLOOKUP(F439,Subcategories!$A$2:$B$29,2,0)</f>
        <v>Configurability</v>
      </c>
      <c r="H439" t="str">
        <f t="shared" si="6"/>
        <v>4-6-242</v>
      </c>
      <c r="I439">
        <f>VLOOKUP(H439,SuiteCatSubElem!$F$2:$G$666,2,0)</f>
        <v>399</v>
      </c>
      <c r="J439">
        <v>1</v>
      </c>
      <c r="K439">
        <v>242</v>
      </c>
      <c r="M439" t="s">
        <v>50</v>
      </c>
      <c r="N439" s="60">
        <v>43101</v>
      </c>
      <c r="O439" t="s">
        <v>50</v>
      </c>
      <c r="P439">
        <v>156</v>
      </c>
      <c r="Q439" t="s">
        <v>1358</v>
      </c>
      <c r="R439" s="113" t="s">
        <v>847</v>
      </c>
      <c r="S439" s="113" t="s">
        <v>846</v>
      </c>
    </row>
    <row r="440" spans="1:19">
      <c r="A440">
        <v>406</v>
      </c>
      <c r="B440" s="127" t="s">
        <v>290</v>
      </c>
      <c r="C440" s="27">
        <f>VLOOKUP(B440,Elements!$A$2:$B$435,2,0)</f>
        <v>243</v>
      </c>
      <c r="D440">
        <v>4</v>
      </c>
      <c r="E440" t="str">
        <f>VLOOKUP(D440,Categories!$A$2:$B$8,2,0)</f>
        <v>Sourcing</v>
      </c>
      <c r="F440">
        <v>6</v>
      </c>
      <c r="G440" t="str">
        <f>VLOOKUP(F440,Subcategories!$A$2:$B$29,2,0)</f>
        <v>Configurability</v>
      </c>
      <c r="H440" t="str">
        <f t="shared" si="6"/>
        <v>4-6-243</v>
      </c>
      <c r="I440">
        <f>VLOOKUP(H440,SuiteCatSubElem!$F$2:$G$666,2,0)</f>
        <v>400</v>
      </c>
      <c r="J440">
        <v>1</v>
      </c>
      <c r="K440">
        <v>243</v>
      </c>
      <c r="M440" t="s">
        <v>50</v>
      </c>
      <c r="N440" s="60">
        <v>43101</v>
      </c>
      <c r="O440" t="s">
        <v>50</v>
      </c>
      <c r="P440">
        <v>157</v>
      </c>
      <c r="Q440" t="s">
        <v>1358</v>
      </c>
      <c r="R440" s="113" t="s">
        <v>848</v>
      </c>
      <c r="S440" s="113" t="s">
        <v>846</v>
      </c>
    </row>
    <row r="441" spans="1:19">
      <c r="A441">
        <v>409</v>
      </c>
      <c r="B441" s="127" t="s">
        <v>291</v>
      </c>
      <c r="C441" s="27">
        <f>VLOOKUP(B441,Elements!$A$2:$B$435,2,0)</f>
        <v>244</v>
      </c>
      <c r="D441">
        <v>4</v>
      </c>
      <c r="E441" t="str">
        <f>VLOOKUP(D441,Categories!$A$2:$B$8,2,0)</f>
        <v>Sourcing</v>
      </c>
      <c r="F441">
        <v>8</v>
      </c>
      <c r="G441" t="str">
        <f>VLOOKUP(F441,Subcategories!$A$2:$B$29,2,0)</f>
        <v>General Services</v>
      </c>
      <c r="H441" t="str">
        <f t="shared" si="6"/>
        <v>4-8-244</v>
      </c>
      <c r="I441">
        <f>VLOOKUP(H441,SuiteCatSubElem!$F$2:$G$666,2,0)</f>
        <v>403</v>
      </c>
      <c r="J441">
        <v>1</v>
      </c>
      <c r="K441">
        <v>244</v>
      </c>
      <c r="M441" t="s">
        <v>50</v>
      </c>
      <c r="N441" s="60">
        <v>43101</v>
      </c>
      <c r="O441" t="s">
        <v>50</v>
      </c>
      <c r="P441">
        <v>160</v>
      </c>
      <c r="Q441" t="s">
        <v>1358</v>
      </c>
      <c r="R441" s="102" t="s">
        <v>851</v>
      </c>
      <c r="S441" s="109" t="s">
        <v>298</v>
      </c>
    </row>
    <row r="442" spans="1:19" ht="25">
      <c r="A442">
        <v>410</v>
      </c>
      <c r="B442" s="127" t="s">
        <v>292</v>
      </c>
      <c r="C442" s="27">
        <f>VLOOKUP(B442,Elements!$A$2:$B$435,2,0)</f>
        <v>245</v>
      </c>
      <c r="D442">
        <v>4</v>
      </c>
      <c r="E442" t="str">
        <f>VLOOKUP(D442,Categories!$A$2:$B$8,2,0)</f>
        <v>Sourcing</v>
      </c>
      <c r="F442">
        <v>8</v>
      </c>
      <c r="G442" t="str">
        <f>VLOOKUP(F442,Subcategories!$A$2:$B$29,2,0)</f>
        <v>General Services</v>
      </c>
      <c r="H442" t="str">
        <f t="shared" si="6"/>
        <v>4-8-245</v>
      </c>
      <c r="I442">
        <f>VLOOKUP(H442,SuiteCatSubElem!$F$2:$G$666,2,0)</f>
        <v>404</v>
      </c>
      <c r="J442">
        <v>1</v>
      </c>
      <c r="K442">
        <v>245</v>
      </c>
      <c r="M442" t="s">
        <v>50</v>
      </c>
      <c r="N442" s="60">
        <v>43101</v>
      </c>
      <c r="O442" t="s">
        <v>50</v>
      </c>
      <c r="P442">
        <v>161</v>
      </c>
      <c r="Q442" t="s">
        <v>1358</v>
      </c>
      <c r="R442" s="113" t="s">
        <v>852</v>
      </c>
      <c r="S442" s="109" t="s">
        <v>298</v>
      </c>
    </row>
    <row r="443" spans="1:19" ht="30">
      <c r="A443">
        <v>411</v>
      </c>
      <c r="B443" s="127" t="s">
        <v>293</v>
      </c>
      <c r="C443" s="27">
        <f>VLOOKUP(B443,Elements!$A$2:$B$435,2,0)</f>
        <v>246</v>
      </c>
      <c r="D443">
        <v>4</v>
      </c>
      <c r="E443" t="str">
        <f>VLOOKUP(D443,Categories!$A$2:$B$8,2,0)</f>
        <v>Sourcing</v>
      </c>
      <c r="F443">
        <v>8</v>
      </c>
      <c r="G443" t="str">
        <f>VLOOKUP(F443,Subcategories!$A$2:$B$29,2,0)</f>
        <v>General Services</v>
      </c>
      <c r="H443" t="str">
        <f t="shared" si="6"/>
        <v>4-8-246</v>
      </c>
      <c r="I443">
        <f>VLOOKUP(H443,SuiteCatSubElem!$F$2:$G$666,2,0)</f>
        <v>405</v>
      </c>
      <c r="J443">
        <v>1</v>
      </c>
      <c r="K443">
        <v>246</v>
      </c>
      <c r="M443" t="s">
        <v>50</v>
      </c>
      <c r="N443" s="60">
        <v>43101</v>
      </c>
      <c r="O443" t="s">
        <v>50</v>
      </c>
      <c r="P443">
        <v>162</v>
      </c>
      <c r="Q443" t="s">
        <v>1358</v>
      </c>
      <c r="R443" s="113" t="s">
        <v>853</v>
      </c>
      <c r="S443" s="109" t="s">
        <v>298</v>
      </c>
    </row>
    <row r="444" spans="1:19" ht="30">
      <c r="A444">
        <v>412</v>
      </c>
      <c r="B444" s="127" t="s">
        <v>294</v>
      </c>
      <c r="C444" s="27">
        <f>VLOOKUP(B444,Elements!$A$2:$B$435,2,0)</f>
        <v>247</v>
      </c>
      <c r="D444">
        <v>4</v>
      </c>
      <c r="E444" t="str">
        <f>VLOOKUP(D444,Categories!$A$2:$B$8,2,0)</f>
        <v>Sourcing</v>
      </c>
      <c r="F444">
        <v>8</v>
      </c>
      <c r="G444" t="str">
        <f>VLOOKUP(F444,Subcategories!$A$2:$B$29,2,0)</f>
        <v>General Services</v>
      </c>
      <c r="H444" t="str">
        <f t="shared" si="6"/>
        <v>4-8-247</v>
      </c>
      <c r="I444">
        <f>VLOOKUP(H444,SuiteCatSubElem!$F$2:$G$666,2,0)</f>
        <v>406</v>
      </c>
      <c r="J444">
        <v>1</v>
      </c>
      <c r="K444">
        <v>247</v>
      </c>
      <c r="M444" t="s">
        <v>50</v>
      </c>
      <c r="N444" s="60">
        <v>43101</v>
      </c>
      <c r="O444" t="s">
        <v>50</v>
      </c>
      <c r="P444">
        <v>163</v>
      </c>
      <c r="Q444" t="s">
        <v>1358</v>
      </c>
      <c r="R444" s="113" t="s">
        <v>854</v>
      </c>
      <c r="S444" s="109" t="s">
        <v>298</v>
      </c>
    </row>
    <row r="445" spans="1:19" ht="37">
      <c r="A445">
        <v>368</v>
      </c>
      <c r="B445" s="108" t="s">
        <v>233</v>
      </c>
      <c r="C445" s="27">
        <f>VLOOKUP(B445,Elements!$A$2:$B$435,2,0)</f>
        <v>194</v>
      </c>
      <c r="D445">
        <v>4</v>
      </c>
      <c r="E445" t="str">
        <f>VLOOKUP(D445,Categories!$A$2:$B$8,2,0)</f>
        <v>Sourcing</v>
      </c>
      <c r="F445">
        <v>18</v>
      </c>
      <c r="G445" t="str">
        <f>VLOOKUP(F445,Subcategories!$A$2:$B$29,2,0)</f>
        <v>Execution</v>
      </c>
      <c r="H445" t="str">
        <f t="shared" si="6"/>
        <v>4-18-194</v>
      </c>
      <c r="I445">
        <f>VLOOKUP(H445,SuiteCatSubElem!$F$2:$G$666,2,0)</f>
        <v>364</v>
      </c>
      <c r="J445">
        <v>1</v>
      </c>
      <c r="K445">
        <v>248</v>
      </c>
      <c r="M445" t="s">
        <v>50</v>
      </c>
      <c r="N445" s="60">
        <v>43101</v>
      </c>
      <c r="O445" t="s">
        <v>50</v>
      </c>
      <c r="P445">
        <v>121</v>
      </c>
      <c r="Q445" t="s">
        <v>1358</v>
      </c>
      <c r="R445" s="113" t="s">
        <v>778</v>
      </c>
      <c r="S445" s="113" t="s">
        <v>779</v>
      </c>
    </row>
    <row r="446" spans="1:19" ht="25">
      <c r="A446">
        <v>415</v>
      </c>
      <c r="B446" s="131" t="s">
        <v>299</v>
      </c>
      <c r="C446" s="27">
        <f>VLOOKUP(B446,Elements!$A$2:$B$435,2,0)</f>
        <v>248</v>
      </c>
      <c r="D446">
        <v>5</v>
      </c>
      <c r="E446" t="str">
        <f>VLOOKUP(D446,Categories!$A$2:$B$8,2,0)</f>
        <v>SA</v>
      </c>
      <c r="F446">
        <v>19</v>
      </c>
      <c r="G446" t="str">
        <f>VLOOKUP(F446,Subcategories!$A$2:$B$29,2,0)</f>
        <v>Data Layer</v>
      </c>
      <c r="H446" t="str">
        <f t="shared" si="6"/>
        <v>5-19-248</v>
      </c>
      <c r="I446">
        <f>VLOOKUP(H446,SuiteCatSubElem!$F$2:$G$666,2,0)</f>
        <v>409</v>
      </c>
      <c r="J446">
        <v>1</v>
      </c>
      <c r="K446">
        <v>249</v>
      </c>
      <c r="M446" t="s">
        <v>50</v>
      </c>
      <c r="N446" s="60">
        <v>43101</v>
      </c>
      <c r="O446" t="s">
        <v>50</v>
      </c>
      <c r="P446">
        <v>1</v>
      </c>
      <c r="Q446" t="s">
        <v>1358</v>
      </c>
      <c r="R446" s="102" t="s">
        <v>857</v>
      </c>
      <c r="S446" s="109" t="s">
        <v>298</v>
      </c>
    </row>
    <row r="447" spans="1:19" ht="25">
      <c r="A447">
        <v>416</v>
      </c>
      <c r="B447" s="131" t="s">
        <v>300</v>
      </c>
      <c r="C447" s="27">
        <f>VLOOKUP(B447,Elements!$A$2:$B$435,2,0)</f>
        <v>249</v>
      </c>
      <c r="D447">
        <v>5</v>
      </c>
      <c r="E447" t="str">
        <f>VLOOKUP(D447,Categories!$A$2:$B$8,2,0)</f>
        <v>SA</v>
      </c>
      <c r="F447">
        <v>19</v>
      </c>
      <c r="G447" t="str">
        <f>VLOOKUP(F447,Subcategories!$A$2:$B$29,2,0)</f>
        <v>Data Layer</v>
      </c>
      <c r="H447" t="str">
        <f t="shared" si="6"/>
        <v>5-19-249</v>
      </c>
      <c r="I447">
        <f>VLOOKUP(H447,SuiteCatSubElem!$F$2:$G$666,2,0)</f>
        <v>410</v>
      </c>
      <c r="J447">
        <v>1</v>
      </c>
      <c r="K447">
        <v>250</v>
      </c>
      <c r="M447" t="s">
        <v>50</v>
      </c>
      <c r="N447" s="60">
        <v>43101</v>
      </c>
      <c r="O447" t="s">
        <v>50</v>
      </c>
      <c r="P447">
        <v>2</v>
      </c>
      <c r="Q447" t="s">
        <v>1358</v>
      </c>
      <c r="R447" s="113" t="s">
        <v>858</v>
      </c>
      <c r="S447" s="109" t="s">
        <v>298</v>
      </c>
    </row>
    <row r="448" spans="1:19" ht="25">
      <c r="A448">
        <v>417</v>
      </c>
      <c r="B448" s="131" t="s">
        <v>301</v>
      </c>
      <c r="C448" s="27">
        <f>VLOOKUP(B448,Elements!$A$2:$B$435,2,0)</f>
        <v>250</v>
      </c>
      <c r="D448">
        <v>5</v>
      </c>
      <c r="E448" t="str">
        <f>VLOOKUP(D448,Categories!$A$2:$B$8,2,0)</f>
        <v>SA</v>
      </c>
      <c r="F448">
        <v>19</v>
      </c>
      <c r="G448" t="str">
        <f>VLOOKUP(F448,Subcategories!$A$2:$B$29,2,0)</f>
        <v>Data Layer</v>
      </c>
      <c r="H448" t="str">
        <f t="shared" si="6"/>
        <v>5-19-250</v>
      </c>
      <c r="I448">
        <f>VLOOKUP(H448,SuiteCatSubElem!$F$2:$G$666,2,0)</f>
        <v>411</v>
      </c>
      <c r="J448">
        <v>1</v>
      </c>
      <c r="K448">
        <v>251</v>
      </c>
      <c r="M448" t="s">
        <v>50</v>
      </c>
      <c r="N448" s="60">
        <v>43101</v>
      </c>
      <c r="O448" t="s">
        <v>50</v>
      </c>
      <c r="P448">
        <v>3</v>
      </c>
      <c r="Q448" t="s">
        <v>1358</v>
      </c>
      <c r="R448" s="113" t="s">
        <v>859</v>
      </c>
      <c r="S448" s="109" t="s">
        <v>298</v>
      </c>
    </row>
    <row r="449" spans="1:19">
      <c r="A449">
        <v>418</v>
      </c>
      <c r="B449" s="131" t="s">
        <v>302</v>
      </c>
      <c r="C449" s="27">
        <f>VLOOKUP(B449,Elements!$A$2:$B$435,2,0)</f>
        <v>251</v>
      </c>
      <c r="D449">
        <v>5</v>
      </c>
      <c r="E449" t="str">
        <f>VLOOKUP(D449,Categories!$A$2:$B$8,2,0)</f>
        <v>SA</v>
      </c>
      <c r="F449">
        <v>19</v>
      </c>
      <c r="G449" t="str">
        <f>VLOOKUP(F449,Subcategories!$A$2:$B$29,2,0)</f>
        <v>Data Layer</v>
      </c>
      <c r="H449" t="str">
        <f t="shared" si="6"/>
        <v>5-19-251</v>
      </c>
      <c r="I449">
        <f>VLOOKUP(H449,SuiteCatSubElem!$F$2:$G$666,2,0)</f>
        <v>412</v>
      </c>
      <c r="J449">
        <v>1</v>
      </c>
      <c r="K449">
        <v>252</v>
      </c>
      <c r="M449" t="s">
        <v>50</v>
      </c>
      <c r="N449" s="60">
        <v>43101</v>
      </c>
      <c r="O449" t="s">
        <v>50</v>
      </c>
      <c r="P449">
        <v>4</v>
      </c>
      <c r="Q449" t="s">
        <v>1358</v>
      </c>
      <c r="R449" s="113" t="s">
        <v>860</v>
      </c>
      <c r="S449" s="109" t="s">
        <v>298</v>
      </c>
    </row>
    <row r="450" spans="1:19" ht="25">
      <c r="A450">
        <v>419</v>
      </c>
      <c r="B450" s="131" t="s">
        <v>303</v>
      </c>
      <c r="C450" s="27">
        <f>VLOOKUP(B450,Elements!$A$2:$B$435,2,0)</f>
        <v>252</v>
      </c>
      <c r="D450" s="53">
        <v>5</v>
      </c>
      <c r="E450" t="str">
        <f>VLOOKUP(D450,Categories!$A$2:$B$8,2,0)</f>
        <v>SA</v>
      </c>
      <c r="F450">
        <v>19</v>
      </c>
      <c r="G450" t="str">
        <f>VLOOKUP(F450,Subcategories!$A$2:$B$29,2,0)</f>
        <v>Data Layer</v>
      </c>
      <c r="H450" t="str">
        <f t="shared" ref="H450:H513" si="7">_xlfn.CONCAT(D450,"-",F450,"-",C450)</f>
        <v>5-19-252</v>
      </c>
      <c r="I450">
        <f>VLOOKUP(H450,SuiteCatSubElem!$F$2:$G$666,2,0)</f>
        <v>413</v>
      </c>
      <c r="J450" s="53">
        <v>1</v>
      </c>
      <c r="K450">
        <v>253</v>
      </c>
      <c r="L450" s="53"/>
      <c r="M450" t="s">
        <v>50</v>
      </c>
      <c r="N450" s="60">
        <v>43101</v>
      </c>
      <c r="O450" t="s">
        <v>50</v>
      </c>
      <c r="P450">
        <v>5</v>
      </c>
      <c r="Q450" t="s">
        <v>1358</v>
      </c>
      <c r="R450" s="102" t="s">
        <v>861</v>
      </c>
      <c r="S450" s="112" t="s">
        <v>298</v>
      </c>
    </row>
    <row r="451" spans="1:19" ht="25">
      <c r="A451">
        <v>420</v>
      </c>
      <c r="B451" s="131" t="s">
        <v>304</v>
      </c>
      <c r="C451" s="27">
        <f>VLOOKUP(B451,Elements!$A$2:$B$435,2,0)</f>
        <v>253</v>
      </c>
      <c r="D451">
        <v>5</v>
      </c>
      <c r="E451" t="str">
        <f>VLOOKUP(D451,Categories!$A$2:$B$8,2,0)</f>
        <v>SA</v>
      </c>
      <c r="F451">
        <v>19</v>
      </c>
      <c r="G451" t="str">
        <f>VLOOKUP(F451,Subcategories!$A$2:$B$29,2,0)</f>
        <v>Data Layer</v>
      </c>
      <c r="H451" t="str">
        <f t="shared" si="7"/>
        <v>5-19-253</v>
      </c>
      <c r="I451">
        <f>VLOOKUP(H451,SuiteCatSubElem!$F$2:$G$666,2,0)</f>
        <v>414</v>
      </c>
      <c r="J451">
        <v>1</v>
      </c>
      <c r="K451">
        <v>254</v>
      </c>
      <c r="M451" t="s">
        <v>50</v>
      </c>
      <c r="N451" s="60">
        <v>43101</v>
      </c>
      <c r="O451" t="s">
        <v>50</v>
      </c>
      <c r="P451">
        <v>6</v>
      </c>
      <c r="Q451" t="s">
        <v>1358</v>
      </c>
      <c r="R451" s="102" t="s">
        <v>862</v>
      </c>
      <c r="S451" s="109" t="s">
        <v>298</v>
      </c>
    </row>
    <row r="452" spans="1:19" ht="25">
      <c r="A452">
        <v>422</v>
      </c>
      <c r="B452" s="131" t="s">
        <v>305</v>
      </c>
      <c r="C452" s="27">
        <f>VLOOKUP(B452,Elements!$A$2:$B$435,2,0)</f>
        <v>254</v>
      </c>
      <c r="D452">
        <v>5</v>
      </c>
      <c r="E452" t="str">
        <f>VLOOKUP(D452,Categories!$A$2:$B$8,2,0)</f>
        <v>SA</v>
      </c>
      <c r="F452">
        <v>19</v>
      </c>
      <c r="G452" t="str">
        <f>VLOOKUP(F452,Subcategories!$A$2:$B$29,2,0)</f>
        <v>Data Layer</v>
      </c>
      <c r="H452" t="str">
        <f t="shared" si="7"/>
        <v>5-19-254</v>
      </c>
      <c r="I452">
        <f>VLOOKUP(H452,SuiteCatSubElem!$F$2:$G$666,2,0)</f>
        <v>416</v>
      </c>
      <c r="J452">
        <v>1</v>
      </c>
      <c r="K452">
        <v>255</v>
      </c>
      <c r="M452" t="s">
        <v>50</v>
      </c>
      <c r="N452" s="60">
        <v>43101</v>
      </c>
      <c r="O452" t="s">
        <v>50</v>
      </c>
      <c r="P452">
        <v>8</v>
      </c>
      <c r="Q452" t="s">
        <v>1358</v>
      </c>
      <c r="R452" s="113" t="s">
        <v>864</v>
      </c>
      <c r="S452" s="109" t="s">
        <v>298</v>
      </c>
    </row>
    <row r="453" spans="1:19">
      <c r="A453">
        <v>423</v>
      </c>
      <c r="B453" s="131" t="s">
        <v>306</v>
      </c>
      <c r="C453" s="27">
        <f>VLOOKUP(B453,Elements!$A$2:$B$435,2,0)</f>
        <v>255</v>
      </c>
      <c r="D453">
        <v>5</v>
      </c>
      <c r="E453" t="str">
        <f>VLOOKUP(D453,Categories!$A$2:$B$8,2,0)</f>
        <v>SA</v>
      </c>
      <c r="F453">
        <v>20</v>
      </c>
      <c r="G453" t="str">
        <f>VLOOKUP(F453,Subcategories!$A$2:$B$29,2,0)</f>
        <v>Process Support</v>
      </c>
      <c r="H453" t="str">
        <f t="shared" si="7"/>
        <v>5-20-255</v>
      </c>
      <c r="I453">
        <f>VLOOKUP(H453,SuiteCatSubElem!$F$2:$G$666,2,0)</f>
        <v>417</v>
      </c>
      <c r="J453">
        <v>1</v>
      </c>
      <c r="K453">
        <v>256</v>
      </c>
      <c r="M453" t="s">
        <v>50</v>
      </c>
      <c r="N453" s="60">
        <v>43101</v>
      </c>
      <c r="O453" t="s">
        <v>50</v>
      </c>
      <c r="P453">
        <v>9</v>
      </c>
      <c r="Q453" t="s">
        <v>1358</v>
      </c>
      <c r="R453" s="102" t="s">
        <v>865</v>
      </c>
      <c r="S453" s="109" t="s">
        <v>298</v>
      </c>
    </row>
    <row r="454" spans="1:19">
      <c r="A454">
        <v>424</v>
      </c>
      <c r="B454" s="136" t="s">
        <v>307</v>
      </c>
      <c r="C454" s="27">
        <f>VLOOKUP(B454,Elements!$A$2:$B$435,2,0)</f>
        <v>256</v>
      </c>
      <c r="D454">
        <v>5</v>
      </c>
      <c r="E454" t="str">
        <f>VLOOKUP(D454,Categories!$A$2:$B$8,2,0)</f>
        <v>SA</v>
      </c>
      <c r="F454">
        <v>20</v>
      </c>
      <c r="G454" t="str">
        <f>VLOOKUP(F454,Subcategories!$A$2:$B$29,2,0)</f>
        <v>Process Support</v>
      </c>
      <c r="H454" t="str">
        <f t="shared" si="7"/>
        <v>5-20-256</v>
      </c>
      <c r="I454">
        <f>VLOOKUP(H454,SuiteCatSubElem!$F$2:$G$666,2,0)</f>
        <v>418</v>
      </c>
      <c r="J454">
        <v>1</v>
      </c>
      <c r="K454">
        <v>257</v>
      </c>
      <c r="M454" t="s">
        <v>50</v>
      </c>
      <c r="N454" s="60">
        <v>43101</v>
      </c>
      <c r="O454" t="s">
        <v>50</v>
      </c>
      <c r="P454">
        <v>10</v>
      </c>
      <c r="Q454" t="s">
        <v>1358</v>
      </c>
      <c r="R454" s="109" t="s">
        <v>298</v>
      </c>
      <c r="S454" s="109" t="s">
        <v>298</v>
      </c>
    </row>
    <row r="455" spans="1:19" ht="30">
      <c r="A455">
        <v>425</v>
      </c>
      <c r="B455" s="131" t="s">
        <v>308</v>
      </c>
      <c r="C455" s="27">
        <f>VLOOKUP(B455,Elements!$A$2:$B$435,2,0)</f>
        <v>257</v>
      </c>
      <c r="D455">
        <v>5</v>
      </c>
      <c r="E455" t="str">
        <f>VLOOKUP(D455,Categories!$A$2:$B$8,2,0)</f>
        <v>SA</v>
      </c>
      <c r="F455">
        <v>20</v>
      </c>
      <c r="G455" t="str">
        <f>VLOOKUP(F455,Subcategories!$A$2:$B$29,2,0)</f>
        <v>Process Support</v>
      </c>
      <c r="H455" t="str">
        <f t="shared" si="7"/>
        <v>5-20-257</v>
      </c>
      <c r="I455">
        <f>VLOOKUP(H455,SuiteCatSubElem!$F$2:$G$666,2,0)</f>
        <v>419</v>
      </c>
      <c r="J455">
        <v>1</v>
      </c>
      <c r="K455">
        <v>258</v>
      </c>
      <c r="M455" t="s">
        <v>50</v>
      </c>
      <c r="N455" s="60">
        <v>43101</v>
      </c>
      <c r="O455" t="s">
        <v>50</v>
      </c>
      <c r="P455">
        <v>11</v>
      </c>
      <c r="Q455" t="s">
        <v>1358</v>
      </c>
      <c r="R455" s="113" t="s">
        <v>866</v>
      </c>
      <c r="S455" s="109" t="s">
        <v>298</v>
      </c>
    </row>
    <row r="456" spans="1:19" ht="37">
      <c r="A456">
        <v>426</v>
      </c>
      <c r="B456" s="131" t="s">
        <v>309</v>
      </c>
      <c r="C456" s="27">
        <f>VLOOKUP(B456,Elements!$A$2:$B$435,2,0)</f>
        <v>258</v>
      </c>
      <c r="D456">
        <v>5</v>
      </c>
      <c r="E456" t="str">
        <f>VLOOKUP(D456,Categories!$A$2:$B$8,2,0)</f>
        <v>SA</v>
      </c>
      <c r="F456">
        <v>20</v>
      </c>
      <c r="G456" t="str">
        <f>VLOOKUP(F456,Subcategories!$A$2:$B$29,2,0)</f>
        <v>Process Support</v>
      </c>
      <c r="H456" t="str">
        <f t="shared" si="7"/>
        <v>5-20-258</v>
      </c>
      <c r="I456">
        <f>VLOOKUP(H456,SuiteCatSubElem!$F$2:$G$666,2,0)</f>
        <v>420</v>
      </c>
      <c r="J456">
        <v>1</v>
      </c>
      <c r="K456">
        <v>259</v>
      </c>
      <c r="M456" t="s">
        <v>50</v>
      </c>
      <c r="N456" s="60">
        <v>43101</v>
      </c>
      <c r="O456" t="s">
        <v>50</v>
      </c>
      <c r="P456">
        <v>12</v>
      </c>
      <c r="Q456" t="s">
        <v>1358</v>
      </c>
      <c r="R456" s="113" t="s">
        <v>867</v>
      </c>
      <c r="S456" s="109" t="s">
        <v>298</v>
      </c>
    </row>
    <row r="457" spans="1:19" ht="30">
      <c r="A457">
        <v>427</v>
      </c>
      <c r="B457" s="131" t="s">
        <v>310</v>
      </c>
      <c r="C457" s="27">
        <f>VLOOKUP(B457,Elements!$A$2:$B$435,2,0)</f>
        <v>259</v>
      </c>
      <c r="D457">
        <v>5</v>
      </c>
      <c r="E457" t="str">
        <f>VLOOKUP(D457,Categories!$A$2:$B$8,2,0)</f>
        <v>SA</v>
      </c>
      <c r="F457">
        <v>20</v>
      </c>
      <c r="G457" t="str">
        <f>VLOOKUP(F457,Subcategories!$A$2:$B$29,2,0)</f>
        <v>Process Support</v>
      </c>
      <c r="H457" t="str">
        <f t="shared" si="7"/>
        <v>5-20-259</v>
      </c>
      <c r="I457">
        <f>VLOOKUP(H457,SuiteCatSubElem!$F$2:$G$666,2,0)</f>
        <v>421</v>
      </c>
      <c r="J457">
        <v>1</v>
      </c>
      <c r="K457">
        <v>260</v>
      </c>
      <c r="M457" t="s">
        <v>50</v>
      </c>
      <c r="N457" s="60">
        <v>43101</v>
      </c>
      <c r="O457" t="s">
        <v>50</v>
      </c>
      <c r="P457">
        <v>13</v>
      </c>
      <c r="Q457" t="s">
        <v>1358</v>
      </c>
      <c r="R457" s="113" t="s">
        <v>868</v>
      </c>
      <c r="S457" s="109" t="s">
        <v>298</v>
      </c>
    </row>
    <row r="458" spans="1:19" ht="25">
      <c r="A458">
        <v>428</v>
      </c>
      <c r="B458" s="131" t="s">
        <v>311</v>
      </c>
      <c r="C458" s="27">
        <f>VLOOKUP(B458,Elements!$A$2:$B$435,2,0)</f>
        <v>260</v>
      </c>
      <c r="D458">
        <v>5</v>
      </c>
      <c r="E458" t="str">
        <f>VLOOKUP(D458,Categories!$A$2:$B$8,2,0)</f>
        <v>SA</v>
      </c>
      <c r="F458">
        <v>20</v>
      </c>
      <c r="G458" t="str">
        <f>VLOOKUP(F458,Subcategories!$A$2:$B$29,2,0)</f>
        <v>Process Support</v>
      </c>
      <c r="H458" t="str">
        <f t="shared" si="7"/>
        <v>5-20-260</v>
      </c>
      <c r="I458">
        <f>VLOOKUP(H458,SuiteCatSubElem!$F$2:$G$666,2,0)</f>
        <v>422</v>
      </c>
      <c r="J458">
        <v>1</v>
      </c>
      <c r="K458">
        <v>261</v>
      </c>
      <c r="M458" t="s">
        <v>50</v>
      </c>
      <c r="N458" s="60">
        <v>43101</v>
      </c>
      <c r="O458" t="s">
        <v>50</v>
      </c>
      <c r="P458">
        <v>14</v>
      </c>
      <c r="Q458" t="s">
        <v>1358</v>
      </c>
      <c r="R458" s="102" t="s">
        <v>869</v>
      </c>
      <c r="S458" s="109" t="s">
        <v>298</v>
      </c>
    </row>
    <row r="459" spans="1:19" ht="30">
      <c r="A459">
        <v>429</v>
      </c>
      <c r="B459" s="131" t="s">
        <v>519</v>
      </c>
      <c r="C459" s="27">
        <f>VLOOKUP(B459,Elements!$A$2:$B$435,2,0)</f>
        <v>261</v>
      </c>
      <c r="D459">
        <v>5</v>
      </c>
      <c r="E459" t="str">
        <f>VLOOKUP(D459,Categories!$A$2:$B$8,2,0)</f>
        <v>SA</v>
      </c>
      <c r="F459">
        <v>20</v>
      </c>
      <c r="G459" t="str">
        <f>VLOOKUP(F459,Subcategories!$A$2:$B$29,2,0)</f>
        <v>Process Support</v>
      </c>
      <c r="H459" t="str">
        <f t="shared" si="7"/>
        <v>5-20-261</v>
      </c>
      <c r="I459">
        <f>VLOOKUP(H459,SuiteCatSubElem!$F$2:$G$666,2,0)</f>
        <v>423</v>
      </c>
      <c r="J459">
        <v>1</v>
      </c>
      <c r="K459">
        <v>262</v>
      </c>
      <c r="M459" t="s">
        <v>50</v>
      </c>
      <c r="N459" s="60">
        <v>43101</v>
      </c>
      <c r="O459" t="s">
        <v>50</v>
      </c>
      <c r="P459">
        <v>15</v>
      </c>
      <c r="Q459" t="s">
        <v>1358</v>
      </c>
      <c r="R459" s="102" t="s">
        <v>870</v>
      </c>
      <c r="S459" s="109" t="s">
        <v>298</v>
      </c>
    </row>
    <row r="460" spans="1:19" ht="25">
      <c r="A460">
        <v>430</v>
      </c>
      <c r="B460" s="131" t="s">
        <v>313</v>
      </c>
      <c r="C460" s="27">
        <f>VLOOKUP(B460,Elements!$A$2:$B$435,2,0)</f>
        <v>262</v>
      </c>
      <c r="D460">
        <v>5</v>
      </c>
      <c r="E460" t="str">
        <f>VLOOKUP(D460,Categories!$A$2:$B$8,2,0)</f>
        <v>SA</v>
      </c>
      <c r="F460">
        <v>20</v>
      </c>
      <c r="G460" t="str">
        <f>VLOOKUP(F460,Subcategories!$A$2:$B$29,2,0)</f>
        <v>Process Support</v>
      </c>
      <c r="H460" t="str">
        <f t="shared" si="7"/>
        <v>5-20-262</v>
      </c>
      <c r="I460">
        <f>VLOOKUP(H460,SuiteCatSubElem!$F$2:$G$666,2,0)</f>
        <v>424</v>
      </c>
      <c r="J460">
        <v>1</v>
      </c>
      <c r="K460">
        <v>263</v>
      </c>
      <c r="M460" t="s">
        <v>50</v>
      </c>
      <c r="N460" s="60">
        <v>43101</v>
      </c>
      <c r="O460" t="s">
        <v>50</v>
      </c>
      <c r="P460">
        <v>16</v>
      </c>
      <c r="Q460" t="s">
        <v>1358</v>
      </c>
      <c r="R460" s="113" t="s">
        <v>871</v>
      </c>
      <c r="S460" s="109" t="s">
        <v>298</v>
      </c>
    </row>
    <row r="461" spans="1:19" ht="25">
      <c r="A461">
        <v>431</v>
      </c>
      <c r="B461" s="131" t="s">
        <v>314</v>
      </c>
      <c r="C461" s="27">
        <f>VLOOKUP(B461,Elements!$A$2:$B$435,2,0)</f>
        <v>263</v>
      </c>
      <c r="D461">
        <v>5</v>
      </c>
      <c r="E461" t="str">
        <f>VLOOKUP(D461,Categories!$A$2:$B$8,2,0)</f>
        <v>SA</v>
      </c>
      <c r="F461">
        <v>20</v>
      </c>
      <c r="G461" t="str">
        <f>VLOOKUP(F461,Subcategories!$A$2:$B$29,2,0)</f>
        <v>Process Support</v>
      </c>
      <c r="H461" t="str">
        <f t="shared" si="7"/>
        <v>5-20-263</v>
      </c>
      <c r="I461">
        <f>VLOOKUP(H461,SuiteCatSubElem!$F$2:$G$666,2,0)</f>
        <v>425</v>
      </c>
      <c r="J461">
        <v>1</v>
      </c>
      <c r="K461">
        <v>264</v>
      </c>
      <c r="M461" t="s">
        <v>50</v>
      </c>
      <c r="N461" s="60">
        <v>43101</v>
      </c>
      <c r="O461" t="s">
        <v>50</v>
      </c>
      <c r="P461">
        <v>17</v>
      </c>
      <c r="Q461" t="s">
        <v>1358</v>
      </c>
      <c r="R461" s="102" t="s">
        <v>872</v>
      </c>
      <c r="S461" s="109" t="s">
        <v>298</v>
      </c>
    </row>
    <row r="462" spans="1:19" ht="25">
      <c r="A462">
        <v>432</v>
      </c>
      <c r="B462" s="131" t="s">
        <v>315</v>
      </c>
      <c r="C462" s="27">
        <f>VLOOKUP(B462,Elements!$A$2:$B$435,2,0)</f>
        <v>264</v>
      </c>
      <c r="D462">
        <v>5</v>
      </c>
      <c r="E462" t="str">
        <f>VLOOKUP(D462,Categories!$A$2:$B$8,2,0)</f>
        <v>SA</v>
      </c>
      <c r="F462">
        <v>20</v>
      </c>
      <c r="G462" t="str">
        <f>VLOOKUP(F462,Subcategories!$A$2:$B$29,2,0)</f>
        <v>Process Support</v>
      </c>
      <c r="H462" t="str">
        <f t="shared" si="7"/>
        <v>5-20-264</v>
      </c>
      <c r="I462">
        <f>VLOOKUP(H462,SuiteCatSubElem!$F$2:$G$666,2,0)</f>
        <v>426</v>
      </c>
      <c r="J462">
        <v>1</v>
      </c>
      <c r="K462">
        <v>265</v>
      </c>
      <c r="M462" t="s">
        <v>50</v>
      </c>
      <c r="N462" s="60">
        <v>43101</v>
      </c>
      <c r="O462" t="s">
        <v>50</v>
      </c>
      <c r="P462">
        <v>18</v>
      </c>
      <c r="Q462" t="s">
        <v>1358</v>
      </c>
      <c r="R462" s="113" t="s">
        <v>873</v>
      </c>
      <c r="S462" s="109" t="s">
        <v>298</v>
      </c>
    </row>
    <row r="463" spans="1:19" ht="25">
      <c r="A463">
        <v>433</v>
      </c>
      <c r="B463" s="131" t="s">
        <v>316</v>
      </c>
      <c r="C463" s="27">
        <f>VLOOKUP(B463,Elements!$A$2:$B$435,2,0)</f>
        <v>265</v>
      </c>
      <c r="D463">
        <v>5</v>
      </c>
      <c r="E463" t="str">
        <f>VLOOKUP(D463,Categories!$A$2:$B$8,2,0)</f>
        <v>SA</v>
      </c>
      <c r="F463">
        <v>20</v>
      </c>
      <c r="G463" t="str">
        <f>VLOOKUP(F463,Subcategories!$A$2:$B$29,2,0)</f>
        <v>Process Support</v>
      </c>
      <c r="H463" t="str">
        <f t="shared" si="7"/>
        <v>5-20-265</v>
      </c>
      <c r="I463">
        <f>VLOOKUP(H463,SuiteCatSubElem!$F$2:$G$666,2,0)</f>
        <v>427</v>
      </c>
      <c r="J463">
        <v>1</v>
      </c>
      <c r="K463">
        <v>266</v>
      </c>
      <c r="M463" t="s">
        <v>50</v>
      </c>
      <c r="N463" s="60">
        <v>43101</v>
      </c>
      <c r="O463" t="s">
        <v>50</v>
      </c>
      <c r="P463">
        <v>19</v>
      </c>
      <c r="Q463" t="s">
        <v>1358</v>
      </c>
      <c r="R463" s="102" t="s">
        <v>874</v>
      </c>
      <c r="S463" s="109" t="s">
        <v>298</v>
      </c>
    </row>
    <row r="464" spans="1:19" ht="25">
      <c r="A464">
        <v>435</v>
      </c>
      <c r="B464" s="131" t="s">
        <v>317</v>
      </c>
      <c r="C464" s="27">
        <f>VLOOKUP(B464,Elements!$A$2:$B$435,2,0)</f>
        <v>266</v>
      </c>
      <c r="D464">
        <v>5</v>
      </c>
      <c r="E464" t="str">
        <f>VLOOKUP(D464,Categories!$A$2:$B$8,2,0)</f>
        <v>SA</v>
      </c>
      <c r="F464">
        <v>20</v>
      </c>
      <c r="G464" t="str">
        <f>VLOOKUP(F464,Subcategories!$A$2:$B$29,2,0)</f>
        <v>Process Support</v>
      </c>
      <c r="H464" t="str">
        <f t="shared" si="7"/>
        <v>5-20-266</v>
      </c>
      <c r="I464">
        <f>VLOOKUP(H464,SuiteCatSubElem!$F$2:$G$666,2,0)</f>
        <v>429</v>
      </c>
      <c r="J464">
        <v>1</v>
      </c>
      <c r="K464">
        <v>267</v>
      </c>
      <c r="M464" t="s">
        <v>50</v>
      </c>
      <c r="N464" s="60">
        <v>43101</v>
      </c>
      <c r="O464" t="s">
        <v>50</v>
      </c>
      <c r="P464">
        <v>21</v>
      </c>
      <c r="Q464" t="s">
        <v>1358</v>
      </c>
      <c r="R464" s="113" t="s">
        <v>876</v>
      </c>
      <c r="S464" s="109" t="s">
        <v>298</v>
      </c>
    </row>
    <row r="465" spans="1:19" ht="49">
      <c r="A465">
        <v>437</v>
      </c>
      <c r="B465" s="131" t="s">
        <v>318</v>
      </c>
      <c r="C465" s="27">
        <f>VLOOKUP(B465,Elements!$A$2:$B$435,2,0)</f>
        <v>267</v>
      </c>
      <c r="D465">
        <v>5</v>
      </c>
      <c r="E465" t="str">
        <f>VLOOKUP(D465,Categories!$A$2:$B$8,2,0)</f>
        <v>SA</v>
      </c>
      <c r="F465">
        <v>20</v>
      </c>
      <c r="G465" t="str">
        <f>VLOOKUP(F465,Subcategories!$A$2:$B$29,2,0)</f>
        <v>Process Support</v>
      </c>
      <c r="H465" t="str">
        <f t="shared" si="7"/>
        <v>5-20-267</v>
      </c>
      <c r="I465">
        <f>VLOOKUP(H465,SuiteCatSubElem!$F$2:$G$666,2,0)</f>
        <v>431</v>
      </c>
      <c r="J465">
        <v>1</v>
      </c>
      <c r="K465">
        <v>268</v>
      </c>
      <c r="M465" t="s">
        <v>50</v>
      </c>
      <c r="N465" s="60">
        <v>43101</v>
      </c>
      <c r="O465" t="s">
        <v>50</v>
      </c>
      <c r="P465">
        <v>23</v>
      </c>
      <c r="Q465" t="s">
        <v>1358</v>
      </c>
      <c r="R465" s="113" t="s">
        <v>878</v>
      </c>
      <c r="S465" s="109" t="s">
        <v>298</v>
      </c>
    </row>
    <row r="466" spans="1:19" ht="25">
      <c r="A466">
        <v>438</v>
      </c>
      <c r="B466" s="131" t="s">
        <v>319</v>
      </c>
      <c r="C466" s="27">
        <f>VLOOKUP(B466,Elements!$A$2:$B$435,2,0)</f>
        <v>268</v>
      </c>
      <c r="D466">
        <v>5</v>
      </c>
      <c r="E466" t="str">
        <f>VLOOKUP(D466,Categories!$A$2:$B$8,2,0)</f>
        <v>SA</v>
      </c>
      <c r="F466">
        <v>20</v>
      </c>
      <c r="G466" t="str">
        <f>VLOOKUP(F466,Subcategories!$A$2:$B$29,2,0)</f>
        <v>Process Support</v>
      </c>
      <c r="H466" t="str">
        <f t="shared" si="7"/>
        <v>5-20-268</v>
      </c>
      <c r="I466">
        <f>VLOOKUP(H466,SuiteCatSubElem!$F$2:$G$666,2,0)</f>
        <v>432</v>
      </c>
      <c r="J466">
        <v>1</v>
      </c>
      <c r="K466">
        <v>269</v>
      </c>
      <c r="M466" t="s">
        <v>50</v>
      </c>
      <c r="N466" s="60">
        <v>43101</v>
      </c>
      <c r="O466" t="s">
        <v>50</v>
      </c>
      <c r="P466">
        <v>24</v>
      </c>
      <c r="Q466" t="s">
        <v>1358</v>
      </c>
      <c r="R466" s="102" t="s">
        <v>879</v>
      </c>
      <c r="S466" s="109" t="s">
        <v>298</v>
      </c>
    </row>
    <row r="467" spans="1:19" ht="25">
      <c r="A467">
        <v>439</v>
      </c>
      <c r="B467" s="131" t="s">
        <v>320</v>
      </c>
      <c r="C467" s="27">
        <f>VLOOKUP(B467,Elements!$A$2:$B$435,2,0)</f>
        <v>269</v>
      </c>
      <c r="D467">
        <v>5</v>
      </c>
      <c r="E467" t="str">
        <f>VLOOKUP(D467,Categories!$A$2:$B$8,2,0)</f>
        <v>SA</v>
      </c>
      <c r="F467">
        <v>20</v>
      </c>
      <c r="G467" t="str">
        <f>VLOOKUP(F467,Subcategories!$A$2:$B$29,2,0)</f>
        <v>Process Support</v>
      </c>
      <c r="H467" t="str">
        <f t="shared" si="7"/>
        <v>5-20-269</v>
      </c>
      <c r="I467">
        <f>VLOOKUP(H467,SuiteCatSubElem!$F$2:$G$666,2,0)</f>
        <v>433</v>
      </c>
      <c r="J467">
        <v>1</v>
      </c>
      <c r="K467">
        <v>270</v>
      </c>
      <c r="M467" t="s">
        <v>50</v>
      </c>
      <c r="N467" s="60">
        <v>43101</v>
      </c>
      <c r="O467" t="s">
        <v>50</v>
      </c>
      <c r="P467">
        <v>25</v>
      </c>
      <c r="Q467" t="s">
        <v>1358</v>
      </c>
      <c r="R467" s="113" t="s">
        <v>880</v>
      </c>
      <c r="S467" s="109" t="s">
        <v>298</v>
      </c>
    </row>
    <row r="468" spans="1:19" ht="30">
      <c r="A468">
        <v>440</v>
      </c>
      <c r="B468" s="131" t="s">
        <v>321</v>
      </c>
      <c r="C468" s="27">
        <f>VLOOKUP(B468,Elements!$A$2:$B$435,2,0)</f>
        <v>270</v>
      </c>
      <c r="D468">
        <v>5</v>
      </c>
      <c r="E468" t="str">
        <f>VLOOKUP(D468,Categories!$A$2:$B$8,2,0)</f>
        <v>SA</v>
      </c>
      <c r="F468">
        <v>20</v>
      </c>
      <c r="G468" t="str">
        <f>VLOOKUP(F468,Subcategories!$A$2:$B$29,2,0)</f>
        <v>Process Support</v>
      </c>
      <c r="H468" t="str">
        <f t="shared" si="7"/>
        <v>5-20-270</v>
      </c>
      <c r="I468">
        <f>VLOOKUP(H468,SuiteCatSubElem!$F$2:$G$666,2,0)</f>
        <v>434</v>
      </c>
      <c r="J468">
        <v>1</v>
      </c>
      <c r="K468">
        <v>271</v>
      </c>
      <c r="M468" t="s">
        <v>50</v>
      </c>
      <c r="N468" s="60">
        <v>43101</v>
      </c>
      <c r="O468" t="s">
        <v>50</v>
      </c>
      <c r="P468">
        <v>26</v>
      </c>
      <c r="Q468" t="s">
        <v>1358</v>
      </c>
      <c r="R468" s="113" t="s">
        <v>881</v>
      </c>
      <c r="S468" s="109" t="s">
        <v>298</v>
      </c>
    </row>
    <row r="469" spans="1:19" ht="37">
      <c r="A469">
        <v>441</v>
      </c>
      <c r="B469" s="131" t="s">
        <v>322</v>
      </c>
      <c r="C469" s="27">
        <f>VLOOKUP(B469,Elements!$A$2:$B$435,2,0)</f>
        <v>271</v>
      </c>
      <c r="D469" s="53">
        <v>5</v>
      </c>
      <c r="E469" t="str">
        <f>VLOOKUP(D469,Categories!$A$2:$B$8,2,0)</f>
        <v>SA</v>
      </c>
      <c r="F469">
        <v>20</v>
      </c>
      <c r="G469" t="str">
        <f>VLOOKUP(F469,Subcategories!$A$2:$B$29,2,0)</f>
        <v>Process Support</v>
      </c>
      <c r="H469" t="str">
        <f t="shared" si="7"/>
        <v>5-20-271</v>
      </c>
      <c r="I469">
        <f>VLOOKUP(H469,SuiteCatSubElem!$F$2:$G$666,2,0)</f>
        <v>435</v>
      </c>
      <c r="J469" s="53">
        <v>1</v>
      </c>
      <c r="K469">
        <v>272</v>
      </c>
      <c r="L469" s="53"/>
      <c r="M469" t="s">
        <v>50</v>
      </c>
      <c r="N469" s="60">
        <v>43101</v>
      </c>
      <c r="O469" t="s">
        <v>50</v>
      </c>
      <c r="P469">
        <v>27</v>
      </c>
      <c r="Q469" t="s">
        <v>1358</v>
      </c>
      <c r="R469" s="113" t="s">
        <v>882</v>
      </c>
      <c r="S469" s="112" t="s">
        <v>298</v>
      </c>
    </row>
    <row r="470" spans="1:19">
      <c r="A470">
        <v>442</v>
      </c>
      <c r="B470" s="131" t="s">
        <v>323</v>
      </c>
      <c r="C470" s="27">
        <f>VLOOKUP(B470,Elements!$A$2:$B$435,2,0)</f>
        <v>272</v>
      </c>
      <c r="D470" s="53">
        <v>5</v>
      </c>
      <c r="E470" t="str">
        <f>VLOOKUP(D470,Categories!$A$2:$B$8,2,0)</f>
        <v>SA</v>
      </c>
      <c r="F470">
        <v>20</v>
      </c>
      <c r="G470" t="str">
        <f>VLOOKUP(F470,Subcategories!$A$2:$B$29,2,0)</f>
        <v>Process Support</v>
      </c>
      <c r="H470" t="str">
        <f t="shared" si="7"/>
        <v>5-20-272</v>
      </c>
      <c r="I470">
        <f>VLOOKUP(H470,SuiteCatSubElem!$F$2:$G$666,2,0)</f>
        <v>436</v>
      </c>
      <c r="J470" s="53">
        <v>1</v>
      </c>
      <c r="K470">
        <v>273</v>
      </c>
      <c r="L470" s="53"/>
      <c r="M470" t="s">
        <v>50</v>
      </c>
      <c r="N470" s="60">
        <v>43101</v>
      </c>
      <c r="O470" t="s">
        <v>50</v>
      </c>
      <c r="P470">
        <v>28</v>
      </c>
      <c r="Q470" t="s">
        <v>1358</v>
      </c>
      <c r="R470" s="113" t="s">
        <v>883</v>
      </c>
      <c r="S470" s="112" t="s">
        <v>298</v>
      </c>
    </row>
    <row r="471" spans="1:19" ht="25">
      <c r="A471">
        <v>443</v>
      </c>
      <c r="B471" s="131" t="s">
        <v>324</v>
      </c>
      <c r="C471" s="27">
        <f>VLOOKUP(B471,Elements!$A$2:$B$435,2,0)</f>
        <v>273</v>
      </c>
      <c r="D471">
        <v>5</v>
      </c>
      <c r="E471" t="str">
        <f>VLOOKUP(D471,Categories!$A$2:$B$8,2,0)</f>
        <v>SA</v>
      </c>
      <c r="F471">
        <v>20</v>
      </c>
      <c r="G471" t="str">
        <f>VLOOKUP(F471,Subcategories!$A$2:$B$29,2,0)</f>
        <v>Process Support</v>
      </c>
      <c r="H471" t="str">
        <f t="shared" si="7"/>
        <v>5-20-273</v>
      </c>
      <c r="I471">
        <f>VLOOKUP(H471,SuiteCatSubElem!$F$2:$G$666,2,0)</f>
        <v>437</v>
      </c>
      <c r="J471">
        <v>1</v>
      </c>
      <c r="K471">
        <v>274</v>
      </c>
      <c r="M471" t="s">
        <v>50</v>
      </c>
      <c r="N471" s="60">
        <v>43101</v>
      </c>
      <c r="O471" t="s">
        <v>50</v>
      </c>
      <c r="P471">
        <v>29</v>
      </c>
      <c r="Q471" t="s">
        <v>1358</v>
      </c>
      <c r="R471" s="102" t="s">
        <v>884</v>
      </c>
      <c r="S471" s="109" t="s">
        <v>298</v>
      </c>
    </row>
    <row r="472" spans="1:19" ht="30">
      <c r="A472">
        <v>444</v>
      </c>
      <c r="B472" s="131" t="s">
        <v>325</v>
      </c>
      <c r="C472" s="27">
        <f>VLOOKUP(B472,Elements!$A$2:$B$435,2,0)</f>
        <v>274</v>
      </c>
      <c r="D472">
        <v>5</v>
      </c>
      <c r="E472" t="str">
        <f>VLOOKUP(D472,Categories!$A$2:$B$8,2,0)</f>
        <v>SA</v>
      </c>
      <c r="F472">
        <v>20</v>
      </c>
      <c r="G472" t="str">
        <f>VLOOKUP(F472,Subcategories!$A$2:$B$29,2,0)</f>
        <v>Process Support</v>
      </c>
      <c r="H472" t="str">
        <f t="shared" si="7"/>
        <v>5-20-274</v>
      </c>
      <c r="I472">
        <f>VLOOKUP(H472,SuiteCatSubElem!$F$2:$G$666,2,0)</f>
        <v>438</v>
      </c>
      <c r="J472">
        <v>1</v>
      </c>
      <c r="K472">
        <v>275</v>
      </c>
      <c r="M472" t="s">
        <v>50</v>
      </c>
      <c r="N472" s="60">
        <v>43101</v>
      </c>
      <c r="O472" t="s">
        <v>50</v>
      </c>
      <c r="P472">
        <v>30</v>
      </c>
      <c r="Q472" t="s">
        <v>1358</v>
      </c>
      <c r="R472" s="102" t="s">
        <v>885</v>
      </c>
      <c r="S472" s="109" t="s">
        <v>298</v>
      </c>
    </row>
    <row r="473" spans="1:19" ht="30">
      <c r="A473">
        <v>445</v>
      </c>
      <c r="B473" s="131" t="s">
        <v>326</v>
      </c>
      <c r="C473" s="27">
        <f>VLOOKUP(B473,Elements!$A$2:$B$435,2,0)</f>
        <v>275</v>
      </c>
      <c r="D473">
        <v>5</v>
      </c>
      <c r="E473" t="str">
        <f>VLOOKUP(D473,Categories!$A$2:$B$8,2,0)</f>
        <v>SA</v>
      </c>
      <c r="F473">
        <v>20</v>
      </c>
      <c r="G473" t="str">
        <f>VLOOKUP(F473,Subcategories!$A$2:$B$29,2,0)</f>
        <v>Process Support</v>
      </c>
      <c r="H473" t="str">
        <f t="shared" si="7"/>
        <v>5-20-275</v>
      </c>
      <c r="I473">
        <f>VLOOKUP(H473,SuiteCatSubElem!$F$2:$G$666,2,0)</f>
        <v>439</v>
      </c>
      <c r="J473">
        <v>1</v>
      </c>
      <c r="K473">
        <v>276</v>
      </c>
      <c r="M473" t="s">
        <v>50</v>
      </c>
      <c r="N473" s="60">
        <v>43101</v>
      </c>
      <c r="O473" t="s">
        <v>50</v>
      </c>
      <c r="P473">
        <v>31</v>
      </c>
      <c r="Q473" t="s">
        <v>1358</v>
      </c>
      <c r="R473" s="102" t="s">
        <v>1190</v>
      </c>
      <c r="S473" s="109" t="s">
        <v>298</v>
      </c>
    </row>
    <row r="474" spans="1:19" ht="37">
      <c r="A474">
        <v>446</v>
      </c>
      <c r="B474" s="131" t="s">
        <v>327</v>
      </c>
      <c r="C474" s="27">
        <f>VLOOKUP(B474,Elements!$A$2:$B$435,2,0)</f>
        <v>276</v>
      </c>
      <c r="D474">
        <v>5</v>
      </c>
      <c r="E474" t="str">
        <f>VLOOKUP(D474,Categories!$A$2:$B$8,2,0)</f>
        <v>SA</v>
      </c>
      <c r="F474">
        <v>20</v>
      </c>
      <c r="G474" t="str">
        <f>VLOOKUP(F474,Subcategories!$A$2:$B$29,2,0)</f>
        <v>Process Support</v>
      </c>
      <c r="H474" t="str">
        <f t="shared" si="7"/>
        <v>5-20-276</v>
      </c>
      <c r="I474">
        <f>VLOOKUP(H474,SuiteCatSubElem!$F$2:$G$666,2,0)</f>
        <v>440</v>
      </c>
      <c r="J474">
        <v>1</v>
      </c>
      <c r="K474">
        <v>277</v>
      </c>
      <c r="M474" t="s">
        <v>50</v>
      </c>
      <c r="N474" s="60">
        <v>43101</v>
      </c>
      <c r="O474" t="s">
        <v>50</v>
      </c>
      <c r="P474">
        <v>32</v>
      </c>
      <c r="Q474" t="s">
        <v>1358</v>
      </c>
      <c r="R474" s="102" t="s">
        <v>886</v>
      </c>
      <c r="S474" s="109" t="s">
        <v>298</v>
      </c>
    </row>
    <row r="475" spans="1:19">
      <c r="A475">
        <v>447</v>
      </c>
      <c r="B475" s="131" t="s">
        <v>328</v>
      </c>
      <c r="C475" s="27">
        <f>VLOOKUP(B475,Elements!$A$2:$B$435,2,0)</f>
        <v>277</v>
      </c>
      <c r="D475">
        <v>5</v>
      </c>
      <c r="E475" t="str">
        <f>VLOOKUP(D475,Categories!$A$2:$B$8,2,0)</f>
        <v>SA</v>
      </c>
      <c r="F475">
        <v>20</v>
      </c>
      <c r="G475" t="str">
        <f>VLOOKUP(F475,Subcategories!$A$2:$B$29,2,0)</f>
        <v>Process Support</v>
      </c>
      <c r="H475" t="str">
        <f t="shared" si="7"/>
        <v>5-20-277</v>
      </c>
      <c r="I475">
        <f>VLOOKUP(H475,SuiteCatSubElem!$F$2:$G$666,2,0)</f>
        <v>441</v>
      </c>
      <c r="J475">
        <v>1</v>
      </c>
      <c r="K475">
        <v>278</v>
      </c>
      <c r="M475" t="s">
        <v>50</v>
      </c>
      <c r="N475" s="60">
        <v>43101</v>
      </c>
      <c r="O475" t="s">
        <v>50</v>
      </c>
      <c r="P475">
        <v>33</v>
      </c>
      <c r="Q475" t="s">
        <v>1358</v>
      </c>
      <c r="R475" s="100" t="s">
        <v>887</v>
      </c>
      <c r="S475" s="109" t="s">
        <v>298</v>
      </c>
    </row>
    <row r="476" spans="1:19" ht="25">
      <c r="A476">
        <v>448</v>
      </c>
      <c r="B476" s="131" t="s">
        <v>329</v>
      </c>
      <c r="C476" s="27">
        <f>VLOOKUP(B476,Elements!$A$2:$B$435,2,0)</f>
        <v>278</v>
      </c>
      <c r="D476">
        <v>5</v>
      </c>
      <c r="E476" t="str">
        <f>VLOOKUP(D476,Categories!$A$2:$B$8,2,0)</f>
        <v>SA</v>
      </c>
      <c r="F476">
        <v>20</v>
      </c>
      <c r="G476" t="str">
        <f>VLOOKUP(F476,Subcategories!$A$2:$B$29,2,0)</f>
        <v>Process Support</v>
      </c>
      <c r="H476" t="str">
        <f t="shared" si="7"/>
        <v>5-20-278</v>
      </c>
      <c r="I476">
        <f>VLOOKUP(H476,SuiteCatSubElem!$F$2:$G$666,2,0)</f>
        <v>442</v>
      </c>
      <c r="J476">
        <v>1</v>
      </c>
      <c r="K476">
        <v>279</v>
      </c>
      <c r="M476" t="s">
        <v>50</v>
      </c>
      <c r="N476" s="60">
        <v>43101</v>
      </c>
      <c r="O476" t="s">
        <v>50</v>
      </c>
      <c r="P476">
        <v>34</v>
      </c>
      <c r="Q476" t="s">
        <v>1358</v>
      </c>
      <c r="R476" s="102" t="s">
        <v>888</v>
      </c>
      <c r="S476" s="109" t="s">
        <v>298</v>
      </c>
    </row>
    <row r="477" spans="1:19" ht="25">
      <c r="A477">
        <v>449</v>
      </c>
      <c r="B477" s="131" t="s">
        <v>330</v>
      </c>
      <c r="C477" s="27">
        <f>VLOOKUP(B477,Elements!$A$2:$B$435,2,0)</f>
        <v>279</v>
      </c>
      <c r="D477">
        <v>5</v>
      </c>
      <c r="E477" t="str">
        <f>VLOOKUP(D477,Categories!$A$2:$B$8,2,0)</f>
        <v>SA</v>
      </c>
      <c r="F477">
        <v>20</v>
      </c>
      <c r="G477" t="str">
        <f>VLOOKUP(F477,Subcategories!$A$2:$B$29,2,0)</f>
        <v>Process Support</v>
      </c>
      <c r="H477" t="str">
        <f t="shared" si="7"/>
        <v>5-20-279</v>
      </c>
      <c r="I477">
        <f>VLOOKUP(H477,SuiteCatSubElem!$F$2:$G$666,2,0)</f>
        <v>443</v>
      </c>
      <c r="J477">
        <v>1</v>
      </c>
      <c r="K477">
        <v>280</v>
      </c>
      <c r="M477" t="s">
        <v>50</v>
      </c>
      <c r="N477" s="60">
        <v>43101</v>
      </c>
      <c r="O477" t="s">
        <v>50</v>
      </c>
      <c r="P477">
        <v>35</v>
      </c>
      <c r="Q477" t="s">
        <v>1358</v>
      </c>
      <c r="R477" s="113" t="s">
        <v>889</v>
      </c>
      <c r="S477" s="109" t="s">
        <v>298</v>
      </c>
    </row>
    <row r="478" spans="1:19">
      <c r="A478">
        <v>450</v>
      </c>
      <c r="B478" s="131" t="s">
        <v>332</v>
      </c>
      <c r="C478" s="27">
        <f>VLOOKUP(B478,Elements!$A$2:$B$435,2,0)</f>
        <v>280</v>
      </c>
      <c r="D478">
        <v>5</v>
      </c>
      <c r="E478" t="str">
        <f>VLOOKUP(D478,Categories!$A$2:$B$8,2,0)</f>
        <v>SA</v>
      </c>
      <c r="F478">
        <v>21</v>
      </c>
      <c r="G478" t="str">
        <f>VLOOKUP(F478,Subcategories!$A$2:$B$29,2,0)</f>
        <v>Function Support</v>
      </c>
      <c r="H478" t="str">
        <f t="shared" si="7"/>
        <v>5-21-280</v>
      </c>
      <c r="I478">
        <f>VLOOKUP(H478,SuiteCatSubElem!$F$2:$G$666,2,0)</f>
        <v>444</v>
      </c>
      <c r="J478">
        <v>1</v>
      </c>
      <c r="K478">
        <v>281</v>
      </c>
      <c r="M478" t="s">
        <v>50</v>
      </c>
      <c r="N478" s="60">
        <v>43101</v>
      </c>
      <c r="O478" t="s">
        <v>50</v>
      </c>
      <c r="P478">
        <v>36</v>
      </c>
      <c r="Q478" t="s">
        <v>1358</v>
      </c>
      <c r="R478" s="102" t="s">
        <v>891</v>
      </c>
      <c r="S478" s="109" t="s">
        <v>298</v>
      </c>
    </row>
    <row r="479" spans="1:19">
      <c r="A479">
        <v>451</v>
      </c>
      <c r="B479" s="131" t="s">
        <v>333</v>
      </c>
      <c r="C479" s="27">
        <f>VLOOKUP(B479,Elements!$A$2:$B$435,2,0)</f>
        <v>281</v>
      </c>
      <c r="D479">
        <v>5</v>
      </c>
      <c r="E479" t="str">
        <f>VLOOKUP(D479,Categories!$A$2:$B$8,2,0)</f>
        <v>SA</v>
      </c>
      <c r="F479">
        <v>21</v>
      </c>
      <c r="G479" t="str">
        <f>VLOOKUP(F479,Subcategories!$A$2:$B$29,2,0)</f>
        <v>Function Support</v>
      </c>
      <c r="H479" t="str">
        <f t="shared" si="7"/>
        <v>5-21-281</v>
      </c>
      <c r="I479">
        <f>VLOOKUP(H479,SuiteCatSubElem!$F$2:$G$666,2,0)</f>
        <v>445</v>
      </c>
      <c r="J479">
        <v>1</v>
      </c>
      <c r="K479">
        <v>282</v>
      </c>
      <c r="M479" t="s">
        <v>50</v>
      </c>
      <c r="N479" s="60">
        <v>43101</v>
      </c>
      <c r="O479" t="s">
        <v>50</v>
      </c>
      <c r="P479">
        <v>37</v>
      </c>
      <c r="Q479" t="s">
        <v>1358</v>
      </c>
      <c r="R479" s="113" t="s">
        <v>892</v>
      </c>
      <c r="S479" s="109" t="s">
        <v>298</v>
      </c>
    </row>
    <row r="480" spans="1:19">
      <c r="A480">
        <v>453</v>
      </c>
      <c r="B480" s="131" t="s">
        <v>334</v>
      </c>
      <c r="C480" s="27">
        <f>VLOOKUP(B480,Elements!$A$2:$B$435,2,0)</f>
        <v>282</v>
      </c>
      <c r="D480">
        <v>5</v>
      </c>
      <c r="E480" t="str">
        <f>VLOOKUP(D480,Categories!$A$2:$B$8,2,0)</f>
        <v>SA</v>
      </c>
      <c r="F480">
        <v>21</v>
      </c>
      <c r="G480" t="str">
        <f>VLOOKUP(F480,Subcategories!$A$2:$B$29,2,0)</f>
        <v>Function Support</v>
      </c>
      <c r="H480" t="str">
        <f t="shared" si="7"/>
        <v>5-21-282</v>
      </c>
      <c r="I480">
        <f>VLOOKUP(H480,SuiteCatSubElem!$F$2:$G$666,2,0)</f>
        <v>447</v>
      </c>
      <c r="J480">
        <v>1</v>
      </c>
      <c r="K480">
        <v>283</v>
      </c>
      <c r="M480" t="s">
        <v>50</v>
      </c>
      <c r="N480" s="60">
        <v>43101</v>
      </c>
      <c r="O480" t="s">
        <v>50</v>
      </c>
      <c r="P480">
        <v>39</v>
      </c>
      <c r="Q480" t="s">
        <v>1358</v>
      </c>
      <c r="R480" s="113" t="s">
        <v>894</v>
      </c>
      <c r="S480" s="109" t="s">
        <v>298</v>
      </c>
    </row>
    <row r="481" spans="1:19">
      <c r="A481">
        <v>457</v>
      </c>
      <c r="B481" s="131" t="s">
        <v>335</v>
      </c>
      <c r="C481" s="27">
        <f>VLOOKUP(B481,Elements!$A$2:$B$435,2,0)</f>
        <v>283</v>
      </c>
      <c r="D481">
        <v>5</v>
      </c>
      <c r="E481" t="str">
        <f>VLOOKUP(D481,Categories!$A$2:$B$8,2,0)</f>
        <v>SA</v>
      </c>
      <c r="F481">
        <v>21</v>
      </c>
      <c r="G481" t="str">
        <f>VLOOKUP(F481,Subcategories!$A$2:$B$29,2,0)</f>
        <v>Function Support</v>
      </c>
      <c r="H481" t="str">
        <f t="shared" si="7"/>
        <v>5-21-283</v>
      </c>
      <c r="I481">
        <f>VLOOKUP(H481,SuiteCatSubElem!$F$2:$G$666,2,0)</f>
        <v>451</v>
      </c>
      <c r="J481">
        <v>1</v>
      </c>
      <c r="K481">
        <v>284</v>
      </c>
      <c r="M481" t="s">
        <v>50</v>
      </c>
      <c r="N481" s="60">
        <v>43101</v>
      </c>
      <c r="O481" t="s">
        <v>50</v>
      </c>
      <c r="P481">
        <v>43</v>
      </c>
      <c r="Q481" t="s">
        <v>1358</v>
      </c>
      <c r="R481" s="113" t="s">
        <v>898</v>
      </c>
      <c r="S481" s="109" t="s">
        <v>298</v>
      </c>
    </row>
    <row r="482" spans="1:19" ht="25">
      <c r="A482">
        <v>459</v>
      </c>
      <c r="B482" s="131" t="s">
        <v>336</v>
      </c>
      <c r="C482" s="27">
        <f>VLOOKUP(B482,Elements!$A$2:$B$435,2,0)</f>
        <v>284</v>
      </c>
      <c r="D482">
        <v>5</v>
      </c>
      <c r="E482" t="str">
        <f>VLOOKUP(D482,Categories!$A$2:$B$8,2,0)</f>
        <v>SA</v>
      </c>
      <c r="F482">
        <v>21</v>
      </c>
      <c r="G482" t="str">
        <f>VLOOKUP(F482,Subcategories!$A$2:$B$29,2,0)</f>
        <v>Function Support</v>
      </c>
      <c r="H482" t="str">
        <f t="shared" si="7"/>
        <v>5-21-284</v>
      </c>
      <c r="I482">
        <f>VLOOKUP(H482,SuiteCatSubElem!$F$2:$G$666,2,0)</f>
        <v>453</v>
      </c>
      <c r="J482">
        <v>1</v>
      </c>
      <c r="K482">
        <v>285</v>
      </c>
      <c r="M482" t="s">
        <v>50</v>
      </c>
      <c r="N482" s="60">
        <v>43101</v>
      </c>
      <c r="O482" t="s">
        <v>50</v>
      </c>
      <c r="P482">
        <v>45</v>
      </c>
      <c r="Q482" t="s">
        <v>1358</v>
      </c>
      <c r="R482" s="113" t="s">
        <v>900</v>
      </c>
      <c r="S482" s="109" t="s">
        <v>298</v>
      </c>
    </row>
    <row r="483" spans="1:19" ht="25">
      <c r="A483">
        <v>460</v>
      </c>
      <c r="B483" s="131" t="s">
        <v>337</v>
      </c>
      <c r="C483" s="27">
        <f>VLOOKUP(B483,Elements!$A$2:$B$435,2,0)</f>
        <v>285</v>
      </c>
      <c r="D483">
        <v>5</v>
      </c>
      <c r="E483" t="str">
        <f>VLOOKUP(D483,Categories!$A$2:$B$8,2,0)</f>
        <v>SA</v>
      </c>
      <c r="F483">
        <v>21</v>
      </c>
      <c r="G483" t="str">
        <f>VLOOKUP(F483,Subcategories!$A$2:$B$29,2,0)</f>
        <v>Function Support</v>
      </c>
      <c r="H483" t="str">
        <f t="shared" si="7"/>
        <v>5-21-285</v>
      </c>
      <c r="I483">
        <f>VLOOKUP(H483,SuiteCatSubElem!$F$2:$G$666,2,0)</f>
        <v>454</v>
      </c>
      <c r="J483">
        <v>1</v>
      </c>
      <c r="K483">
        <v>286</v>
      </c>
      <c r="M483" t="s">
        <v>50</v>
      </c>
      <c r="N483" s="60">
        <v>43101</v>
      </c>
      <c r="O483" t="s">
        <v>50</v>
      </c>
      <c r="P483">
        <v>46</v>
      </c>
      <c r="Q483" t="s">
        <v>1358</v>
      </c>
      <c r="R483" s="102" t="s">
        <v>901</v>
      </c>
      <c r="S483" s="109" t="s">
        <v>298</v>
      </c>
    </row>
    <row r="484" spans="1:19" ht="30">
      <c r="A484">
        <v>461</v>
      </c>
      <c r="B484" s="131" t="s">
        <v>338</v>
      </c>
      <c r="C484" s="27">
        <f>VLOOKUP(B484,Elements!$A$2:$B$435,2,0)</f>
        <v>286</v>
      </c>
      <c r="D484">
        <v>5</v>
      </c>
      <c r="E484" t="str">
        <f>VLOOKUP(D484,Categories!$A$2:$B$8,2,0)</f>
        <v>SA</v>
      </c>
      <c r="F484">
        <v>21</v>
      </c>
      <c r="G484" t="str">
        <f>VLOOKUP(F484,Subcategories!$A$2:$B$29,2,0)</f>
        <v>Function Support</v>
      </c>
      <c r="H484" t="str">
        <f t="shared" si="7"/>
        <v>5-21-286</v>
      </c>
      <c r="I484">
        <f>VLOOKUP(H484,SuiteCatSubElem!$F$2:$G$666,2,0)</f>
        <v>455</v>
      </c>
      <c r="J484">
        <v>1</v>
      </c>
      <c r="K484">
        <v>287</v>
      </c>
      <c r="M484" t="s">
        <v>50</v>
      </c>
      <c r="N484" s="60">
        <v>43101</v>
      </c>
      <c r="O484" t="s">
        <v>50</v>
      </c>
      <c r="P484">
        <v>47</v>
      </c>
      <c r="Q484" t="s">
        <v>1358</v>
      </c>
      <c r="R484" s="102" t="s">
        <v>902</v>
      </c>
      <c r="S484" s="109" t="s">
        <v>298</v>
      </c>
    </row>
    <row r="485" spans="1:19" ht="25">
      <c r="A485">
        <v>462</v>
      </c>
      <c r="B485" s="131" t="s">
        <v>339</v>
      </c>
      <c r="C485" s="27">
        <f>VLOOKUP(B485,Elements!$A$2:$B$435,2,0)</f>
        <v>287</v>
      </c>
      <c r="D485">
        <v>5</v>
      </c>
      <c r="E485" t="str">
        <f>VLOOKUP(D485,Categories!$A$2:$B$8,2,0)</f>
        <v>SA</v>
      </c>
      <c r="F485">
        <v>21</v>
      </c>
      <c r="G485" t="str">
        <f>VLOOKUP(F485,Subcategories!$A$2:$B$29,2,0)</f>
        <v>Function Support</v>
      </c>
      <c r="H485" t="str">
        <f t="shared" si="7"/>
        <v>5-21-287</v>
      </c>
      <c r="I485">
        <f>VLOOKUP(H485,SuiteCatSubElem!$F$2:$G$666,2,0)</f>
        <v>456</v>
      </c>
      <c r="J485">
        <v>1</v>
      </c>
      <c r="K485">
        <v>288</v>
      </c>
      <c r="M485" t="s">
        <v>50</v>
      </c>
      <c r="N485" s="60">
        <v>43101</v>
      </c>
      <c r="O485" t="s">
        <v>50</v>
      </c>
      <c r="P485">
        <v>48</v>
      </c>
      <c r="Q485" t="s">
        <v>1358</v>
      </c>
      <c r="R485" s="113" t="s">
        <v>903</v>
      </c>
      <c r="S485" s="109" t="s">
        <v>298</v>
      </c>
    </row>
    <row r="486" spans="1:19" ht="30">
      <c r="A486">
        <v>463</v>
      </c>
      <c r="B486" s="131" t="s">
        <v>340</v>
      </c>
      <c r="C486" s="27">
        <f>VLOOKUP(B486,Elements!$A$2:$B$435,2,0)</f>
        <v>288</v>
      </c>
      <c r="D486">
        <v>5</v>
      </c>
      <c r="E486" t="str">
        <f>VLOOKUP(D486,Categories!$A$2:$B$8,2,0)</f>
        <v>SA</v>
      </c>
      <c r="F486">
        <v>21</v>
      </c>
      <c r="G486" t="str">
        <f>VLOOKUP(F486,Subcategories!$A$2:$B$29,2,0)</f>
        <v>Function Support</v>
      </c>
      <c r="H486" t="str">
        <f t="shared" si="7"/>
        <v>5-21-288</v>
      </c>
      <c r="I486">
        <f>VLOOKUP(H486,SuiteCatSubElem!$F$2:$G$666,2,0)</f>
        <v>457</v>
      </c>
      <c r="J486">
        <v>1</v>
      </c>
      <c r="K486">
        <v>289</v>
      </c>
      <c r="M486" t="s">
        <v>50</v>
      </c>
      <c r="N486" s="60">
        <v>43101</v>
      </c>
      <c r="O486" t="s">
        <v>50</v>
      </c>
      <c r="P486">
        <v>49</v>
      </c>
      <c r="Q486" t="s">
        <v>1358</v>
      </c>
      <c r="R486" s="113" t="s">
        <v>904</v>
      </c>
      <c r="S486" s="109" t="s">
        <v>298</v>
      </c>
    </row>
    <row r="487" spans="1:19" ht="30">
      <c r="A487">
        <v>464</v>
      </c>
      <c r="B487" s="131" t="s">
        <v>341</v>
      </c>
      <c r="C487" s="27">
        <f>VLOOKUP(B487,Elements!$A$2:$B$435,2,0)</f>
        <v>289</v>
      </c>
      <c r="D487">
        <v>5</v>
      </c>
      <c r="E487" t="str">
        <f>VLOOKUP(D487,Categories!$A$2:$B$8,2,0)</f>
        <v>SA</v>
      </c>
      <c r="F487">
        <v>21</v>
      </c>
      <c r="G487" t="str">
        <f>VLOOKUP(F487,Subcategories!$A$2:$B$29,2,0)</f>
        <v>Function Support</v>
      </c>
      <c r="H487" t="str">
        <f t="shared" si="7"/>
        <v>5-21-289</v>
      </c>
      <c r="I487">
        <f>VLOOKUP(H487,SuiteCatSubElem!$F$2:$G$666,2,0)</f>
        <v>458</v>
      </c>
      <c r="J487">
        <v>1</v>
      </c>
      <c r="K487">
        <v>290</v>
      </c>
      <c r="M487" t="s">
        <v>50</v>
      </c>
      <c r="N487" s="60">
        <v>43101</v>
      </c>
      <c r="O487" t="s">
        <v>50</v>
      </c>
      <c r="P487">
        <v>50</v>
      </c>
      <c r="Q487" t="s">
        <v>1358</v>
      </c>
      <c r="R487" s="113" t="s">
        <v>905</v>
      </c>
      <c r="S487" s="109" t="s">
        <v>298</v>
      </c>
    </row>
    <row r="488" spans="1:19" ht="25">
      <c r="A488">
        <v>465</v>
      </c>
      <c r="B488" s="131" t="s">
        <v>342</v>
      </c>
      <c r="C488" s="27">
        <f>VLOOKUP(B488,Elements!$A$2:$B$435,2,0)</f>
        <v>290</v>
      </c>
      <c r="D488">
        <v>5</v>
      </c>
      <c r="E488" t="str">
        <f>VLOOKUP(D488,Categories!$A$2:$B$8,2,0)</f>
        <v>SA</v>
      </c>
      <c r="F488">
        <v>21</v>
      </c>
      <c r="G488" t="str">
        <f>VLOOKUP(F488,Subcategories!$A$2:$B$29,2,0)</f>
        <v>Function Support</v>
      </c>
      <c r="H488" t="str">
        <f t="shared" si="7"/>
        <v>5-21-290</v>
      </c>
      <c r="I488">
        <f>VLOOKUP(H488,SuiteCatSubElem!$F$2:$G$666,2,0)</f>
        <v>459</v>
      </c>
      <c r="J488">
        <v>1</v>
      </c>
      <c r="K488">
        <v>291</v>
      </c>
      <c r="M488" t="s">
        <v>50</v>
      </c>
      <c r="N488" s="60">
        <v>43101</v>
      </c>
      <c r="O488" t="s">
        <v>50</v>
      </c>
      <c r="P488">
        <v>51</v>
      </c>
      <c r="Q488" t="s">
        <v>1358</v>
      </c>
      <c r="R488" s="113" t="s">
        <v>906</v>
      </c>
      <c r="S488" s="109" t="s">
        <v>298</v>
      </c>
    </row>
    <row r="489" spans="1:19" ht="30">
      <c r="A489">
        <v>466</v>
      </c>
      <c r="B489" s="131" t="s">
        <v>343</v>
      </c>
      <c r="C489" s="27">
        <f>VLOOKUP(B489,Elements!$A$2:$B$435,2,0)</f>
        <v>291</v>
      </c>
      <c r="D489">
        <v>5</v>
      </c>
      <c r="E489" t="str">
        <f>VLOOKUP(D489,Categories!$A$2:$B$8,2,0)</f>
        <v>SA</v>
      </c>
      <c r="F489">
        <v>21</v>
      </c>
      <c r="G489" t="str">
        <f>VLOOKUP(F489,Subcategories!$A$2:$B$29,2,0)</f>
        <v>Function Support</v>
      </c>
      <c r="H489" t="str">
        <f t="shared" si="7"/>
        <v>5-21-291</v>
      </c>
      <c r="I489">
        <f>VLOOKUP(H489,SuiteCatSubElem!$F$2:$G$666,2,0)</f>
        <v>460</v>
      </c>
      <c r="J489">
        <v>1</v>
      </c>
      <c r="K489">
        <v>292</v>
      </c>
      <c r="M489" t="s">
        <v>50</v>
      </c>
      <c r="N489" s="60">
        <v>43101</v>
      </c>
      <c r="O489" t="s">
        <v>50</v>
      </c>
      <c r="P489">
        <v>52</v>
      </c>
      <c r="Q489" t="s">
        <v>1358</v>
      </c>
      <c r="R489" s="113" t="s">
        <v>907</v>
      </c>
      <c r="S489" s="109" t="s">
        <v>298</v>
      </c>
    </row>
    <row r="490" spans="1:19" ht="25">
      <c r="A490">
        <v>467</v>
      </c>
      <c r="B490" s="131" t="s">
        <v>344</v>
      </c>
      <c r="C490" s="27">
        <f>VLOOKUP(B490,Elements!$A$2:$B$435,2,0)</f>
        <v>292</v>
      </c>
      <c r="D490">
        <v>5</v>
      </c>
      <c r="E490" t="str">
        <f>VLOOKUP(D490,Categories!$A$2:$B$8,2,0)</f>
        <v>SA</v>
      </c>
      <c r="F490">
        <v>21</v>
      </c>
      <c r="G490" t="str">
        <f>VLOOKUP(F490,Subcategories!$A$2:$B$29,2,0)</f>
        <v>Function Support</v>
      </c>
      <c r="H490" t="str">
        <f t="shared" si="7"/>
        <v>5-21-292</v>
      </c>
      <c r="I490">
        <f>VLOOKUP(H490,SuiteCatSubElem!$F$2:$G$666,2,0)</f>
        <v>461</v>
      </c>
      <c r="J490">
        <v>1</v>
      </c>
      <c r="K490">
        <v>293</v>
      </c>
      <c r="M490" t="s">
        <v>50</v>
      </c>
      <c r="N490" s="60">
        <v>43101</v>
      </c>
      <c r="O490" t="s">
        <v>50</v>
      </c>
      <c r="P490">
        <v>53</v>
      </c>
      <c r="Q490" t="s">
        <v>1358</v>
      </c>
      <c r="R490" s="113" t="s">
        <v>908</v>
      </c>
      <c r="S490" s="109" t="s">
        <v>298</v>
      </c>
    </row>
    <row r="491" spans="1:19" ht="25">
      <c r="A491">
        <v>468</v>
      </c>
      <c r="B491" s="131" t="s">
        <v>345</v>
      </c>
      <c r="C491" s="27">
        <f>VLOOKUP(B491,Elements!$A$2:$B$435,2,0)</f>
        <v>293</v>
      </c>
      <c r="D491">
        <v>5</v>
      </c>
      <c r="E491" t="str">
        <f>VLOOKUP(D491,Categories!$A$2:$B$8,2,0)</f>
        <v>SA</v>
      </c>
      <c r="F491">
        <v>21</v>
      </c>
      <c r="G491" t="str">
        <f>VLOOKUP(F491,Subcategories!$A$2:$B$29,2,0)</f>
        <v>Function Support</v>
      </c>
      <c r="H491" t="str">
        <f t="shared" si="7"/>
        <v>5-21-293</v>
      </c>
      <c r="I491">
        <f>VLOOKUP(H491,SuiteCatSubElem!$F$2:$G$666,2,0)</f>
        <v>462</v>
      </c>
      <c r="J491">
        <v>1</v>
      </c>
      <c r="K491">
        <v>294</v>
      </c>
      <c r="M491" t="s">
        <v>50</v>
      </c>
      <c r="N491" s="60">
        <v>43101</v>
      </c>
      <c r="O491" t="s">
        <v>50</v>
      </c>
      <c r="P491">
        <v>54</v>
      </c>
      <c r="Q491" t="s">
        <v>1358</v>
      </c>
      <c r="R491" s="113" t="s">
        <v>909</v>
      </c>
      <c r="S491" s="109" t="s">
        <v>298</v>
      </c>
    </row>
    <row r="492" spans="1:19" ht="25">
      <c r="A492">
        <v>469</v>
      </c>
      <c r="B492" s="131" t="s">
        <v>346</v>
      </c>
      <c r="C492" s="27">
        <f>VLOOKUP(B492,Elements!$A$2:$B$435,2,0)</f>
        <v>294</v>
      </c>
      <c r="D492">
        <v>5</v>
      </c>
      <c r="E492" t="str">
        <f>VLOOKUP(D492,Categories!$A$2:$B$8,2,0)</f>
        <v>SA</v>
      </c>
      <c r="F492">
        <v>21</v>
      </c>
      <c r="G492" t="str">
        <f>VLOOKUP(F492,Subcategories!$A$2:$B$29,2,0)</f>
        <v>Function Support</v>
      </c>
      <c r="H492" t="str">
        <f t="shared" si="7"/>
        <v>5-21-294</v>
      </c>
      <c r="I492">
        <f>VLOOKUP(H492,SuiteCatSubElem!$F$2:$G$666,2,0)</f>
        <v>463</v>
      </c>
      <c r="J492">
        <v>1</v>
      </c>
      <c r="K492">
        <v>295</v>
      </c>
      <c r="M492" t="s">
        <v>50</v>
      </c>
      <c r="N492" s="60">
        <v>43101</v>
      </c>
      <c r="O492" t="s">
        <v>50</v>
      </c>
      <c r="P492">
        <v>55</v>
      </c>
      <c r="Q492" t="s">
        <v>1358</v>
      </c>
      <c r="R492" s="113" t="s">
        <v>910</v>
      </c>
      <c r="S492" s="109" t="s">
        <v>298</v>
      </c>
    </row>
    <row r="493" spans="1:19" ht="30">
      <c r="A493">
        <v>470</v>
      </c>
      <c r="B493" s="131" t="s">
        <v>347</v>
      </c>
      <c r="C493" s="27">
        <f>VLOOKUP(B493,Elements!$A$2:$B$435,2,0)</f>
        <v>295</v>
      </c>
      <c r="D493">
        <v>5</v>
      </c>
      <c r="E493" t="str">
        <f>VLOOKUP(D493,Categories!$A$2:$B$8,2,0)</f>
        <v>SA</v>
      </c>
      <c r="F493">
        <v>21</v>
      </c>
      <c r="G493" t="str">
        <f>VLOOKUP(F493,Subcategories!$A$2:$B$29,2,0)</f>
        <v>Function Support</v>
      </c>
      <c r="H493" t="str">
        <f t="shared" si="7"/>
        <v>5-21-295</v>
      </c>
      <c r="I493">
        <f>VLOOKUP(H493,SuiteCatSubElem!$F$2:$G$666,2,0)</f>
        <v>464</v>
      </c>
      <c r="J493">
        <v>1</v>
      </c>
      <c r="K493">
        <v>296</v>
      </c>
      <c r="M493" t="s">
        <v>50</v>
      </c>
      <c r="N493" s="60">
        <v>43101</v>
      </c>
      <c r="O493" t="s">
        <v>50</v>
      </c>
      <c r="P493">
        <v>56</v>
      </c>
      <c r="Q493" t="s">
        <v>1358</v>
      </c>
      <c r="R493" s="113" t="s">
        <v>911</v>
      </c>
      <c r="S493" s="109" t="s">
        <v>298</v>
      </c>
    </row>
    <row r="494" spans="1:19" ht="30">
      <c r="A494">
        <v>471</v>
      </c>
      <c r="B494" s="131" t="s">
        <v>348</v>
      </c>
      <c r="C494" s="27">
        <f>VLOOKUP(B494,Elements!$A$2:$B$435,2,0)</f>
        <v>296</v>
      </c>
      <c r="D494">
        <v>5</v>
      </c>
      <c r="E494" t="str">
        <f>VLOOKUP(D494,Categories!$A$2:$B$8,2,0)</f>
        <v>SA</v>
      </c>
      <c r="F494">
        <v>21</v>
      </c>
      <c r="G494" t="str">
        <f>VLOOKUP(F494,Subcategories!$A$2:$B$29,2,0)</f>
        <v>Function Support</v>
      </c>
      <c r="H494" t="str">
        <f t="shared" si="7"/>
        <v>5-21-296</v>
      </c>
      <c r="I494">
        <f>VLOOKUP(H494,SuiteCatSubElem!$F$2:$G$666,2,0)</f>
        <v>465</v>
      </c>
      <c r="J494">
        <v>1</v>
      </c>
      <c r="K494">
        <v>297</v>
      </c>
      <c r="M494" t="s">
        <v>50</v>
      </c>
      <c r="N494" s="60">
        <v>43101</v>
      </c>
      <c r="O494" t="s">
        <v>50</v>
      </c>
      <c r="P494">
        <v>57</v>
      </c>
      <c r="Q494" t="s">
        <v>1358</v>
      </c>
      <c r="R494" s="113" t="s">
        <v>912</v>
      </c>
      <c r="S494" s="109" t="s">
        <v>298</v>
      </c>
    </row>
    <row r="495" spans="1:19" ht="30">
      <c r="A495">
        <v>472</v>
      </c>
      <c r="B495" s="131" t="s">
        <v>349</v>
      </c>
      <c r="C495" s="27">
        <f>VLOOKUP(B495,Elements!$A$2:$B$435,2,0)</f>
        <v>297</v>
      </c>
      <c r="D495">
        <v>5</v>
      </c>
      <c r="E495" t="str">
        <f>VLOOKUP(D495,Categories!$A$2:$B$8,2,0)</f>
        <v>SA</v>
      </c>
      <c r="F495">
        <v>21</v>
      </c>
      <c r="G495" t="str">
        <f>VLOOKUP(F495,Subcategories!$A$2:$B$29,2,0)</f>
        <v>Function Support</v>
      </c>
      <c r="H495" t="str">
        <f t="shared" si="7"/>
        <v>5-21-297</v>
      </c>
      <c r="I495">
        <f>VLOOKUP(H495,SuiteCatSubElem!$F$2:$G$666,2,0)</f>
        <v>466</v>
      </c>
      <c r="J495">
        <v>1</v>
      </c>
      <c r="K495">
        <v>298</v>
      </c>
      <c r="M495" t="s">
        <v>50</v>
      </c>
      <c r="N495" s="60">
        <v>43101</v>
      </c>
      <c r="O495" t="s">
        <v>50</v>
      </c>
      <c r="P495">
        <v>58</v>
      </c>
      <c r="Q495" t="s">
        <v>1358</v>
      </c>
      <c r="R495" s="113" t="s">
        <v>913</v>
      </c>
      <c r="S495" s="109" t="s">
        <v>298</v>
      </c>
    </row>
    <row r="496" spans="1:19" ht="25">
      <c r="A496">
        <v>473</v>
      </c>
      <c r="B496" s="131" t="s">
        <v>350</v>
      </c>
      <c r="C496" s="27">
        <f>VLOOKUP(B496,Elements!$A$2:$B$435,2,0)</f>
        <v>298</v>
      </c>
      <c r="D496">
        <v>5</v>
      </c>
      <c r="E496" t="str">
        <f>VLOOKUP(D496,Categories!$A$2:$B$8,2,0)</f>
        <v>SA</v>
      </c>
      <c r="F496">
        <v>7</v>
      </c>
      <c r="G496" t="str">
        <f>VLOOKUP(F496,Subcategories!$A$2:$B$29,2,0)</f>
        <v>Technology</v>
      </c>
      <c r="H496" t="str">
        <f t="shared" si="7"/>
        <v>5-7-298</v>
      </c>
      <c r="I496">
        <f>VLOOKUP(H496,SuiteCatSubElem!$F$2:$G$666,2,0)</f>
        <v>467</v>
      </c>
      <c r="J496">
        <v>1</v>
      </c>
      <c r="K496">
        <v>299</v>
      </c>
      <c r="M496" t="s">
        <v>50</v>
      </c>
      <c r="N496" s="60">
        <v>43101</v>
      </c>
      <c r="O496" t="s">
        <v>50</v>
      </c>
      <c r="P496">
        <v>59</v>
      </c>
      <c r="Q496" t="s">
        <v>1358</v>
      </c>
      <c r="R496" s="102" t="s">
        <v>914</v>
      </c>
      <c r="S496" s="109" t="s">
        <v>298</v>
      </c>
    </row>
    <row r="497" spans="1:19" ht="37">
      <c r="A497">
        <v>476</v>
      </c>
      <c r="B497" s="131" t="s">
        <v>352</v>
      </c>
      <c r="C497" s="27">
        <f>VLOOKUP(B497,Elements!$A$2:$B$435,2,0)</f>
        <v>299</v>
      </c>
      <c r="D497">
        <v>5</v>
      </c>
      <c r="E497" t="str">
        <f>VLOOKUP(D497,Categories!$A$2:$B$8,2,0)</f>
        <v>SA</v>
      </c>
      <c r="F497">
        <v>7</v>
      </c>
      <c r="G497" t="str">
        <f>VLOOKUP(F497,Subcategories!$A$2:$B$29,2,0)</f>
        <v>Technology</v>
      </c>
      <c r="H497" t="str">
        <f t="shared" si="7"/>
        <v>5-7-299</v>
      </c>
      <c r="I497">
        <f>VLOOKUP(H497,SuiteCatSubElem!$F$2:$G$666,2,0)</f>
        <v>470</v>
      </c>
      <c r="J497">
        <v>1</v>
      </c>
      <c r="K497">
        <v>300</v>
      </c>
      <c r="M497" t="s">
        <v>50</v>
      </c>
      <c r="N497" s="60">
        <v>43101</v>
      </c>
      <c r="O497" t="s">
        <v>50</v>
      </c>
      <c r="P497">
        <v>62</v>
      </c>
      <c r="Q497" t="s">
        <v>1358</v>
      </c>
      <c r="R497" s="102" t="s">
        <v>916</v>
      </c>
      <c r="S497" s="109" t="s">
        <v>298</v>
      </c>
    </row>
    <row r="498" spans="1:19" ht="30">
      <c r="A498">
        <v>480</v>
      </c>
      <c r="B498" s="131" t="s">
        <v>356</v>
      </c>
      <c r="C498" s="27">
        <f>VLOOKUP(B498,Elements!$A$2:$B$435,2,0)</f>
        <v>300</v>
      </c>
      <c r="D498" s="53">
        <v>5</v>
      </c>
      <c r="E498" t="str">
        <f>VLOOKUP(D498,Categories!$A$2:$B$8,2,0)</f>
        <v>SA</v>
      </c>
      <c r="F498">
        <v>7</v>
      </c>
      <c r="G498" t="str">
        <f>VLOOKUP(F498,Subcategories!$A$2:$B$29,2,0)</f>
        <v>Technology</v>
      </c>
      <c r="H498" t="str">
        <f t="shared" si="7"/>
        <v>5-7-300</v>
      </c>
      <c r="I498">
        <f>VLOOKUP(H498,SuiteCatSubElem!$F$2:$G$666,2,0)</f>
        <v>474</v>
      </c>
      <c r="J498" s="53">
        <v>1</v>
      </c>
      <c r="K498">
        <v>301</v>
      </c>
      <c r="L498" s="53"/>
      <c r="M498" t="s">
        <v>50</v>
      </c>
      <c r="N498" s="60">
        <v>43101</v>
      </c>
      <c r="O498" t="s">
        <v>50</v>
      </c>
      <c r="P498">
        <v>66</v>
      </c>
      <c r="Q498" t="s">
        <v>1358</v>
      </c>
      <c r="R498" s="102" t="s">
        <v>918</v>
      </c>
      <c r="S498" s="112" t="s">
        <v>298</v>
      </c>
    </row>
    <row r="499" spans="1:19" s="4" customFormat="1" ht="38" thickBot="1">
      <c r="A499">
        <v>481</v>
      </c>
      <c r="B499" s="135" t="s">
        <v>357</v>
      </c>
      <c r="C499" s="27">
        <f>VLOOKUP(B499,Elements!$A$2:$B$435,2,0)</f>
        <v>301</v>
      </c>
      <c r="D499" s="4">
        <v>5</v>
      </c>
      <c r="E499" t="str">
        <f>VLOOKUP(D499,Categories!$A$2:$B$8,2,0)</f>
        <v>SA</v>
      </c>
      <c r="F499">
        <v>7</v>
      </c>
      <c r="G499" t="str">
        <f>VLOOKUP(F499,Subcategories!$A$2:$B$29,2,0)</f>
        <v>Technology</v>
      </c>
      <c r="H499" t="str">
        <f t="shared" si="7"/>
        <v>5-7-301</v>
      </c>
      <c r="I499">
        <f>VLOOKUP(H499,SuiteCatSubElem!$F$2:$G$666,2,0)</f>
        <v>475</v>
      </c>
      <c r="J499" s="4">
        <v>1</v>
      </c>
      <c r="K499">
        <v>302</v>
      </c>
      <c r="M499" t="s">
        <v>50</v>
      </c>
      <c r="N499" s="60">
        <v>43101</v>
      </c>
      <c r="O499" t="s">
        <v>50</v>
      </c>
      <c r="P499">
        <v>67</v>
      </c>
      <c r="Q499" t="s">
        <v>1358</v>
      </c>
      <c r="R499" s="113" t="s">
        <v>1382</v>
      </c>
      <c r="S499" s="114" t="s">
        <v>298</v>
      </c>
    </row>
    <row r="500" spans="1:19" ht="37">
      <c r="A500">
        <v>583</v>
      </c>
      <c r="B500" s="127" t="s">
        <v>357</v>
      </c>
      <c r="C500" s="27">
        <f>VLOOKUP(B500,Elements!$A$2:$B$435,2,0)</f>
        <v>301</v>
      </c>
      <c r="D500">
        <v>6</v>
      </c>
      <c r="E500" t="str">
        <f>VLOOKUP(D500,Categories!$A$2:$B$8,2,0)</f>
        <v>SXM</v>
      </c>
      <c r="F500">
        <v>7</v>
      </c>
      <c r="G500" t="str">
        <f>VLOOKUP(F500,Subcategories!$A$2:$B$29,2,0)</f>
        <v>Technology</v>
      </c>
      <c r="H500" t="str">
        <f t="shared" si="7"/>
        <v>6-7-301</v>
      </c>
      <c r="I500">
        <f>VLOOKUP(H500,SuiteCatSubElem!$F$2:$G$666,2,0)</f>
        <v>577</v>
      </c>
      <c r="J500">
        <v>1</v>
      </c>
      <c r="K500">
        <v>302</v>
      </c>
      <c r="M500" t="s">
        <v>50</v>
      </c>
      <c r="N500" s="60">
        <v>43101</v>
      </c>
      <c r="O500" t="s">
        <v>50</v>
      </c>
      <c r="P500">
        <v>84</v>
      </c>
      <c r="Q500" t="s">
        <v>1358</v>
      </c>
      <c r="R500" s="113" t="s">
        <v>1382</v>
      </c>
      <c r="S500" s="109" t="s">
        <v>298</v>
      </c>
    </row>
    <row r="501" spans="1:19" ht="30">
      <c r="A501">
        <v>486</v>
      </c>
      <c r="B501" s="131" t="s">
        <v>358</v>
      </c>
      <c r="C501" s="27">
        <f>VLOOKUP(B501,Elements!$A$2:$B$435,2,0)</f>
        <v>302</v>
      </c>
      <c r="D501">
        <v>5</v>
      </c>
      <c r="E501" t="str">
        <f>VLOOKUP(D501,Categories!$A$2:$B$8,2,0)</f>
        <v>SA</v>
      </c>
      <c r="F501">
        <v>7</v>
      </c>
      <c r="G501" t="str">
        <f>VLOOKUP(F501,Subcategories!$A$2:$B$29,2,0)</f>
        <v>Technology</v>
      </c>
      <c r="H501" t="str">
        <f t="shared" si="7"/>
        <v>5-7-302</v>
      </c>
      <c r="I501">
        <f>VLOOKUP(H501,SuiteCatSubElem!$F$2:$G$666,2,0)</f>
        <v>480</v>
      </c>
      <c r="J501">
        <v>1</v>
      </c>
      <c r="K501">
        <v>303</v>
      </c>
      <c r="M501" t="s">
        <v>50</v>
      </c>
      <c r="N501" s="60">
        <v>43101</v>
      </c>
      <c r="O501" t="s">
        <v>50</v>
      </c>
      <c r="P501">
        <v>72</v>
      </c>
      <c r="Q501" t="s">
        <v>1358</v>
      </c>
      <c r="R501" s="102" t="s">
        <v>827</v>
      </c>
      <c r="S501" s="109" t="s">
        <v>298</v>
      </c>
    </row>
    <row r="502" spans="1:19" ht="49">
      <c r="A502">
        <v>487</v>
      </c>
      <c r="B502" s="131" t="s">
        <v>359</v>
      </c>
      <c r="C502" s="27">
        <f>VLOOKUP(B502,Elements!$A$2:$B$435,2,0)</f>
        <v>303</v>
      </c>
      <c r="D502">
        <v>5</v>
      </c>
      <c r="E502" t="str">
        <f>VLOOKUP(D502,Categories!$A$2:$B$8,2,0)</f>
        <v>SA</v>
      </c>
      <c r="F502">
        <v>6</v>
      </c>
      <c r="G502" t="str">
        <f>VLOOKUP(F502,Subcategories!$A$2:$B$29,2,0)</f>
        <v>Configurability</v>
      </c>
      <c r="H502" t="str">
        <f t="shared" si="7"/>
        <v>5-6-303</v>
      </c>
      <c r="I502">
        <f>VLOOKUP(H502,SuiteCatSubElem!$F$2:$G$666,2,0)</f>
        <v>481</v>
      </c>
      <c r="J502">
        <v>1</v>
      </c>
      <c r="K502">
        <v>304</v>
      </c>
      <c r="M502" t="s">
        <v>50</v>
      </c>
      <c r="N502" s="60">
        <v>43101</v>
      </c>
      <c r="O502" t="s">
        <v>50</v>
      </c>
      <c r="P502">
        <v>73</v>
      </c>
      <c r="Q502" t="s">
        <v>1358</v>
      </c>
      <c r="R502" s="102" t="s">
        <v>923</v>
      </c>
      <c r="S502" s="109" t="s">
        <v>298</v>
      </c>
    </row>
    <row r="503" spans="1:19" ht="73">
      <c r="A503">
        <v>488</v>
      </c>
      <c r="B503" s="131" t="s">
        <v>360</v>
      </c>
      <c r="C503" s="27">
        <f>VLOOKUP(B503,Elements!$A$2:$B$435,2,0)</f>
        <v>304</v>
      </c>
      <c r="D503">
        <v>5</v>
      </c>
      <c r="E503" t="str">
        <f>VLOOKUP(D503,Categories!$A$2:$B$8,2,0)</f>
        <v>SA</v>
      </c>
      <c r="F503">
        <v>6</v>
      </c>
      <c r="G503" t="str">
        <f>VLOOKUP(F503,Subcategories!$A$2:$B$29,2,0)</f>
        <v>Configurability</v>
      </c>
      <c r="H503" t="str">
        <f t="shared" si="7"/>
        <v>5-6-304</v>
      </c>
      <c r="I503">
        <f>VLOOKUP(H503,SuiteCatSubElem!$F$2:$G$666,2,0)</f>
        <v>482</v>
      </c>
      <c r="J503">
        <v>1</v>
      </c>
      <c r="K503">
        <v>305</v>
      </c>
      <c r="M503" t="s">
        <v>50</v>
      </c>
      <c r="N503" s="60">
        <v>43101</v>
      </c>
      <c r="O503" t="s">
        <v>50</v>
      </c>
      <c r="P503">
        <v>74</v>
      </c>
      <c r="Q503" t="s">
        <v>1358</v>
      </c>
      <c r="R503" s="113" t="s">
        <v>924</v>
      </c>
      <c r="S503" s="109" t="s">
        <v>298</v>
      </c>
    </row>
    <row r="504" spans="1:19" ht="37">
      <c r="A504">
        <v>489</v>
      </c>
      <c r="B504" s="131" t="s">
        <v>361</v>
      </c>
      <c r="C504" s="27">
        <f>VLOOKUP(B504,Elements!$A$2:$B$435,2,0)</f>
        <v>305</v>
      </c>
      <c r="D504">
        <v>5</v>
      </c>
      <c r="E504" t="str">
        <f>VLOOKUP(D504,Categories!$A$2:$B$8,2,0)</f>
        <v>SA</v>
      </c>
      <c r="F504">
        <v>6</v>
      </c>
      <c r="G504" t="str">
        <f>VLOOKUP(F504,Subcategories!$A$2:$B$29,2,0)</f>
        <v>Configurability</v>
      </c>
      <c r="H504" t="str">
        <f t="shared" si="7"/>
        <v>5-6-305</v>
      </c>
      <c r="I504">
        <f>VLOOKUP(H504,SuiteCatSubElem!$F$2:$G$666,2,0)</f>
        <v>483</v>
      </c>
      <c r="J504">
        <v>1</v>
      </c>
      <c r="K504">
        <v>306</v>
      </c>
      <c r="M504" t="s">
        <v>50</v>
      </c>
      <c r="N504" s="60">
        <v>43101</v>
      </c>
      <c r="O504" t="s">
        <v>50</v>
      </c>
      <c r="P504">
        <v>75</v>
      </c>
      <c r="Q504" t="s">
        <v>1358</v>
      </c>
      <c r="R504" s="102" t="s">
        <v>925</v>
      </c>
      <c r="S504" s="109" t="s">
        <v>298</v>
      </c>
    </row>
    <row r="505" spans="1:19" ht="30">
      <c r="A505">
        <v>494</v>
      </c>
      <c r="B505" s="131" t="s">
        <v>364</v>
      </c>
      <c r="C505" s="27">
        <f>VLOOKUP(B505,Elements!$A$2:$B$435,2,0)</f>
        <v>306</v>
      </c>
      <c r="D505">
        <v>5</v>
      </c>
      <c r="E505" t="str">
        <f>VLOOKUP(D505,Categories!$A$2:$B$8,2,0)</f>
        <v>SA</v>
      </c>
      <c r="F505">
        <v>8</v>
      </c>
      <c r="G505" t="str">
        <f>VLOOKUP(F505,Subcategories!$A$2:$B$29,2,0)</f>
        <v>General Services</v>
      </c>
      <c r="H505" t="str">
        <f t="shared" si="7"/>
        <v>5-8-306</v>
      </c>
      <c r="I505">
        <f>VLOOKUP(H505,SuiteCatSubElem!$F$2:$G$666,2,0)</f>
        <v>488</v>
      </c>
      <c r="J505">
        <v>1</v>
      </c>
      <c r="K505">
        <v>307</v>
      </c>
      <c r="M505" t="s">
        <v>50</v>
      </c>
      <c r="N505" s="60">
        <v>43101</v>
      </c>
      <c r="O505" t="s">
        <v>50</v>
      </c>
      <c r="P505">
        <v>80</v>
      </c>
      <c r="Q505" t="s">
        <v>1358</v>
      </c>
      <c r="R505" s="113" t="s">
        <v>927</v>
      </c>
      <c r="S505" s="109" t="s">
        <v>298</v>
      </c>
    </row>
    <row r="506" spans="1:19" ht="49">
      <c r="A506">
        <v>495</v>
      </c>
      <c r="B506" s="131" t="s">
        <v>365</v>
      </c>
      <c r="C506" s="27">
        <f>VLOOKUP(B506,Elements!$A$2:$B$435,2,0)</f>
        <v>307</v>
      </c>
      <c r="D506">
        <v>5</v>
      </c>
      <c r="E506" t="str">
        <f>VLOOKUP(D506,Categories!$A$2:$B$8,2,0)</f>
        <v>SA</v>
      </c>
      <c r="F506">
        <v>8</v>
      </c>
      <c r="G506" t="str">
        <f>VLOOKUP(F506,Subcategories!$A$2:$B$29,2,0)</f>
        <v>General Services</v>
      </c>
      <c r="H506" t="str">
        <f t="shared" si="7"/>
        <v>5-8-307</v>
      </c>
      <c r="I506">
        <f>VLOOKUP(H506,SuiteCatSubElem!$F$2:$G$666,2,0)</f>
        <v>489</v>
      </c>
      <c r="J506">
        <v>1</v>
      </c>
      <c r="K506">
        <v>308</v>
      </c>
      <c r="M506" t="s">
        <v>50</v>
      </c>
      <c r="N506" s="60">
        <v>43101</v>
      </c>
      <c r="O506" t="s">
        <v>50</v>
      </c>
      <c r="P506">
        <v>81</v>
      </c>
      <c r="Q506" t="s">
        <v>1358</v>
      </c>
      <c r="R506" s="102" t="s">
        <v>1191</v>
      </c>
      <c r="S506" s="109" t="s">
        <v>298</v>
      </c>
    </row>
    <row r="507" spans="1:19" ht="37">
      <c r="A507">
        <v>497</v>
      </c>
      <c r="B507" s="131" t="s">
        <v>366</v>
      </c>
      <c r="C507" s="27">
        <f>VLOOKUP(B507,Elements!$A$2:$B$435,2,0)</f>
        <v>308</v>
      </c>
      <c r="D507">
        <v>5</v>
      </c>
      <c r="E507" t="str">
        <f>VLOOKUP(D507,Categories!$A$2:$B$8,2,0)</f>
        <v>SA</v>
      </c>
      <c r="F507">
        <v>8</v>
      </c>
      <c r="G507" t="str">
        <f>VLOOKUP(F507,Subcategories!$A$2:$B$29,2,0)</f>
        <v>General Services</v>
      </c>
      <c r="H507" t="str">
        <f t="shared" si="7"/>
        <v>5-8-308</v>
      </c>
      <c r="I507">
        <f>VLOOKUP(H507,SuiteCatSubElem!$F$2:$G$666,2,0)</f>
        <v>491</v>
      </c>
      <c r="J507">
        <v>1</v>
      </c>
      <c r="K507">
        <v>309</v>
      </c>
      <c r="M507" t="s">
        <v>50</v>
      </c>
      <c r="N507" s="60">
        <v>43101</v>
      </c>
      <c r="O507" t="s">
        <v>50</v>
      </c>
      <c r="P507">
        <v>83</v>
      </c>
      <c r="Q507" t="s">
        <v>1358</v>
      </c>
      <c r="R507" s="102" t="s">
        <v>929</v>
      </c>
      <c r="S507" s="109" t="s">
        <v>298</v>
      </c>
    </row>
    <row r="508" spans="1:19" ht="37">
      <c r="A508">
        <v>498</v>
      </c>
      <c r="B508" s="131" t="s">
        <v>367</v>
      </c>
      <c r="C508" s="27">
        <f>VLOOKUP(B508,Elements!$A$2:$B$435,2,0)</f>
        <v>309</v>
      </c>
      <c r="D508">
        <v>5</v>
      </c>
      <c r="E508" t="str">
        <f>VLOOKUP(D508,Categories!$A$2:$B$8,2,0)</f>
        <v>SA</v>
      </c>
      <c r="F508">
        <v>8</v>
      </c>
      <c r="G508" t="str">
        <f>VLOOKUP(F508,Subcategories!$A$2:$B$29,2,0)</f>
        <v>General Services</v>
      </c>
      <c r="H508" t="str">
        <f t="shared" si="7"/>
        <v>5-8-309</v>
      </c>
      <c r="I508">
        <f>VLOOKUP(H508,SuiteCatSubElem!$F$2:$G$666,2,0)</f>
        <v>492</v>
      </c>
      <c r="J508">
        <v>1</v>
      </c>
      <c r="K508">
        <v>310</v>
      </c>
      <c r="M508" t="s">
        <v>50</v>
      </c>
      <c r="N508" s="60">
        <v>43101</v>
      </c>
      <c r="O508" t="s">
        <v>50</v>
      </c>
      <c r="P508">
        <v>84</v>
      </c>
      <c r="Q508" t="s">
        <v>1358</v>
      </c>
      <c r="R508" s="102" t="s">
        <v>930</v>
      </c>
      <c r="S508" s="109" t="s">
        <v>298</v>
      </c>
    </row>
    <row r="509" spans="1:19" ht="25">
      <c r="A509">
        <v>500</v>
      </c>
      <c r="B509" s="127" t="s">
        <v>368</v>
      </c>
      <c r="C509" s="27">
        <f>VLOOKUP(B509,Elements!$A$2:$B$435,2,0)</f>
        <v>310</v>
      </c>
      <c r="D509">
        <v>6</v>
      </c>
      <c r="E509" t="str">
        <f>VLOOKUP(D509,Categories!$A$2:$B$8,2,0)</f>
        <v>SXM</v>
      </c>
      <c r="F509">
        <v>22</v>
      </c>
      <c r="G509" t="str">
        <f>VLOOKUP(F509,Subcategories!$A$2:$B$29,2,0)</f>
        <v>MDM</v>
      </c>
      <c r="H509" t="str">
        <f t="shared" si="7"/>
        <v>6-22-310</v>
      </c>
      <c r="I509">
        <f>VLOOKUP(H509,SuiteCatSubElem!$F$2:$G$666,2,0)</f>
        <v>494</v>
      </c>
      <c r="J509">
        <v>1</v>
      </c>
      <c r="K509">
        <v>311</v>
      </c>
      <c r="M509" t="s">
        <v>50</v>
      </c>
      <c r="N509" s="60">
        <v>43101</v>
      </c>
      <c r="O509" t="s">
        <v>50</v>
      </c>
      <c r="P509">
        <v>1</v>
      </c>
      <c r="Q509" t="s">
        <v>1358</v>
      </c>
      <c r="R509" s="113" t="s">
        <v>932</v>
      </c>
      <c r="S509" s="109" t="s">
        <v>298</v>
      </c>
    </row>
    <row r="510" spans="1:19" ht="30">
      <c r="A510">
        <v>501</v>
      </c>
      <c r="B510" s="127" t="s">
        <v>369</v>
      </c>
      <c r="C510" s="27">
        <f>VLOOKUP(B510,Elements!$A$2:$B$435,2,0)</f>
        <v>311</v>
      </c>
      <c r="D510">
        <v>6</v>
      </c>
      <c r="E510" t="str">
        <f>VLOOKUP(D510,Categories!$A$2:$B$8,2,0)</f>
        <v>SXM</v>
      </c>
      <c r="F510">
        <v>22</v>
      </c>
      <c r="G510" t="str">
        <f>VLOOKUP(F510,Subcategories!$A$2:$B$29,2,0)</f>
        <v>MDM</v>
      </c>
      <c r="H510" t="str">
        <f t="shared" si="7"/>
        <v>6-22-311</v>
      </c>
      <c r="I510">
        <f>VLOOKUP(H510,SuiteCatSubElem!$F$2:$G$666,2,0)</f>
        <v>495</v>
      </c>
      <c r="J510">
        <v>1</v>
      </c>
      <c r="K510">
        <v>312</v>
      </c>
      <c r="M510" t="s">
        <v>50</v>
      </c>
      <c r="N510" s="60">
        <v>43101</v>
      </c>
      <c r="O510" t="s">
        <v>50</v>
      </c>
      <c r="P510">
        <v>2</v>
      </c>
      <c r="Q510" t="s">
        <v>1358</v>
      </c>
      <c r="R510" s="113" t="s">
        <v>933</v>
      </c>
      <c r="S510" s="109" t="s">
        <v>298</v>
      </c>
    </row>
    <row r="511" spans="1:19" ht="30">
      <c r="A511">
        <v>502</v>
      </c>
      <c r="B511" s="127" t="s">
        <v>370</v>
      </c>
      <c r="C511" s="27">
        <f>VLOOKUP(B511,Elements!$A$2:$B$435,2,0)</f>
        <v>312</v>
      </c>
      <c r="D511">
        <v>6</v>
      </c>
      <c r="E511" t="str">
        <f>VLOOKUP(D511,Categories!$A$2:$B$8,2,0)</f>
        <v>SXM</v>
      </c>
      <c r="F511">
        <v>22</v>
      </c>
      <c r="G511" t="str">
        <f>VLOOKUP(F511,Subcategories!$A$2:$B$29,2,0)</f>
        <v>MDM</v>
      </c>
      <c r="H511" t="str">
        <f t="shared" si="7"/>
        <v>6-22-312</v>
      </c>
      <c r="I511">
        <f>VLOOKUP(H511,SuiteCatSubElem!$F$2:$G$666,2,0)</f>
        <v>496</v>
      </c>
      <c r="J511">
        <v>1</v>
      </c>
      <c r="K511">
        <v>313</v>
      </c>
      <c r="M511" t="s">
        <v>50</v>
      </c>
      <c r="N511" s="60">
        <v>43101</v>
      </c>
      <c r="O511" t="s">
        <v>50</v>
      </c>
      <c r="P511">
        <v>3</v>
      </c>
      <c r="Q511" t="s">
        <v>1358</v>
      </c>
      <c r="R511" s="113" t="s">
        <v>934</v>
      </c>
      <c r="S511" s="109" t="s">
        <v>298</v>
      </c>
    </row>
    <row r="512" spans="1:19" ht="25">
      <c r="A512">
        <v>503</v>
      </c>
      <c r="B512" s="127" t="s">
        <v>371</v>
      </c>
      <c r="C512" s="27">
        <f>VLOOKUP(B512,Elements!$A$2:$B$435,2,0)</f>
        <v>313</v>
      </c>
      <c r="D512">
        <v>6</v>
      </c>
      <c r="E512" t="str">
        <f>VLOOKUP(D512,Categories!$A$2:$B$8,2,0)</f>
        <v>SXM</v>
      </c>
      <c r="F512">
        <v>22</v>
      </c>
      <c r="G512" t="str">
        <f>VLOOKUP(F512,Subcategories!$A$2:$B$29,2,0)</f>
        <v>MDM</v>
      </c>
      <c r="H512" t="str">
        <f t="shared" si="7"/>
        <v>6-22-313</v>
      </c>
      <c r="I512">
        <f>VLOOKUP(H512,SuiteCatSubElem!$F$2:$G$666,2,0)</f>
        <v>497</v>
      </c>
      <c r="J512">
        <v>1</v>
      </c>
      <c r="K512">
        <v>314</v>
      </c>
      <c r="M512" t="s">
        <v>50</v>
      </c>
      <c r="N512" s="60">
        <v>43101</v>
      </c>
      <c r="O512" t="s">
        <v>50</v>
      </c>
      <c r="P512">
        <v>4</v>
      </c>
      <c r="Q512" t="s">
        <v>1358</v>
      </c>
      <c r="R512" s="113" t="s">
        <v>935</v>
      </c>
      <c r="S512" s="109" t="s">
        <v>298</v>
      </c>
    </row>
    <row r="513" spans="1:19" ht="25">
      <c r="A513">
        <v>504</v>
      </c>
      <c r="B513" s="127" t="s">
        <v>372</v>
      </c>
      <c r="C513" s="27">
        <f>VLOOKUP(B513,Elements!$A$2:$B$435,2,0)</f>
        <v>314</v>
      </c>
      <c r="D513" s="53">
        <v>6</v>
      </c>
      <c r="E513" t="str">
        <f>VLOOKUP(D513,Categories!$A$2:$B$8,2,0)</f>
        <v>SXM</v>
      </c>
      <c r="F513">
        <v>22</v>
      </c>
      <c r="G513" t="str">
        <f>VLOOKUP(F513,Subcategories!$A$2:$B$29,2,0)</f>
        <v>MDM</v>
      </c>
      <c r="H513" t="str">
        <f t="shared" si="7"/>
        <v>6-22-314</v>
      </c>
      <c r="I513">
        <f>VLOOKUP(H513,SuiteCatSubElem!$F$2:$G$666,2,0)</f>
        <v>498</v>
      </c>
      <c r="J513" s="53">
        <v>1</v>
      </c>
      <c r="K513">
        <v>315</v>
      </c>
      <c r="L513" s="53"/>
      <c r="M513" t="s">
        <v>50</v>
      </c>
      <c r="N513" s="60">
        <v>43101</v>
      </c>
      <c r="O513" t="s">
        <v>50</v>
      </c>
      <c r="P513">
        <v>5</v>
      </c>
      <c r="Q513" t="s">
        <v>1358</v>
      </c>
      <c r="R513" s="113" t="s">
        <v>936</v>
      </c>
      <c r="S513" s="112" t="s">
        <v>298</v>
      </c>
    </row>
    <row r="514" spans="1:19" ht="30">
      <c r="A514">
        <v>505</v>
      </c>
      <c r="B514" s="127" t="s">
        <v>373</v>
      </c>
      <c r="C514" s="27">
        <f>VLOOKUP(B514,Elements!$A$2:$B$435,2,0)</f>
        <v>315</v>
      </c>
      <c r="D514">
        <v>6</v>
      </c>
      <c r="E514" t="str">
        <f>VLOOKUP(D514,Categories!$A$2:$B$8,2,0)</f>
        <v>SXM</v>
      </c>
      <c r="F514">
        <v>22</v>
      </c>
      <c r="G514" t="str">
        <f>VLOOKUP(F514,Subcategories!$A$2:$B$29,2,0)</f>
        <v>MDM</v>
      </c>
      <c r="H514" t="str">
        <f t="shared" ref="H514:H577" si="8">_xlfn.CONCAT(D514,"-",F514,"-",C514)</f>
        <v>6-22-315</v>
      </c>
      <c r="I514">
        <f>VLOOKUP(H514,SuiteCatSubElem!$F$2:$G$666,2,0)</f>
        <v>499</v>
      </c>
      <c r="J514">
        <v>1</v>
      </c>
      <c r="K514">
        <v>316</v>
      </c>
      <c r="M514" t="s">
        <v>50</v>
      </c>
      <c r="N514" s="60">
        <v>43101</v>
      </c>
      <c r="O514" t="s">
        <v>50</v>
      </c>
      <c r="P514">
        <v>6</v>
      </c>
      <c r="Q514" t="s">
        <v>1358</v>
      </c>
      <c r="R514" s="102" t="s">
        <v>937</v>
      </c>
      <c r="S514" s="109" t="s">
        <v>298</v>
      </c>
    </row>
    <row r="515" spans="1:19" ht="25">
      <c r="A515">
        <v>506</v>
      </c>
      <c r="B515" s="127" t="s">
        <v>374</v>
      </c>
      <c r="C515" s="27">
        <f>VLOOKUP(B515,Elements!$A$2:$B$435,2,0)</f>
        <v>316</v>
      </c>
      <c r="D515">
        <v>6</v>
      </c>
      <c r="E515" t="str">
        <f>VLOOKUP(D515,Categories!$A$2:$B$8,2,0)</f>
        <v>SXM</v>
      </c>
      <c r="F515">
        <v>22</v>
      </c>
      <c r="G515" t="str">
        <f>VLOOKUP(F515,Subcategories!$A$2:$B$29,2,0)</f>
        <v>MDM</v>
      </c>
      <c r="H515" t="str">
        <f t="shared" si="8"/>
        <v>6-22-316</v>
      </c>
      <c r="I515">
        <f>VLOOKUP(H515,SuiteCatSubElem!$F$2:$G$666,2,0)</f>
        <v>500</v>
      </c>
      <c r="J515">
        <v>1</v>
      </c>
      <c r="K515">
        <v>317</v>
      </c>
      <c r="M515" t="s">
        <v>50</v>
      </c>
      <c r="N515" s="60">
        <v>43101</v>
      </c>
      <c r="O515" t="s">
        <v>50</v>
      </c>
      <c r="P515">
        <v>7</v>
      </c>
      <c r="Q515" t="s">
        <v>1358</v>
      </c>
      <c r="R515" s="102" t="s">
        <v>938</v>
      </c>
      <c r="S515" s="109" t="s">
        <v>298</v>
      </c>
    </row>
    <row r="516" spans="1:19" ht="25">
      <c r="A516">
        <v>507</v>
      </c>
      <c r="B516" s="127" t="s">
        <v>375</v>
      </c>
      <c r="C516" s="27">
        <f>VLOOKUP(B516,Elements!$A$2:$B$435,2,0)</f>
        <v>317</v>
      </c>
      <c r="D516">
        <v>6</v>
      </c>
      <c r="E516" t="str">
        <f>VLOOKUP(D516,Categories!$A$2:$B$8,2,0)</f>
        <v>SXM</v>
      </c>
      <c r="F516">
        <v>22</v>
      </c>
      <c r="G516" t="str">
        <f>VLOOKUP(F516,Subcategories!$A$2:$B$29,2,0)</f>
        <v>MDM</v>
      </c>
      <c r="H516" t="str">
        <f t="shared" si="8"/>
        <v>6-22-317</v>
      </c>
      <c r="I516">
        <f>VLOOKUP(H516,SuiteCatSubElem!$F$2:$G$666,2,0)</f>
        <v>501</v>
      </c>
      <c r="J516">
        <v>1</v>
      </c>
      <c r="K516">
        <v>318</v>
      </c>
      <c r="M516" t="s">
        <v>50</v>
      </c>
      <c r="N516" s="60">
        <v>43101</v>
      </c>
      <c r="O516" t="s">
        <v>50</v>
      </c>
      <c r="P516">
        <v>8</v>
      </c>
      <c r="Q516" t="s">
        <v>1358</v>
      </c>
      <c r="R516" s="102" t="s">
        <v>939</v>
      </c>
      <c r="S516" s="109" t="s">
        <v>298</v>
      </c>
    </row>
    <row r="517" spans="1:19" ht="30">
      <c r="A517">
        <v>508</v>
      </c>
      <c r="B517" s="127" t="s">
        <v>376</v>
      </c>
      <c r="C517" s="27">
        <f>VLOOKUP(B517,Elements!$A$2:$B$435,2,0)</f>
        <v>318</v>
      </c>
      <c r="D517">
        <v>6</v>
      </c>
      <c r="E517" t="str">
        <f>VLOOKUP(D517,Categories!$A$2:$B$8,2,0)</f>
        <v>SXM</v>
      </c>
      <c r="F517">
        <v>22</v>
      </c>
      <c r="G517" t="str">
        <f>VLOOKUP(F517,Subcategories!$A$2:$B$29,2,0)</f>
        <v>MDM</v>
      </c>
      <c r="H517" t="str">
        <f t="shared" si="8"/>
        <v>6-22-318</v>
      </c>
      <c r="I517">
        <f>VLOOKUP(H517,SuiteCatSubElem!$F$2:$G$666,2,0)</f>
        <v>502</v>
      </c>
      <c r="J517">
        <v>1</v>
      </c>
      <c r="K517">
        <v>319</v>
      </c>
      <c r="M517" t="s">
        <v>50</v>
      </c>
      <c r="N517" s="60">
        <v>43101</v>
      </c>
      <c r="O517" t="s">
        <v>50</v>
      </c>
      <c r="P517">
        <v>9</v>
      </c>
      <c r="Q517" t="s">
        <v>1358</v>
      </c>
      <c r="R517" s="102" t="s">
        <v>940</v>
      </c>
      <c r="S517" s="109" t="s">
        <v>298</v>
      </c>
    </row>
    <row r="518" spans="1:19" ht="30">
      <c r="A518">
        <v>509</v>
      </c>
      <c r="B518" s="127" t="s">
        <v>377</v>
      </c>
      <c r="C518" s="27">
        <f>VLOOKUP(B518,Elements!$A$2:$B$435,2,0)</f>
        <v>319</v>
      </c>
      <c r="D518">
        <v>6</v>
      </c>
      <c r="E518" t="str">
        <f>VLOOKUP(D518,Categories!$A$2:$B$8,2,0)</f>
        <v>SXM</v>
      </c>
      <c r="F518">
        <v>22</v>
      </c>
      <c r="G518" t="str">
        <f>VLOOKUP(F518,Subcategories!$A$2:$B$29,2,0)</f>
        <v>MDM</v>
      </c>
      <c r="H518" t="str">
        <f t="shared" si="8"/>
        <v>6-22-319</v>
      </c>
      <c r="I518">
        <f>VLOOKUP(H518,SuiteCatSubElem!$F$2:$G$666,2,0)</f>
        <v>503</v>
      </c>
      <c r="J518">
        <v>1</v>
      </c>
      <c r="K518">
        <v>320</v>
      </c>
      <c r="M518" t="s">
        <v>50</v>
      </c>
      <c r="N518" s="60">
        <v>43101</v>
      </c>
      <c r="O518" t="s">
        <v>50</v>
      </c>
      <c r="P518">
        <v>10</v>
      </c>
      <c r="Q518" t="s">
        <v>1358</v>
      </c>
      <c r="R518" s="113" t="s">
        <v>941</v>
      </c>
      <c r="S518" s="109" t="s">
        <v>298</v>
      </c>
    </row>
    <row r="519" spans="1:19" ht="37">
      <c r="A519">
        <v>510</v>
      </c>
      <c r="B519" s="127" t="s">
        <v>378</v>
      </c>
      <c r="C519" s="27">
        <f>VLOOKUP(B519,Elements!$A$2:$B$435,2,0)</f>
        <v>320</v>
      </c>
      <c r="D519">
        <v>6</v>
      </c>
      <c r="E519" t="str">
        <f>VLOOKUP(D519,Categories!$A$2:$B$8,2,0)</f>
        <v>SXM</v>
      </c>
      <c r="F519">
        <v>23</v>
      </c>
      <c r="G519" t="str">
        <f>VLOOKUP(F519,Subcategories!$A$2:$B$29,2,0)</f>
        <v>SIM</v>
      </c>
      <c r="H519" t="str">
        <f t="shared" si="8"/>
        <v>6-23-320</v>
      </c>
      <c r="I519">
        <f>VLOOKUP(H519,SuiteCatSubElem!$F$2:$G$666,2,0)</f>
        <v>504</v>
      </c>
      <c r="J519">
        <v>1</v>
      </c>
      <c r="K519">
        <v>321</v>
      </c>
      <c r="M519" t="s">
        <v>50</v>
      </c>
      <c r="N519" s="60">
        <v>43101</v>
      </c>
      <c r="O519" t="s">
        <v>50</v>
      </c>
      <c r="P519">
        <v>11</v>
      </c>
      <c r="Q519" t="s">
        <v>1358</v>
      </c>
      <c r="R519" s="113" t="s">
        <v>942</v>
      </c>
      <c r="S519" s="109" t="s">
        <v>298</v>
      </c>
    </row>
    <row r="520" spans="1:19">
      <c r="A520">
        <v>513</v>
      </c>
      <c r="B520" s="127" t="s">
        <v>380</v>
      </c>
      <c r="C520" s="27">
        <f>VLOOKUP(B520,Elements!$A$2:$B$435,2,0)</f>
        <v>321</v>
      </c>
      <c r="D520">
        <v>6</v>
      </c>
      <c r="E520" t="str">
        <f>VLOOKUP(D520,Categories!$A$2:$B$8,2,0)</f>
        <v>SXM</v>
      </c>
      <c r="F520">
        <v>23</v>
      </c>
      <c r="G520" t="str">
        <f>VLOOKUP(F520,Subcategories!$A$2:$B$29,2,0)</f>
        <v>SIM</v>
      </c>
      <c r="H520" t="str">
        <f t="shared" si="8"/>
        <v>6-23-321</v>
      </c>
      <c r="I520">
        <f>VLOOKUP(H520,SuiteCatSubElem!$F$2:$G$666,2,0)</f>
        <v>507</v>
      </c>
      <c r="J520">
        <v>1</v>
      </c>
      <c r="K520">
        <v>322</v>
      </c>
      <c r="M520" t="s">
        <v>50</v>
      </c>
      <c r="N520" s="60">
        <v>43101</v>
      </c>
      <c r="O520" t="s">
        <v>50</v>
      </c>
      <c r="P520">
        <v>14</v>
      </c>
      <c r="Q520" t="s">
        <v>1358</v>
      </c>
      <c r="R520" s="113" t="s">
        <v>945</v>
      </c>
      <c r="S520" s="109" t="s">
        <v>298</v>
      </c>
    </row>
    <row r="521" spans="1:19" ht="37">
      <c r="A521">
        <v>514</v>
      </c>
      <c r="B521" s="127" t="s">
        <v>381</v>
      </c>
      <c r="C521" s="27">
        <f>VLOOKUP(B521,Elements!$A$2:$B$435,2,0)</f>
        <v>322</v>
      </c>
      <c r="D521">
        <v>6</v>
      </c>
      <c r="E521" t="str">
        <f>VLOOKUP(D521,Categories!$A$2:$B$8,2,0)</f>
        <v>SXM</v>
      </c>
      <c r="F521">
        <v>23</v>
      </c>
      <c r="G521" t="str">
        <f>VLOOKUP(F521,Subcategories!$A$2:$B$29,2,0)</f>
        <v>SIM</v>
      </c>
      <c r="H521" t="str">
        <f t="shared" si="8"/>
        <v>6-23-322</v>
      </c>
      <c r="I521">
        <f>VLOOKUP(H521,SuiteCatSubElem!$F$2:$G$666,2,0)</f>
        <v>508</v>
      </c>
      <c r="J521">
        <v>1</v>
      </c>
      <c r="K521">
        <v>323</v>
      </c>
      <c r="M521" t="s">
        <v>50</v>
      </c>
      <c r="N521" s="60">
        <v>43101</v>
      </c>
      <c r="O521" t="s">
        <v>50</v>
      </c>
      <c r="P521">
        <v>15</v>
      </c>
      <c r="Q521" t="s">
        <v>1358</v>
      </c>
      <c r="R521" s="113" t="s">
        <v>946</v>
      </c>
      <c r="S521" s="109" t="s">
        <v>298</v>
      </c>
    </row>
    <row r="522" spans="1:19">
      <c r="A522">
        <v>515</v>
      </c>
      <c r="B522" s="127" t="s">
        <v>382</v>
      </c>
      <c r="C522" s="27">
        <f>VLOOKUP(B522,Elements!$A$2:$B$435,2,0)</f>
        <v>323</v>
      </c>
      <c r="D522">
        <v>6</v>
      </c>
      <c r="E522" t="str">
        <f>VLOOKUP(D522,Categories!$A$2:$B$8,2,0)</f>
        <v>SXM</v>
      </c>
      <c r="F522">
        <v>23</v>
      </c>
      <c r="G522" t="str">
        <f>VLOOKUP(F522,Subcategories!$A$2:$B$29,2,0)</f>
        <v>SIM</v>
      </c>
      <c r="H522" t="str">
        <f t="shared" si="8"/>
        <v>6-23-323</v>
      </c>
      <c r="I522">
        <f>VLOOKUP(H522,SuiteCatSubElem!$F$2:$G$666,2,0)</f>
        <v>509</v>
      </c>
      <c r="J522">
        <v>1</v>
      </c>
      <c r="K522">
        <v>324</v>
      </c>
      <c r="M522" t="s">
        <v>50</v>
      </c>
      <c r="N522" s="60">
        <v>43101</v>
      </c>
      <c r="O522" t="s">
        <v>50</v>
      </c>
      <c r="P522">
        <v>16</v>
      </c>
      <c r="Q522" t="s">
        <v>1358</v>
      </c>
      <c r="R522" s="113" t="s">
        <v>947</v>
      </c>
      <c r="S522" s="109" t="s">
        <v>298</v>
      </c>
    </row>
    <row r="523" spans="1:19" ht="30">
      <c r="A523">
        <v>516</v>
      </c>
      <c r="B523" s="127" t="s">
        <v>383</v>
      </c>
      <c r="C523" s="27">
        <f>VLOOKUP(B523,Elements!$A$2:$B$435,2,0)</f>
        <v>324</v>
      </c>
      <c r="D523">
        <v>6</v>
      </c>
      <c r="E523" t="str">
        <f>VLOOKUP(D523,Categories!$A$2:$B$8,2,0)</f>
        <v>SXM</v>
      </c>
      <c r="F523">
        <v>23</v>
      </c>
      <c r="G523" t="str">
        <f>VLOOKUP(F523,Subcategories!$A$2:$B$29,2,0)</f>
        <v>SIM</v>
      </c>
      <c r="H523" t="str">
        <f t="shared" si="8"/>
        <v>6-23-324</v>
      </c>
      <c r="I523">
        <f>VLOOKUP(H523,SuiteCatSubElem!$F$2:$G$666,2,0)</f>
        <v>510</v>
      </c>
      <c r="J523">
        <v>1</v>
      </c>
      <c r="K523">
        <v>325</v>
      </c>
      <c r="M523" t="s">
        <v>50</v>
      </c>
      <c r="N523" s="60">
        <v>43101</v>
      </c>
      <c r="O523" t="s">
        <v>50</v>
      </c>
      <c r="P523">
        <v>17</v>
      </c>
      <c r="Q523" t="s">
        <v>1358</v>
      </c>
      <c r="R523" s="113" t="s">
        <v>948</v>
      </c>
      <c r="S523" s="109" t="s">
        <v>298</v>
      </c>
    </row>
    <row r="524" spans="1:19" ht="25">
      <c r="A524">
        <v>517</v>
      </c>
      <c r="B524" s="127" t="s">
        <v>384</v>
      </c>
      <c r="C524" s="27">
        <f>VLOOKUP(B524,Elements!$A$2:$B$435,2,0)</f>
        <v>325</v>
      </c>
      <c r="D524">
        <v>6</v>
      </c>
      <c r="E524" t="str">
        <f>VLOOKUP(D524,Categories!$A$2:$B$8,2,0)</f>
        <v>SXM</v>
      </c>
      <c r="F524">
        <v>23</v>
      </c>
      <c r="G524" t="str">
        <f>VLOOKUP(F524,Subcategories!$A$2:$B$29,2,0)</f>
        <v>SIM</v>
      </c>
      <c r="H524" t="str">
        <f t="shared" si="8"/>
        <v>6-23-325</v>
      </c>
      <c r="I524">
        <f>VLOOKUP(H524,SuiteCatSubElem!$F$2:$G$666,2,0)</f>
        <v>511</v>
      </c>
      <c r="J524">
        <v>1</v>
      </c>
      <c r="K524">
        <v>326</v>
      </c>
      <c r="M524" t="s">
        <v>50</v>
      </c>
      <c r="N524" s="60">
        <v>43101</v>
      </c>
      <c r="O524" t="s">
        <v>50</v>
      </c>
      <c r="P524">
        <v>18</v>
      </c>
      <c r="Q524" t="s">
        <v>1358</v>
      </c>
      <c r="R524" s="113" t="s">
        <v>949</v>
      </c>
      <c r="S524" s="109" t="s">
        <v>298</v>
      </c>
    </row>
    <row r="525" spans="1:19" ht="25">
      <c r="A525">
        <v>518</v>
      </c>
      <c r="B525" s="127" t="s">
        <v>385</v>
      </c>
      <c r="C525" s="27">
        <f>VLOOKUP(B525,Elements!$A$2:$B$435,2,0)</f>
        <v>326</v>
      </c>
      <c r="D525">
        <v>6</v>
      </c>
      <c r="E525" t="str">
        <f>VLOOKUP(D525,Categories!$A$2:$B$8,2,0)</f>
        <v>SXM</v>
      </c>
      <c r="F525">
        <v>23</v>
      </c>
      <c r="G525" t="str">
        <f>VLOOKUP(F525,Subcategories!$A$2:$B$29,2,0)</f>
        <v>SIM</v>
      </c>
      <c r="H525" t="str">
        <f t="shared" si="8"/>
        <v>6-23-326</v>
      </c>
      <c r="I525">
        <f>VLOOKUP(H525,SuiteCatSubElem!$F$2:$G$666,2,0)</f>
        <v>512</v>
      </c>
      <c r="J525">
        <v>1</v>
      </c>
      <c r="K525">
        <v>327</v>
      </c>
      <c r="M525" t="s">
        <v>50</v>
      </c>
      <c r="N525" s="60">
        <v>43101</v>
      </c>
      <c r="O525" t="s">
        <v>50</v>
      </c>
      <c r="P525">
        <v>19</v>
      </c>
      <c r="Q525" t="s">
        <v>1358</v>
      </c>
      <c r="R525" s="102" t="s">
        <v>950</v>
      </c>
      <c r="S525" s="109" t="s">
        <v>298</v>
      </c>
    </row>
    <row r="526" spans="1:19" ht="25">
      <c r="A526">
        <v>519</v>
      </c>
      <c r="B526" s="127" t="s">
        <v>386</v>
      </c>
      <c r="C526" s="27">
        <f>VLOOKUP(B526,Elements!$A$2:$B$435,2,0)</f>
        <v>327</v>
      </c>
      <c r="D526">
        <v>6</v>
      </c>
      <c r="E526" t="str">
        <f>VLOOKUP(D526,Categories!$A$2:$B$8,2,0)</f>
        <v>SXM</v>
      </c>
      <c r="F526">
        <v>23</v>
      </c>
      <c r="G526" t="str">
        <f>VLOOKUP(F526,Subcategories!$A$2:$B$29,2,0)</f>
        <v>SIM</v>
      </c>
      <c r="H526" t="str">
        <f t="shared" si="8"/>
        <v>6-23-327</v>
      </c>
      <c r="I526">
        <f>VLOOKUP(H526,SuiteCatSubElem!$F$2:$G$666,2,0)</f>
        <v>513</v>
      </c>
      <c r="J526">
        <v>1</v>
      </c>
      <c r="K526">
        <v>328</v>
      </c>
      <c r="M526" t="s">
        <v>50</v>
      </c>
      <c r="N526" s="60">
        <v>43101</v>
      </c>
      <c r="O526" t="s">
        <v>50</v>
      </c>
      <c r="P526">
        <v>20</v>
      </c>
      <c r="Q526" t="s">
        <v>1358</v>
      </c>
      <c r="R526" s="113" t="s">
        <v>951</v>
      </c>
      <c r="S526" s="109" t="s">
        <v>298</v>
      </c>
    </row>
    <row r="527" spans="1:19" ht="30">
      <c r="A527">
        <v>520</v>
      </c>
      <c r="B527" s="127" t="s">
        <v>387</v>
      </c>
      <c r="C527" s="27">
        <f>VLOOKUP(B527,Elements!$A$2:$B$435,2,0)</f>
        <v>328</v>
      </c>
      <c r="D527">
        <v>6</v>
      </c>
      <c r="E527" t="str">
        <f>VLOOKUP(D527,Categories!$A$2:$B$8,2,0)</f>
        <v>SXM</v>
      </c>
      <c r="F527">
        <v>23</v>
      </c>
      <c r="G527" t="str">
        <f>VLOOKUP(F527,Subcategories!$A$2:$B$29,2,0)</f>
        <v>SIM</v>
      </c>
      <c r="H527" t="str">
        <f t="shared" si="8"/>
        <v>6-23-328</v>
      </c>
      <c r="I527">
        <f>VLOOKUP(H527,SuiteCatSubElem!$F$2:$G$666,2,0)</f>
        <v>514</v>
      </c>
      <c r="J527">
        <v>1</v>
      </c>
      <c r="K527">
        <v>329</v>
      </c>
      <c r="M527" t="s">
        <v>50</v>
      </c>
      <c r="N527" s="60">
        <v>43101</v>
      </c>
      <c r="O527" t="s">
        <v>50</v>
      </c>
      <c r="P527">
        <v>21</v>
      </c>
      <c r="Q527" t="s">
        <v>1358</v>
      </c>
      <c r="R527" s="102" t="s">
        <v>952</v>
      </c>
      <c r="S527" s="109" t="s">
        <v>298</v>
      </c>
    </row>
    <row r="528" spans="1:19" ht="25">
      <c r="A528">
        <v>521</v>
      </c>
      <c r="B528" s="127" t="s">
        <v>388</v>
      </c>
      <c r="C528" s="27">
        <f>VLOOKUP(B528,Elements!$A$2:$B$435,2,0)</f>
        <v>329</v>
      </c>
      <c r="D528">
        <v>6</v>
      </c>
      <c r="E528" t="str">
        <f>VLOOKUP(D528,Categories!$A$2:$B$8,2,0)</f>
        <v>SXM</v>
      </c>
      <c r="F528">
        <v>23</v>
      </c>
      <c r="G528" t="str">
        <f>VLOOKUP(F528,Subcategories!$A$2:$B$29,2,0)</f>
        <v>SIM</v>
      </c>
      <c r="H528" t="str">
        <f t="shared" si="8"/>
        <v>6-23-329</v>
      </c>
      <c r="I528">
        <f>VLOOKUP(H528,SuiteCatSubElem!$F$2:$G$666,2,0)</f>
        <v>515</v>
      </c>
      <c r="J528">
        <v>1</v>
      </c>
      <c r="K528">
        <v>330</v>
      </c>
      <c r="M528" t="s">
        <v>50</v>
      </c>
      <c r="N528" s="60">
        <v>43101</v>
      </c>
      <c r="O528" t="s">
        <v>50</v>
      </c>
      <c r="P528">
        <v>22</v>
      </c>
      <c r="Q528" t="s">
        <v>1358</v>
      </c>
      <c r="R528" s="102" t="s">
        <v>953</v>
      </c>
      <c r="S528" s="109" t="s">
        <v>298</v>
      </c>
    </row>
    <row r="529" spans="1:19" ht="30">
      <c r="A529">
        <v>522</v>
      </c>
      <c r="B529" s="127" t="s">
        <v>389</v>
      </c>
      <c r="C529" s="27">
        <f>VLOOKUP(B529,Elements!$A$2:$B$435,2,0)</f>
        <v>330</v>
      </c>
      <c r="D529">
        <v>6</v>
      </c>
      <c r="E529" t="str">
        <f>VLOOKUP(D529,Categories!$A$2:$B$8,2,0)</f>
        <v>SXM</v>
      </c>
      <c r="F529">
        <v>23</v>
      </c>
      <c r="G529" t="str">
        <f>VLOOKUP(F529,Subcategories!$A$2:$B$29,2,0)</f>
        <v>SIM</v>
      </c>
      <c r="H529" t="str">
        <f t="shared" si="8"/>
        <v>6-23-330</v>
      </c>
      <c r="I529">
        <f>VLOOKUP(H529,SuiteCatSubElem!$F$2:$G$666,2,0)</f>
        <v>516</v>
      </c>
      <c r="J529">
        <v>1</v>
      </c>
      <c r="K529">
        <v>331</v>
      </c>
      <c r="M529" t="s">
        <v>50</v>
      </c>
      <c r="N529" s="60">
        <v>43101</v>
      </c>
      <c r="O529" t="s">
        <v>50</v>
      </c>
      <c r="P529">
        <v>23</v>
      </c>
      <c r="Q529" t="s">
        <v>1358</v>
      </c>
      <c r="R529" s="102" t="s">
        <v>954</v>
      </c>
      <c r="S529" s="109" t="s">
        <v>298</v>
      </c>
    </row>
    <row r="530" spans="1:19" ht="25">
      <c r="A530">
        <v>523</v>
      </c>
      <c r="B530" s="127" t="s">
        <v>390</v>
      </c>
      <c r="C530" s="27">
        <f>VLOOKUP(B530,Elements!$A$2:$B$435,2,0)</f>
        <v>331</v>
      </c>
      <c r="D530">
        <v>6</v>
      </c>
      <c r="E530" t="str">
        <f>VLOOKUP(D530,Categories!$A$2:$B$8,2,0)</f>
        <v>SXM</v>
      </c>
      <c r="F530">
        <v>23</v>
      </c>
      <c r="G530" t="str">
        <f>VLOOKUP(F530,Subcategories!$A$2:$B$29,2,0)</f>
        <v>SIM</v>
      </c>
      <c r="H530" t="str">
        <f t="shared" si="8"/>
        <v>6-23-331</v>
      </c>
      <c r="I530">
        <f>VLOOKUP(H530,SuiteCatSubElem!$F$2:$G$666,2,0)</f>
        <v>517</v>
      </c>
      <c r="J530">
        <v>1</v>
      </c>
      <c r="K530">
        <v>332</v>
      </c>
      <c r="M530" t="s">
        <v>50</v>
      </c>
      <c r="N530" s="60">
        <v>43101</v>
      </c>
      <c r="O530" t="s">
        <v>50</v>
      </c>
      <c r="P530">
        <v>24</v>
      </c>
      <c r="Q530" t="s">
        <v>1358</v>
      </c>
      <c r="R530" s="113" t="s">
        <v>955</v>
      </c>
      <c r="S530" s="109" t="s">
        <v>298</v>
      </c>
    </row>
    <row r="531" spans="1:19" ht="25">
      <c r="A531">
        <v>524</v>
      </c>
      <c r="B531" s="127" t="s">
        <v>391</v>
      </c>
      <c r="C531" s="27">
        <f>VLOOKUP(B531,Elements!$A$2:$B$435,2,0)</f>
        <v>332</v>
      </c>
      <c r="D531">
        <v>6</v>
      </c>
      <c r="E531" t="str">
        <f>VLOOKUP(D531,Categories!$A$2:$B$8,2,0)</f>
        <v>SXM</v>
      </c>
      <c r="F531">
        <v>23</v>
      </c>
      <c r="G531" t="str">
        <f>VLOOKUP(F531,Subcategories!$A$2:$B$29,2,0)</f>
        <v>SIM</v>
      </c>
      <c r="H531" t="str">
        <f t="shared" si="8"/>
        <v>6-23-332</v>
      </c>
      <c r="I531">
        <f>VLOOKUP(H531,SuiteCatSubElem!$F$2:$G$666,2,0)</f>
        <v>518</v>
      </c>
      <c r="J531">
        <v>1</v>
      </c>
      <c r="K531">
        <v>333</v>
      </c>
      <c r="M531" t="s">
        <v>50</v>
      </c>
      <c r="N531" s="60">
        <v>43101</v>
      </c>
      <c r="O531" t="s">
        <v>50</v>
      </c>
      <c r="P531">
        <v>25</v>
      </c>
      <c r="Q531" t="s">
        <v>1358</v>
      </c>
      <c r="R531" s="102" t="s">
        <v>956</v>
      </c>
      <c r="S531" s="109" t="s">
        <v>298</v>
      </c>
    </row>
    <row r="532" spans="1:19" ht="25">
      <c r="A532">
        <v>525</v>
      </c>
      <c r="B532" s="127" t="s">
        <v>392</v>
      </c>
      <c r="C532" s="27">
        <f>VLOOKUP(B532,Elements!$A$2:$B$435,2,0)</f>
        <v>333</v>
      </c>
      <c r="D532">
        <v>6</v>
      </c>
      <c r="E532" t="str">
        <f>VLOOKUP(D532,Categories!$A$2:$B$8,2,0)</f>
        <v>SXM</v>
      </c>
      <c r="F532">
        <v>23</v>
      </c>
      <c r="G532" t="str">
        <f>VLOOKUP(F532,Subcategories!$A$2:$B$29,2,0)</f>
        <v>SIM</v>
      </c>
      <c r="H532" t="str">
        <f t="shared" si="8"/>
        <v>6-23-333</v>
      </c>
      <c r="I532">
        <f>VLOOKUP(H532,SuiteCatSubElem!$F$2:$G$666,2,0)</f>
        <v>519</v>
      </c>
      <c r="J532">
        <v>1</v>
      </c>
      <c r="K532">
        <v>334</v>
      </c>
      <c r="M532" t="s">
        <v>50</v>
      </c>
      <c r="N532" s="60">
        <v>43101</v>
      </c>
      <c r="O532" t="s">
        <v>50</v>
      </c>
      <c r="P532">
        <v>26</v>
      </c>
      <c r="Q532" t="s">
        <v>1358</v>
      </c>
      <c r="R532" s="102" t="s">
        <v>957</v>
      </c>
      <c r="S532" s="109" t="s">
        <v>298</v>
      </c>
    </row>
    <row r="533" spans="1:19" ht="30">
      <c r="A533">
        <v>526</v>
      </c>
      <c r="B533" s="127" t="s">
        <v>393</v>
      </c>
      <c r="C533" s="27">
        <f>VLOOKUP(B533,Elements!$A$2:$B$435,2,0)</f>
        <v>334</v>
      </c>
      <c r="D533">
        <v>6</v>
      </c>
      <c r="E533" t="str">
        <f>VLOOKUP(D533,Categories!$A$2:$B$8,2,0)</f>
        <v>SXM</v>
      </c>
      <c r="F533">
        <v>23</v>
      </c>
      <c r="G533" t="str">
        <f>VLOOKUP(F533,Subcategories!$A$2:$B$29,2,0)</f>
        <v>SIM</v>
      </c>
      <c r="H533" t="str">
        <f t="shared" si="8"/>
        <v>6-23-334</v>
      </c>
      <c r="I533">
        <f>VLOOKUP(H533,SuiteCatSubElem!$F$2:$G$666,2,0)</f>
        <v>520</v>
      </c>
      <c r="J533">
        <v>1</v>
      </c>
      <c r="K533">
        <v>335</v>
      </c>
      <c r="M533" t="s">
        <v>50</v>
      </c>
      <c r="N533" s="60">
        <v>43101</v>
      </c>
      <c r="O533" t="s">
        <v>50</v>
      </c>
      <c r="P533">
        <v>27</v>
      </c>
      <c r="Q533" t="s">
        <v>1358</v>
      </c>
      <c r="R533" s="102" t="s">
        <v>958</v>
      </c>
      <c r="S533" s="109" t="s">
        <v>298</v>
      </c>
    </row>
    <row r="534" spans="1:19" ht="25">
      <c r="A534">
        <v>527</v>
      </c>
      <c r="B534" s="127" t="s">
        <v>394</v>
      </c>
      <c r="C534" s="27">
        <f>VLOOKUP(B534,Elements!$A$2:$B$435,2,0)</f>
        <v>335</v>
      </c>
      <c r="D534">
        <v>6</v>
      </c>
      <c r="E534" t="str">
        <f>VLOOKUP(D534,Categories!$A$2:$B$8,2,0)</f>
        <v>SXM</v>
      </c>
      <c r="F534">
        <v>23</v>
      </c>
      <c r="G534" t="str">
        <f>VLOOKUP(F534,Subcategories!$A$2:$B$29,2,0)</f>
        <v>SIM</v>
      </c>
      <c r="H534" t="str">
        <f t="shared" si="8"/>
        <v>6-23-335</v>
      </c>
      <c r="I534">
        <f>VLOOKUP(H534,SuiteCatSubElem!$F$2:$G$666,2,0)</f>
        <v>521</v>
      </c>
      <c r="J534">
        <v>1</v>
      </c>
      <c r="K534">
        <v>336</v>
      </c>
      <c r="M534" t="s">
        <v>50</v>
      </c>
      <c r="N534" s="60">
        <v>43101</v>
      </c>
      <c r="O534" t="s">
        <v>50</v>
      </c>
      <c r="P534">
        <v>28</v>
      </c>
      <c r="Q534" t="s">
        <v>1358</v>
      </c>
      <c r="R534" s="102" t="s">
        <v>959</v>
      </c>
      <c r="S534" s="109" t="s">
        <v>298</v>
      </c>
    </row>
    <row r="535" spans="1:19" ht="25">
      <c r="A535">
        <v>528</v>
      </c>
      <c r="B535" s="127" t="s">
        <v>395</v>
      </c>
      <c r="C535" s="27">
        <f>VLOOKUP(B535,Elements!$A$2:$B$435,2,0)</f>
        <v>336</v>
      </c>
      <c r="D535">
        <v>6</v>
      </c>
      <c r="E535" t="str">
        <f>VLOOKUP(D535,Categories!$A$2:$B$8,2,0)</f>
        <v>SXM</v>
      </c>
      <c r="F535">
        <v>23</v>
      </c>
      <c r="G535" t="str">
        <f>VLOOKUP(F535,Subcategories!$A$2:$B$29,2,0)</f>
        <v>SIM</v>
      </c>
      <c r="H535" t="str">
        <f t="shared" si="8"/>
        <v>6-23-336</v>
      </c>
      <c r="I535">
        <f>VLOOKUP(H535,SuiteCatSubElem!$F$2:$G$666,2,0)</f>
        <v>522</v>
      </c>
      <c r="J535">
        <v>1</v>
      </c>
      <c r="K535">
        <v>337</v>
      </c>
      <c r="M535" t="s">
        <v>50</v>
      </c>
      <c r="N535" s="60">
        <v>43101</v>
      </c>
      <c r="O535" t="s">
        <v>50</v>
      </c>
      <c r="P535">
        <v>29</v>
      </c>
      <c r="Q535" t="s">
        <v>1358</v>
      </c>
      <c r="R535" s="102" t="s">
        <v>960</v>
      </c>
      <c r="S535" s="109" t="s">
        <v>298</v>
      </c>
    </row>
    <row r="536" spans="1:19" ht="25">
      <c r="A536">
        <v>529</v>
      </c>
      <c r="B536" s="127" t="s">
        <v>396</v>
      </c>
      <c r="C536" s="27">
        <f>VLOOKUP(B536,Elements!$A$2:$B$435,2,0)</f>
        <v>337</v>
      </c>
      <c r="D536">
        <v>6</v>
      </c>
      <c r="E536" t="str">
        <f>VLOOKUP(D536,Categories!$A$2:$B$8,2,0)</f>
        <v>SXM</v>
      </c>
      <c r="F536">
        <v>23</v>
      </c>
      <c r="G536" t="str">
        <f>VLOOKUP(F536,Subcategories!$A$2:$B$29,2,0)</f>
        <v>SIM</v>
      </c>
      <c r="H536" t="str">
        <f t="shared" si="8"/>
        <v>6-23-337</v>
      </c>
      <c r="I536">
        <f>VLOOKUP(H536,SuiteCatSubElem!$F$2:$G$666,2,0)</f>
        <v>523</v>
      </c>
      <c r="J536">
        <v>1</v>
      </c>
      <c r="K536">
        <v>338</v>
      </c>
      <c r="M536" t="s">
        <v>50</v>
      </c>
      <c r="N536" s="60">
        <v>43101</v>
      </c>
      <c r="O536" t="s">
        <v>50</v>
      </c>
      <c r="P536">
        <v>30</v>
      </c>
      <c r="Q536" t="s">
        <v>1358</v>
      </c>
      <c r="R536" s="113" t="s">
        <v>961</v>
      </c>
      <c r="S536" s="109" t="s">
        <v>298</v>
      </c>
    </row>
    <row r="537" spans="1:19" ht="37">
      <c r="A537">
        <v>530</v>
      </c>
      <c r="B537" s="127" t="s">
        <v>397</v>
      </c>
      <c r="C537" s="27">
        <f>VLOOKUP(B537,Elements!$A$2:$B$435,2,0)</f>
        <v>338</v>
      </c>
      <c r="D537">
        <v>6</v>
      </c>
      <c r="E537" t="str">
        <f>VLOOKUP(D537,Categories!$A$2:$B$8,2,0)</f>
        <v>SXM</v>
      </c>
      <c r="F537">
        <v>23</v>
      </c>
      <c r="G537" t="str">
        <f>VLOOKUP(F537,Subcategories!$A$2:$B$29,2,0)</f>
        <v>SIM</v>
      </c>
      <c r="H537" t="str">
        <f t="shared" si="8"/>
        <v>6-23-338</v>
      </c>
      <c r="I537">
        <f>VLOOKUP(H537,SuiteCatSubElem!$F$2:$G$666,2,0)</f>
        <v>524</v>
      </c>
      <c r="J537">
        <v>1</v>
      </c>
      <c r="K537">
        <v>339</v>
      </c>
      <c r="M537" t="s">
        <v>50</v>
      </c>
      <c r="N537" s="60">
        <v>43101</v>
      </c>
      <c r="O537" t="s">
        <v>50</v>
      </c>
      <c r="P537">
        <v>31</v>
      </c>
      <c r="Q537" t="s">
        <v>1358</v>
      </c>
      <c r="R537" s="113" t="s">
        <v>962</v>
      </c>
      <c r="S537" s="109" t="s">
        <v>298</v>
      </c>
    </row>
    <row r="538" spans="1:19">
      <c r="A538">
        <v>531</v>
      </c>
      <c r="B538" s="127" t="s">
        <v>398</v>
      </c>
      <c r="C538" s="27">
        <f>VLOOKUP(B538,Elements!$A$2:$B$435,2,0)</f>
        <v>339</v>
      </c>
      <c r="D538">
        <v>6</v>
      </c>
      <c r="E538" t="str">
        <f>VLOOKUP(D538,Categories!$A$2:$B$8,2,0)</f>
        <v>SXM</v>
      </c>
      <c r="F538">
        <v>23</v>
      </c>
      <c r="G538" t="str">
        <f>VLOOKUP(F538,Subcategories!$A$2:$B$29,2,0)</f>
        <v>SIM</v>
      </c>
      <c r="H538" t="str">
        <f t="shared" si="8"/>
        <v>6-23-339</v>
      </c>
      <c r="I538">
        <f>VLOOKUP(H538,SuiteCatSubElem!$F$2:$G$666,2,0)</f>
        <v>525</v>
      </c>
      <c r="J538">
        <v>1</v>
      </c>
      <c r="K538">
        <v>340</v>
      </c>
      <c r="M538" t="s">
        <v>50</v>
      </c>
      <c r="N538" s="60">
        <v>43101</v>
      </c>
      <c r="O538" t="s">
        <v>50</v>
      </c>
      <c r="P538">
        <v>32</v>
      </c>
      <c r="Q538" t="s">
        <v>1358</v>
      </c>
      <c r="R538" s="113" t="s">
        <v>963</v>
      </c>
      <c r="S538" s="109" t="s">
        <v>298</v>
      </c>
    </row>
    <row r="539" spans="1:19" ht="25">
      <c r="A539">
        <v>533</v>
      </c>
      <c r="B539" s="127" t="s">
        <v>400</v>
      </c>
      <c r="C539" s="27">
        <f>VLOOKUP(B539,Elements!$A$2:$B$435,2,0)</f>
        <v>340</v>
      </c>
      <c r="D539">
        <v>6</v>
      </c>
      <c r="E539" t="str">
        <f>VLOOKUP(D539,Categories!$A$2:$B$8,2,0)</f>
        <v>SXM</v>
      </c>
      <c r="F539">
        <v>23</v>
      </c>
      <c r="G539" t="str">
        <f>VLOOKUP(F539,Subcategories!$A$2:$B$29,2,0)</f>
        <v>SIM</v>
      </c>
      <c r="H539" t="str">
        <f t="shared" si="8"/>
        <v>6-23-340</v>
      </c>
      <c r="I539">
        <f>VLOOKUP(H539,SuiteCatSubElem!$F$2:$G$666,2,0)</f>
        <v>527</v>
      </c>
      <c r="J539">
        <v>1</v>
      </c>
      <c r="K539">
        <v>341</v>
      </c>
      <c r="M539" t="s">
        <v>50</v>
      </c>
      <c r="N539" s="60">
        <v>43101</v>
      </c>
      <c r="O539" t="s">
        <v>50</v>
      </c>
      <c r="P539">
        <v>34</v>
      </c>
      <c r="Q539" t="s">
        <v>1358</v>
      </c>
      <c r="R539" s="102" t="s">
        <v>965</v>
      </c>
      <c r="S539" s="109" t="s">
        <v>298</v>
      </c>
    </row>
    <row r="540" spans="1:19" ht="25">
      <c r="A540">
        <v>534</v>
      </c>
      <c r="B540" s="37" t="s">
        <v>405</v>
      </c>
      <c r="C540" s="27">
        <f>VLOOKUP(B540,Elements!$A$2:$B$435,2,0)</f>
        <v>341</v>
      </c>
      <c r="D540">
        <v>6</v>
      </c>
      <c r="E540" t="str">
        <f>VLOOKUP(D540,Categories!$A$2:$B$8,2,0)</f>
        <v>SXM</v>
      </c>
      <c r="F540">
        <v>24</v>
      </c>
      <c r="G540" t="str">
        <f>VLOOKUP(F540,Subcategories!$A$2:$B$29,2,0)</f>
        <v>SXM</v>
      </c>
      <c r="H540" t="str">
        <f t="shared" si="8"/>
        <v>6-24-341</v>
      </c>
      <c r="I540">
        <f>VLOOKUP(H540,SuiteCatSubElem!$F$2:$G$666,2,0)</f>
        <v>528</v>
      </c>
      <c r="J540">
        <v>1</v>
      </c>
      <c r="K540">
        <v>342</v>
      </c>
      <c r="M540" t="s">
        <v>50</v>
      </c>
      <c r="N540" s="60">
        <v>43101</v>
      </c>
      <c r="O540" t="s">
        <v>50</v>
      </c>
      <c r="P540">
        <v>35</v>
      </c>
      <c r="Q540" t="s">
        <v>1358</v>
      </c>
      <c r="R540" s="102" t="s">
        <v>966</v>
      </c>
      <c r="S540" s="109" t="s">
        <v>298</v>
      </c>
    </row>
    <row r="541" spans="1:19" ht="25">
      <c r="A541">
        <v>535</v>
      </c>
      <c r="B541" s="37" t="s">
        <v>406</v>
      </c>
      <c r="C541" s="27">
        <f>VLOOKUP(B541,Elements!$A$2:$B$435,2,0)</f>
        <v>342</v>
      </c>
      <c r="D541">
        <v>6</v>
      </c>
      <c r="E541" t="str">
        <f>VLOOKUP(D541,Categories!$A$2:$B$8,2,0)</f>
        <v>SXM</v>
      </c>
      <c r="F541">
        <v>24</v>
      </c>
      <c r="G541" t="str">
        <f>VLOOKUP(F541,Subcategories!$A$2:$B$29,2,0)</f>
        <v>SXM</v>
      </c>
      <c r="H541" t="str">
        <f t="shared" si="8"/>
        <v>6-24-342</v>
      </c>
      <c r="I541">
        <f>VLOOKUP(H541,SuiteCatSubElem!$F$2:$G$666,2,0)</f>
        <v>529</v>
      </c>
      <c r="J541">
        <v>1</v>
      </c>
      <c r="K541">
        <v>343</v>
      </c>
      <c r="M541" t="s">
        <v>50</v>
      </c>
      <c r="N541" s="60">
        <v>43101</v>
      </c>
      <c r="O541" t="s">
        <v>50</v>
      </c>
      <c r="P541">
        <v>36</v>
      </c>
      <c r="Q541" t="s">
        <v>1358</v>
      </c>
      <c r="R541" s="113" t="s">
        <v>967</v>
      </c>
      <c r="S541" s="109" t="s">
        <v>298</v>
      </c>
    </row>
    <row r="542" spans="1:19" ht="30">
      <c r="A542">
        <v>536</v>
      </c>
      <c r="B542" s="37" t="s">
        <v>407</v>
      </c>
      <c r="C542" s="27">
        <f>VLOOKUP(B542,Elements!$A$2:$B$435,2,0)</f>
        <v>343</v>
      </c>
      <c r="D542">
        <v>6</v>
      </c>
      <c r="E542" t="str">
        <f>VLOOKUP(D542,Categories!$A$2:$B$8,2,0)</f>
        <v>SXM</v>
      </c>
      <c r="F542">
        <v>24</v>
      </c>
      <c r="G542" t="str">
        <f>VLOOKUP(F542,Subcategories!$A$2:$B$29,2,0)</f>
        <v>SXM</v>
      </c>
      <c r="H542" t="str">
        <f t="shared" si="8"/>
        <v>6-24-343</v>
      </c>
      <c r="I542">
        <f>VLOOKUP(H542,SuiteCatSubElem!$F$2:$G$666,2,0)</f>
        <v>530</v>
      </c>
      <c r="J542">
        <v>1</v>
      </c>
      <c r="K542">
        <v>344</v>
      </c>
      <c r="M542" t="s">
        <v>50</v>
      </c>
      <c r="N542" s="60">
        <v>43101</v>
      </c>
      <c r="O542" t="s">
        <v>50</v>
      </c>
      <c r="P542">
        <v>37</v>
      </c>
      <c r="Q542" t="s">
        <v>1358</v>
      </c>
      <c r="R542" s="102" t="s">
        <v>968</v>
      </c>
      <c r="S542" s="109" t="s">
        <v>298</v>
      </c>
    </row>
    <row r="543" spans="1:19" ht="25">
      <c r="A543">
        <v>537</v>
      </c>
      <c r="B543" s="37" t="s">
        <v>408</v>
      </c>
      <c r="C543" s="27">
        <f>VLOOKUP(B543,Elements!$A$2:$B$435,2,0)</f>
        <v>344</v>
      </c>
      <c r="D543">
        <v>6</v>
      </c>
      <c r="E543" t="str">
        <f>VLOOKUP(D543,Categories!$A$2:$B$8,2,0)</f>
        <v>SXM</v>
      </c>
      <c r="F543">
        <v>24</v>
      </c>
      <c r="G543" t="str">
        <f>VLOOKUP(F543,Subcategories!$A$2:$B$29,2,0)</f>
        <v>SXM</v>
      </c>
      <c r="H543" t="str">
        <f t="shared" si="8"/>
        <v>6-24-344</v>
      </c>
      <c r="I543">
        <f>VLOOKUP(H543,SuiteCatSubElem!$F$2:$G$666,2,0)</f>
        <v>531</v>
      </c>
      <c r="J543">
        <v>1</v>
      </c>
      <c r="K543">
        <v>345</v>
      </c>
      <c r="M543" t="s">
        <v>50</v>
      </c>
      <c r="N543" s="60">
        <v>43101</v>
      </c>
      <c r="O543" t="s">
        <v>50</v>
      </c>
      <c r="P543">
        <v>38</v>
      </c>
      <c r="Q543" t="s">
        <v>1358</v>
      </c>
      <c r="R543" s="113" t="s">
        <v>969</v>
      </c>
      <c r="S543" s="109" t="s">
        <v>1040</v>
      </c>
    </row>
    <row r="544" spans="1:19" ht="25">
      <c r="A544">
        <v>620</v>
      </c>
      <c r="B544" s="133" t="s">
        <v>408</v>
      </c>
      <c r="C544" s="27">
        <f>VLOOKUP(B544,Elements!$A$2:$B$435,2,0)</f>
        <v>344</v>
      </c>
      <c r="D544">
        <v>7</v>
      </c>
      <c r="E544" t="str">
        <f>VLOOKUP(D544,Categories!$A$2:$B$8,2,0)</f>
        <v>CLM</v>
      </c>
      <c r="F544">
        <v>27</v>
      </c>
      <c r="G544" t="str">
        <f>VLOOKUP(F544,Subcategories!$A$2:$B$29,2,0)</f>
        <v>Contract Process Management</v>
      </c>
      <c r="H544" t="str">
        <f t="shared" si="8"/>
        <v>7-27-344</v>
      </c>
      <c r="I544">
        <f>VLOOKUP(H544,SuiteCatSubElem!$F$2:$G$666,2,0)</f>
        <v>614</v>
      </c>
      <c r="J544">
        <v>1</v>
      </c>
      <c r="K544">
        <v>345</v>
      </c>
      <c r="M544" t="s">
        <v>50</v>
      </c>
      <c r="N544" s="60">
        <v>43101</v>
      </c>
      <c r="O544" t="s">
        <v>50</v>
      </c>
      <c r="P544">
        <v>20</v>
      </c>
      <c r="Q544" t="s">
        <v>1358</v>
      </c>
      <c r="R544" s="113" t="s">
        <v>969</v>
      </c>
      <c r="S544" s="109" t="s">
        <v>1040</v>
      </c>
    </row>
    <row r="545" spans="1:19" ht="25">
      <c r="A545">
        <v>538</v>
      </c>
      <c r="B545" s="37" t="s">
        <v>409</v>
      </c>
      <c r="C545" s="27">
        <f>VLOOKUP(B545,Elements!$A$2:$B$435,2,0)</f>
        <v>345</v>
      </c>
      <c r="D545">
        <v>6</v>
      </c>
      <c r="E545" t="str">
        <f>VLOOKUP(D545,Categories!$A$2:$B$8,2,0)</f>
        <v>SXM</v>
      </c>
      <c r="F545">
        <v>24</v>
      </c>
      <c r="G545" t="str">
        <f>VLOOKUP(F545,Subcategories!$A$2:$B$29,2,0)</f>
        <v>SXM</v>
      </c>
      <c r="H545" t="str">
        <f t="shared" si="8"/>
        <v>6-24-345</v>
      </c>
      <c r="I545">
        <f>VLOOKUP(H545,SuiteCatSubElem!$F$2:$G$666,2,0)</f>
        <v>532</v>
      </c>
      <c r="J545">
        <v>1</v>
      </c>
      <c r="K545">
        <v>346</v>
      </c>
      <c r="M545" t="s">
        <v>50</v>
      </c>
      <c r="N545" s="60">
        <v>43101</v>
      </c>
      <c r="O545" t="s">
        <v>50</v>
      </c>
      <c r="P545">
        <v>39</v>
      </c>
      <c r="Q545" t="s">
        <v>1358</v>
      </c>
      <c r="R545" s="113" t="s">
        <v>970</v>
      </c>
      <c r="S545" s="109" t="s">
        <v>298</v>
      </c>
    </row>
    <row r="546" spans="1:19">
      <c r="A546">
        <v>539</v>
      </c>
      <c r="B546" s="38" t="s">
        <v>410</v>
      </c>
      <c r="C546" s="27">
        <f>VLOOKUP(B546,Elements!$A$2:$B$435,2,0)</f>
        <v>346</v>
      </c>
      <c r="D546">
        <v>6</v>
      </c>
      <c r="E546" t="str">
        <f>VLOOKUP(D546,Categories!$A$2:$B$8,2,0)</f>
        <v>SXM</v>
      </c>
      <c r="F546">
        <v>24</v>
      </c>
      <c r="G546" t="str">
        <f>VLOOKUP(F546,Subcategories!$A$2:$B$29,2,0)</f>
        <v>SXM</v>
      </c>
      <c r="H546" t="str">
        <f t="shared" si="8"/>
        <v>6-24-346</v>
      </c>
      <c r="I546">
        <f>VLOOKUP(H546,SuiteCatSubElem!$F$2:$G$666,2,0)</f>
        <v>533</v>
      </c>
      <c r="J546">
        <v>1</v>
      </c>
      <c r="K546">
        <v>347</v>
      </c>
      <c r="M546" t="s">
        <v>50</v>
      </c>
      <c r="N546" s="60">
        <v>43101</v>
      </c>
      <c r="O546" t="s">
        <v>50</v>
      </c>
      <c r="P546">
        <v>40</v>
      </c>
      <c r="Q546" t="s">
        <v>1358</v>
      </c>
      <c r="R546" s="113" t="s">
        <v>971</v>
      </c>
      <c r="S546" s="109" t="s">
        <v>298</v>
      </c>
    </row>
    <row r="547" spans="1:19" ht="25">
      <c r="A547">
        <v>540</v>
      </c>
      <c r="B547" s="38" t="s">
        <v>411</v>
      </c>
      <c r="C547" s="27">
        <f>VLOOKUP(B547,Elements!$A$2:$B$435,2,0)</f>
        <v>347</v>
      </c>
      <c r="D547">
        <v>6</v>
      </c>
      <c r="E547" t="str">
        <f>VLOOKUP(D547,Categories!$A$2:$B$8,2,0)</f>
        <v>SXM</v>
      </c>
      <c r="F547">
        <v>24</v>
      </c>
      <c r="G547" t="str">
        <f>VLOOKUP(F547,Subcategories!$A$2:$B$29,2,0)</f>
        <v>SXM</v>
      </c>
      <c r="H547" t="str">
        <f t="shared" si="8"/>
        <v>6-24-347</v>
      </c>
      <c r="I547">
        <f>VLOOKUP(H547,SuiteCatSubElem!$F$2:$G$666,2,0)</f>
        <v>534</v>
      </c>
      <c r="J547">
        <v>1</v>
      </c>
      <c r="K547">
        <v>348</v>
      </c>
      <c r="M547" t="s">
        <v>50</v>
      </c>
      <c r="N547" s="60">
        <v>43101</v>
      </c>
      <c r="O547" t="s">
        <v>50</v>
      </c>
      <c r="P547">
        <v>41</v>
      </c>
      <c r="Q547" t="s">
        <v>1358</v>
      </c>
      <c r="R547" s="113" t="s">
        <v>972</v>
      </c>
      <c r="S547" s="109" t="s">
        <v>1040</v>
      </c>
    </row>
    <row r="548" spans="1:19" ht="25">
      <c r="A548">
        <v>624</v>
      </c>
      <c r="B548" s="133" t="s">
        <v>474</v>
      </c>
      <c r="C548" s="27">
        <f>VLOOKUP(B548,Elements!$A$2:$B$435,2,0)</f>
        <v>347</v>
      </c>
      <c r="D548">
        <v>7</v>
      </c>
      <c r="E548" t="str">
        <f>VLOOKUP(D548,Categories!$A$2:$B$8,2,0)</f>
        <v>CLM</v>
      </c>
      <c r="F548">
        <v>27</v>
      </c>
      <c r="G548" t="str">
        <f>VLOOKUP(F548,Subcategories!$A$2:$B$29,2,0)</f>
        <v>Contract Process Management</v>
      </c>
      <c r="H548" t="str">
        <f t="shared" si="8"/>
        <v>7-27-347</v>
      </c>
      <c r="I548">
        <f>VLOOKUP(H548,SuiteCatSubElem!$F$2:$G$666,2,0)</f>
        <v>618</v>
      </c>
      <c r="J548">
        <v>1</v>
      </c>
      <c r="K548">
        <v>348</v>
      </c>
      <c r="M548" t="s">
        <v>50</v>
      </c>
      <c r="N548" s="60">
        <v>43101</v>
      </c>
      <c r="O548" t="s">
        <v>50</v>
      </c>
      <c r="P548">
        <v>24</v>
      </c>
      <c r="Q548" t="s">
        <v>1358</v>
      </c>
      <c r="R548" s="113" t="s">
        <v>972</v>
      </c>
      <c r="S548" s="109" t="s">
        <v>1040</v>
      </c>
    </row>
    <row r="549" spans="1:19" ht="30">
      <c r="A549">
        <v>541</v>
      </c>
      <c r="B549" s="38" t="s">
        <v>412</v>
      </c>
      <c r="C549" s="27">
        <f>VLOOKUP(B549,Elements!$A$2:$B$435,2,0)</f>
        <v>348</v>
      </c>
      <c r="D549">
        <v>6</v>
      </c>
      <c r="E549" t="str">
        <f>VLOOKUP(D549,Categories!$A$2:$B$8,2,0)</f>
        <v>SXM</v>
      </c>
      <c r="F549">
        <v>24</v>
      </c>
      <c r="G549" t="str">
        <f>VLOOKUP(F549,Subcategories!$A$2:$B$29,2,0)</f>
        <v>SXM</v>
      </c>
      <c r="H549" t="str">
        <f t="shared" si="8"/>
        <v>6-24-348</v>
      </c>
      <c r="I549">
        <f>VLOOKUP(H549,SuiteCatSubElem!$F$2:$G$666,2,0)</f>
        <v>535</v>
      </c>
      <c r="J549">
        <v>1</v>
      </c>
      <c r="K549">
        <v>349</v>
      </c>
      <c r="M549" t="s">
        <v>50</v>
      </c>
      <c r="N549" s="60">
        <v>43101</v>
      </c>
      <c r="O549" t="s">
        <v>50</v>
      </c>
      <c r="P549">
        <v>42</v>
      </c>
      <c r="Q549" t="s">
        <v>1358</v>
      </c>
      <c r="R549" s="102" t="s">
        <v>973</v>
      </c>
      <c r="S549" s="109" t="s">
        <v>298</v>
      </c>
    </row>
    <row r="550" spans="1:19" ht="25">
      <c r="A550">
        <v>543</v>
      </c>
      <c r="B550" s="38" t="s">
        <v>413</v>
      </c>
      <c r="C550" s="27">
        <f>VLOOKUP(B550,Elements!$A$2:$B$435,2,0)</f>
        <v>349</v>
      </c>
      <c r="D550">
        <v>6</v>
      </c>
      <c r="E550" t="str">
        <f>VLOOKUP(D550,Categories!$A$2:$B$8,2,0)</f>
        <v>SXM</v>
      </c>
      <c r="F550">
        <v>24</v>
      </c>
      <c r="G550" t="str">
        <f>VLOOKUP(F550,Subcategories!$A$2:$B$29,2,0)</f>
        <v>SXM</v>
      </c>
      <c r="H550" t="str">
        <f t="shared" si="8"/>
        <v>6-24-349</v>
      </c>
      <c r="I550">
        <f>VLOOKUP(H550,SuiteCatSubElem!$F$2:$G$666,2,0)</f>
        <v>537</v>
      </c>
      <c r="J550">
        <v>1</v>
      </c>
      <c r="K550">
        <v>350</v>
      </c>
      <c r="M550" t="s">
        <v>50</v>
      </c>
      <c r="N550" s="60">
        <v>43101</v>
      </c>
      <c r="O550" t="s">
        <v>50</v>
      </c>
      <c r="P550">
        <v>44</v>
      </c>
      <c r="Q550" t="s">
        <v>1358</v>
      </c>
      <c r="R550" s="113" t="s">
        <v>975</v>
      </c>
      <c r="S550" s="109" t="s">
        <v>298</v>
      </c>
    </row>
    <row r="551" spans="1:19" ht="30">
      <c r="A551">
        <v>544</v>
      </c>
      <c r="B551" s="39" t="s">
        <v>414</v>
      </c>
      <c r="C551" s="27">
        <f>VLOOKUP(B551,Elements!$A$2:$B$435,2,0)</f>
        <v>350</v>
      </c>
      <c r="D551">
        <v>6</v>
      </c>
      <c r="E551" t="str">
        <f>VLOOKUP(D551,Categories!$A$2:$B$8,2,0)</f>
        <v>SXM</v>
      </c>
      <c r="F551">
        <v>24</v>
      </c>
      <c r="G551" t="str">
        <f>VLOOKUP(F551,Subcategories!$A$2:$B$29,2,0)</f>
        <v>SXM</v>
      </c>
      <c r="H551" t="str">
        <f t="shared" si="8"/>
        <v>6-24-350</v>
      </c>
      <c r="I551">
        <f>VLOOKUP(H551,SuiteCatSubElem!$F$2:$G$666,2,0)</f>
        <v>538</v>
      </c>
      <c r="J551">
        <v>1</v>
      </c>
      <c r="K551">
        <v>351</v>
      </c>
      <c r="M551" t="s">
        <v>50</v>
      </c>
      <c r="N551" s="60">
        <v>43101</v>
      </c>
      <c r="O551" t="s">
        <v>50</v>
      </c>
      <c r="P551">
        <v>45</v>
      </c>
      <c r="Q551" t="s">
        <v>1358</v>
      </c>
      <c r="R551" s="102" t="s">
        <v>976</v>
      </c>
      <c r="S551" s="109" t="s">
        <v>298</v>
      </c>
    </row>
    <row r="552" spans="1:19" ht="25">
      <c r="A552">
        <v>545</v>
      </c>
      <c r="B552" s="39" t="s">
        <v>415</v>
      </c>
      <c r="C552" s="27">
        <f>VLOOKUP(B552,Elements!$A$2:$B$435,2,0)</f>
        <v>351</v>
      </c>
      <c r="D552">
        <v>6</v>
      </c>
      <c r="E552" t="str">
        <f>VLOOKUP(D552,Categories!$A$2:$B$8,2,0)</f>
        <v>SXM</v>
      </c>
      <c r="F552">
        <v>24</v>
      </c>
      <c r="G552" t="str">
        <f>VLOOKUP(F552,Subcategories!$A$2:$B$29,2,0)</f>
        <v>SXM</v>
      </c>
      <c r="H552" t="str">
        <f t="shared" si="8"/>
        <v>6-24-351</v>
      </c>
      <c r="I552">
        <f>VLOOKUP(H552,SuiteCatSubElem!$F$2:$G$666,2,0)</f>
        <v>539</v>
      </c>
      <c r="J552">
        <v>1</v>
      </c>
      <c r="K552">
        <v>352</v>
      </c>
      <c r="M552" t="s">
        <v>50</v>
      </c>
      <c r="N552" s="60">
        <v>43101</v>
      </c>
      <c r="O552" t="s">
        <v>50</v>
      </c>
      <c r="P552">
        <v>46</v>
      </c>
      <c r="Q552" t="s">
        <v>1358</v>
      </c>
      <c r="R552" s="102" t="s">
        <v>977</v>
      </c>
      <c r="S552" s="109" t="s">
        <v>298</v>
      </c>
    </row>
    <row r="553" spans="1:19" ht="37">
      <c r="A553">
        <v>546</v>
      </c>
      <c r="B553" s="39" t="s">
        <v>416</v>
      </c>
      <c r="C553" s="27">
        <f>VLOOKUP(B553,Elements!$A$2:$B$435,2,0)</f>
        <v>352</v>
      </c>
      <c r="D553">
        <v>6</v>
      </c>
      <c r="E553" t="str">
        <f>VLOOKUP(D553,Categories!$A$2:$B$8,2,0)</f>
        <v>SXM</v>
      </c>
      <c r="F553">
        <v>24</v>
      </c>
      <c r="G553" t="str">
        <f>VLOOKUP(F553,Subcategories!$A$2:$B$29,2,0)</f>
        <v>SXM</v>
      </c>
      <c r="H553" t="str">
        <f t="shared" si="8"/>
        <v>6-24-352</v>
      </c>
      <c r="I553">
        <f>VLOOKUP(H553,SuiteCatSubElem!$F$2:$G$666,2,0)</f>
        <v>540</v>
      </c>
      <c r="J553">
        <v>1</v>
      </c>
      <c r="K553">
        <v>353</v>
      </c>
      <c r="M553" t="s">
        <v>50</v>
      </c>
      <c r="N553" s="60">
        <v>43101</v>
      </c>
      <c r="O553" t="s">
        <v>50</v>
      </c>
      <c r="P553">
        <v>47</v>
      </c>
      <c r="Q553" t="s">
        <v>1358</v>
      </c>
      <c r="R553" s="113" t="s">
        <v>978</v>
      </c>
      <c r="S553" s="109" t="s">
        <v>298</v>
      </c>
    </row>
    <row r="554" spans="1:19" ht="25">
      <c r="A554">
        <v>547</v>
      </c>
      <c r="B554" s="39" t="s">
        <v>417</v>
      </c>
      <c r="C554" s="27">
        <f>VLOOKUP(B554,Elements!$A$2:$B$435,2,0)</f>
        <v>353</v>
      </c>
      <c r="D554">
        <v>6</v>
      </c>
      <c r="E554" t="str">
        <f>VLOOKUP(D554,Categories!$A$2:$B$8,2,0)</f>
        <v>SXM</v>
      </c>
      <c r="F554">
        <v>24</v>
      </c>
      <c r="G554" t="str">
        <f>VLOOKUP(F554,Subcategories!$A$2:$B$29,2,0)</f>
        <v>SXM</v>
      </c>
      <c r="H554" t="str">
        <f t="shared" si="8"/>
        <v>6-24-353</v>
      </c>
      <c r="I554">
        <f>VLOOKUP(H554,SuiteCatSubElem!$F$2:$G$666,2,0)</f>
        <v>541</v>
      </c>
      <c r="J554">
        <v>1</v>
      </c>
      <c r="K554">
        <v>354</v>
      </c>
      <c r="M554" t="s">
        <v>50</v>
      </c>
      <c r="N554" s="60">
        <v>43101</v>
      </c>
      <c r="O554" t="s">
        <v>50</v>
      </c>
      <c r="P554">
        <v>48</v>
      </c>
      <c r="Q554" t="s">
        <v>1358</v>
      </c>
      <c r="R554" s="113" t="s">
        <v>979</v>
      </c>
      <c r="S554" s="109" t="s">
        <v>298</v>
      </c>
    </row>
    <row r="555" spans="1:19">
      <c r="A555">
        <v>548</v>
      </c>
      <c r="B555" s="38" t="s">
        <v>418</v>
      </c>
      <c r="C555" s="27">
        <f>VLOOKUP(B555,Elements!$A$2:$B$435,2,0)</f>
        <v>354</v>
      </c>
      <c r="D555">
        <v>6</v>
      </c>
      <c r="E555" t="str">
        <f>VLOOKUP(D555,Categories!$A$2:$B$8,2,0)</f>
        <v>SXM</v>
      </c>
      <c r="F555">
        <v>24</v>
      </c>
      <c r="G555" t="str">
        <f>VLOOKUP(F555,Subcategories!$A$2:$B$29,2,0)</f>
        <v>SXM</v>
      </c>
      <c r="H555" t="str">
        <f t="shared" si="8"/>
        <v>6-24-354</v>
      </c>
      <c r="I555">
        <f>VLOOKUP(H555,SuiteCatSubElem!$F$2:$G$666,2,0)</f>
        <v>542</v>
      </c>
      <c r="J555">
        <v>1</v>
      </c>
      <c r="K555">
        <v>355</v>
      </c>
      <c r="M555" t="s">
        <v>50</v>
      </c>
      <c r="N555" s="60">
        <v>43101</v>
      </c>
      <c r="O555" t="s">
        <v>50</v>
      </c>
      <c r="P555">
        <v>49</v>
      </c>
      <c r="Q555" t="s">
        <v>1358</v>
      </c>
      <c r="R555" s="113" t="s">
        <v>980</v>
      </c>
      <c r="S555" s="109" t="s">
        <v>298</v>
      </c>
    </row>
    <row r="556" spans="1:19" ht="30">
      <c r="A556">
        <v>549</v>
      </c>
      <c r="B556" s="38" t="s">
        <v>419</v>
      </c>
      <c r="C556" s="27">
        <f>VLOOKUP(B556,Elements!$A$2:$B$435,2,0)</f>
        <v>355</v>
      </c>
      <c r="D556">
        <v>6</v>
      </c>
      <c r="E556" t="str">
        <f>VLOOKUP(D556,Categories!$A$2:$B$8,2,0)</f>
        <v>SXM</v>
      </c>
      <c r="F556">
        <v>24</v>
      </c>
      <c r="G556" t="str">
        <f>VLOOKUP(F556,Subcategories!$A$2:$B$29,2,0)</f>
        <v>SXM</v>
      </c>
      <c r="H556" t="str">
        <f t="shared" si="8"/>
        <v>6-24-355</v>
      </c>
      <c r="I556">
        <f>VLOOKUP(H556,SuiteCatSubElem!$F$2:$G$666,2,0)</f>
        <v>543</v>
      </c>
      <c r="J556">
        <v>1</v>
      </c>
      <c r="K556">
        <v>356</v>
      </c>
      <c r="M556" t="s">
        <v>50</v>
      </c>
      <c r="N556" s="60">
        <v>43101</v>
      </c>
      <c r="O556" t="s">
        <v>50</v>
      </c>
      <c r="P556">
        <v>50</v>
      </c>
      <c r="Q556" t="s">
        <v>1358</v>
      </c>
      <c r="R556" s="102" t="s">
        <v>981</v>
      </c>
      <c r="S556" s="109" t="s">
        <v>298</v>
      </c>
    </row>
    <row r="557" spans="1:19" ht="25">
      <c r="A557">
        <v>550</v>
      </c>
      <c r="B557" s="38" t="s">
        <v>420</v>
      </c>
      <c r="C557" s="27">
        <f>VLOOKUP(B557,Elements!$A$2:$B$435,2,0)</f>
        <v>356</v>
      </c>
      <c r="D557">
        <v>6</v>
      </c>
      <c r="E557" t="str">
        <f>VLOOKUP(D557,Categories!$A$2:$B$8,2,0)</f>
        <v>SXM</v>
      </c>
      <c r="F557">
        <v>24</v>
      </c>
      <c r="G557" t="str">
        <f>VLOOKUP(F557,Subcategories!$A$2:$B$29,2,0)</f>
        <v>SXM</v>
      </c>
      <c r="H557" t="str">
        <f t="shared" si="8"/>
        <v>6-24-356</v>
      </c>
      <c r="I557">
        <f>VLOOKUP(H557,SuiteCatSubElem!$F$2:$G$666,2,0)</f>
        <v>544</v>
      </c>
      <c r="J557">
        <v>1</v>
      </c>
      <c r="K557">
        <v>357</v>
      </c>
      <c r="M557" t="s">
        <v>50</v>
      </c>
      <c r="N557" s="60">
        <v>43101</v>
      </c>
      <c r="O557" t="s">
        <v>50</v>
      </c>
      <c r="P557">
        <v>51</v>
      </c>
      <c r="Q557" t="s">
        <v>1358</v>
      </c>
      <c r="R557" s="102" t="s">
        <v>982</v>
      </c>
      <c r="S557" s="109" t="s">
        <v>298</v>
      </c>
    </row>
    <row r="558" spans="1:19" ht="25">
      <c r="A558">
        <v>551</v>
      </c>
      <c r="B558" s="37" t="s">
        <v>421</v>
      </c>
      <c r="C558" s="27">
        <f>VLOOKUP(B558,Elements!$A$2:$B$435,2,0)</f>
        <v>357</v>
      </c>
      <c r="D558">
        <v>6</v>
      </c>
      <c r="E558" t="str">
        <f>VLOOKUP(D558,Categories!$A$2:$B$8,2,0)</f>
        <v>SXM</v>
      </c>
      <c r="F558">
        <v>24</v>
      </c>
      <c r="G558" t="str">
        <f>VLOOKUP(F558,Subcategories!$A$2:$B$29,2,0)</f>
        <v>SXM</v>
      </c>
      <c r="H558" t="str">
        <f t="shared" si="8"/>
        <v>6-24-357</v>
      </c>
      <c r="I558">
        <f>VLOOKUP(H558,SuiteCatSubElem!$F$2:$G$666,2,0)</f>
        <v>545</v>
      </c>
      <c r="J558">
        <v>1</v>
      </c>
      <c r="K558">
        <v>358</v>
      </c>
      <c r="M558" t="s">
        <v>50</v>
      </c>
      <c r="N558" s="60">
        <v>43101</v>
      </c>
      <c r="O558" t="s">
        <v>50</v>
      </c>
      <c r="P558">
        <v>52</v>
      </c>
      <c r="Q558" t="s">
        <v>1358</v>
      </c>
      <c r="R558" s="113" t="s">
        <v>983</v>
      </c>
      <c r="S558" s="109" t="s">
        <v>298</v>
      </c>
    </row>
    <row r="559" spans="1:19">
      <c r="A559">
        <v>552</v>
      </c>
      <c r="B559" s="40" t="s">
        <v>261</v>
      </c>
      <c r="C559" s="27">
        <f>VLOOKUP(B559,Elements!$A$2:$B$435,2,0)</f>
        <v>358</v>
      </c>
      <c r="D559">
        <v>6</v>
      </c>
      <c r="E559" t="str">
        <f>VLOOKUP(D559,Categories!$A$2:$B$8,2,0)</f>
        <v>SXM</v>
      </c>
      <c r="F559">
        <v>24</v>
      </c>
      <c r="G559" t="str">
        <f>VLOOKUP(F559,Subcategories!$A$2:$B$29,2,0)</f>
        <v>SXM</v>
      </c>
      <c r="H559" t="str">
        <f t="shared" si="8"/>
        <v>6-24-358</v>
      </c>
      <c r="I559">
        <f>VLOOKUP(H559,SuiteCatSubElem!$F$2:$G$666,2,0)</f>
        <v>546</v>
      </c>
      <c r="J559">
        <v>1</v>
      </c>
      <c r="K559">
        <v>359</v>
      </c>
      <c r="M559" t="s">
        <v>50</v>
      </c>
      <c r="N559" s="60">
        <v>43101</v>
      </c>
      <c r="O559" t="s">
        <v>50</v>
      </c>
      <c r="P559">
        <v>53</v>
      </c>
      <c r="Q559" t="s">
        <v>1358</v>
      </c>
      <c r="R559" s="113" t="s">
        <v>984</v>
      </c>
      <c r="S559" s="109" t="s">
        <v>298</v>
      </c>
    </row>
    <row r="560" spans="1:19" ht="25">
      <c r="A560">
        <v>553</v>
      </c>
      <c r="B560" s="40" t="s">
        <v>422</v>
      </c>
      <c r="C560" s="27">
        <f>VLOOKUP(B560,Elements!$A$2:$B$435,2,0)</f>
        <v>359</v>
      </c>
      <c r="D560">
        <v>6</v>
      </c>
      <c r="E560" t="str">
        <f>VLOOKUP(D560,Categories!$A$2:$B$8,2,0)</f>
        <v>SXM</v>
      </c>
      <c r="F560">
        <v>24</v>
      </c>
      <c r="G560" t="str">
        <f>VLOOKUP(F560,Subcategories!$A$2:$B$29,2,0)</f>
        <v>SXM</v>
      </c>
      <c r="H560" t="str">
        <f t="shared" si="8"/>
        <v>6-24-359</v>
      </c>
      <c r="I560">
        <f>VLOOKUP(H560,SuiteCatSubElem!$F$2:$G$666,2,0)</f>
        <v>547</v>
      </c>
      <c r="J560">
        <v>1</v>
      </c>
      <c r="K560">
        <v>360</v>
      </c>
      <c r="M560" t="s">
        <v>50</v>
      </c>
      <c r="N560" s="60">
        <v>43101</v>
      </c>
      <c r="O560" t="s">
        <v>50</v>
      </c>
      <c r="P560">
        <v>54</v>
      </c>
      <c r="Q560" t="s">
        <v>1358</v>
      </c>
      <c r="R560" s="113" t="s">
        <v>985</v>
      </c>
      <c r="S560" s="109" t="s">
        <v>298</v>
      </c>
    </row>
    <row r="561" spans="1:19" ht="25">
      <c r="A561">
        <v>554</v>
      </c>
      <c r="B561" s="40" t="s">
        <v>423</v>
      </c>
      <c r="C561" s="27">
        <f>VLOOKUP(B561,Elements!$A$2:$B$435,2,0)</f>
        <v>360</v>
      </c>
      <c r="D561">
        <v>6</v>
      </c>
      <c r="E561" t="str">
        <f>VLOOKUP(D561,Categories!$A$2:$B$8,2,0)</f>
        <v>SXM</v>
      </c>
      <c r="F561">
        <v>24</v>
      </c>
      <c r="G561" t="str">
        <f>VLOOKUP(F561,Subcategories!$A$2:$B$29,2,0)</f>
        <v>SXM</v>
      </c>
      <c r="H561" t="str">
        <f t="shared" si="8"/>
        <v>6-24-360</v>
      </c>
      <c r="I561">
        <f>VLOOKUP(H561,SuiteCatSubElem!$F$2:$G$666,2,0)</f>
        <v>548</v>
      </c>
      <c r="J561">
        <v>1</v>
      </c>
      <c r="K561">
        <v>361</v>
      </c>
      <c r="M561" t="s">
        <v>50</v>
      </c>
      <c r="N561" s="60">
        <v>43101</v>
      </c>
      <c r="O561" t="s">
        <v>50</v>
      </c>
      <c r="P561">
        <v>55</v>
      </c>
      <c r="Q561" t="s">
        <v>1358</v>
      </c>
      <c r="R561" s="113" t="s">
        <v>986</v>
      </c>
      <c r="S561" s="109" t="s">
        <v>298</v>
      </c>
    </row>
    <row r="562" spans="1:19" ht="25">
      <c r="A562">
        <v>555</v>
      </c>
      <c r="B562" s="40" t="s">
        <v>424</v>
      </c>
      <c r="C562" s="27">
        <f>VLOOKUP(B562,Elements!$A$2:$B$435,2,0)</f>
        <v>361</v>
      </c>
      <c r="D562">
        <v>6</v>
      </c>
      <c r="E562" t="str">
        <f>VLOOKUP(D562,Categories!$A$2:$B$8,2,0)</f>
        <v>SXM</v>
      </c>
      <c r="F562">
        <v>24</v>
      </c>
      <c r="G562" t="str">
        <f>VLOOKUP(F562,Subcategories!$A$2:$B$29,2,0)</f>
        <v>SXM</v>
      </c>
      <c r="H562" t="str">
        <f t="shared" si="8"/>
        <v>6-24-361</v>
      </c>
      <c r="I562">
        <f>VLOOKUP(H562,SuiteCatSubElem!$F$2:$G$666,2,0)</f>
        <v>549</v>
      </c>
      <c r="J562">
        <v>1</v>
      </c>
      <c r="K562">
        <v>362</v>
      </c>
      <c r="M562" t="s">
        <v>50</v>
      </c>
      <c r="N562" s="60">
        <v>43101</v>
      </c>
      <c r="O562" t="s">
        <v>50</v>
      </c>
      <c r="P562">
        <v>56</v>
      </c>
      <c r="Q562" t="s">
        <v>1358</v>
      </c>
      <c r="R562" s="113" t="s">
        <v>987</v>
      </c>
      <c r="S562" s="109" t="s">
        <v>298</v>
      </c>
    </row>
    <row r="563" spans="1:19">
      <c r="A563">
        <v>557</v>
      </c>
      <c r="B563" s="39" t="s">
        <v>425</v>
      </c>
      <c r="C563" s="27">
        <f>VLOOKUP(B563,Elements!$A$2:$B$435,2,0)</f>
        <v>362</v>
      </c>
      <c r="D563">
        <v>6</v>
      </c>
      <c r="E563" t="str">
        <f>VLOOKUP(D563,Categories!$A$2:$B$8,2,0)</f>
        <v>SXM</v>
      </c>
      <c r="F563">
        <v>24</v>
      </c>
      <c r="G563" t="str">
        <f>VLOOKUP(F563,Subcategories!$A$2:$B$29,2,0)</f>
        <v>SXM</v>
      </c>
      <c r="H563" t="str">
        <f t="shared" si="8"/>
        <v>6-24-362</v>
      </c>
      <c r="I563">
        <f>VLOOKUP(H563,SuiteCatSubElem!$F$2:$G$666,2,0)</f>
        <v>551</v>
      </c>
      <c r="J563">
        <v>1</v>
      </c>
      <c r="K563">
        <v>363</v>
      </c>
      <c r="M563" t="s">
        <v>50</v>
      </c>
      <c r="N563" s="60">
        <v>43101</v>
      </c>
      <c r="O563" t="s">
        <v>50</v>
      </c>
      <c r="P563">
        <v>58</v>
      </c>
      <c r="Q563" t="s">
        <v>1358</v>
      </c>
      <c r="R563" s="113" t="s">
        <v>989</v>
      </c>
      <c r="S563" s="109" t="s">
        <v>298</v>
      </c>
    </row>
    <row r="564" spans="1:19" ht="25">
      <c r="A564">
        <v>558</v>
      </c>
      <c r="B564" s="39" t="s">
        <v>426</v>
      </c>
      <c r="C564" s="27">
        <f>VLOOKUP(B564,Elements!$A$2:$B$435,2,0)</f>
        <v>363</v>
      </c>
      <c r="D564">
        <v>6</v>
      </c>
      <c r="E564" t="str">
        <f>VLOOKUP(D564,Categories!$A$2:$B$8,2,0)</f>
        <v>SXM</v>
      </c>
      <c r="F564">
        <v>24</v>
      </c>
      <c r="G564" t="str">
        <f>VLOOKUP(F564,Subcategories!$A$2:$B$29,2,0)</f>
        <v>SXM</v>
      </c>
      <c r="H564" t="str">
        <f t="shared" si="8"/>
        <v>6-24-363</v>
      </c>
      <c r="I564">
        <f>VLOOKUP(H564,SuiteCatSubElem!$F$2:$G$666,2,0)</f>
        <v>552</v>
      </c>
      <c r="J564">
        <v>1</v>
      </c>
      <c r="K564">
        <v>364</v>
      </c>
      <c r="M564" t="s">
        <v>50</v>
      </c>
      <c r="N564" s="60">
        <v>43101</v>
      </c>
      <c r="O564" t="s">
        <v>50</v>
      </c>
      <c r="P564">
        <v>59</v>
      </c>
      <c r="Q564" t="s">
        <v>1358</v>
      </c>
      <c r="R564" s="113" t="s">
        <v>990</v>
      </c>
      <c r="S564" s="109" t="s">
        <v>298</v>
      </c>
    </row>
    <row r="565" spans="1:19" ht="37">
      <c r="A565">
        <v>559</v>
      </c>
      <c r="B565" s="39" t="s">
        <v>427</v>
      </c>
      <c r="C565" s="27">
        <f>VLOOKUP(B565,Elements!$A$2:$B$435,2,0)</f>
        <v>364</v>
      </c>
      <c r="D565">
        <v>6</v>
      </c>
      <c r="E565" t="str">
        <f>VLOOKUP(D565,Categories!$A$2:$B$8,2,0)</f>
        <v>SXM</v>
      </c>
      <c r="F565">
        <v>24</v>
      </c>
      <c r="G565" t="str">
        <f>VLOOKUP(F565,Subcategories!$A$2:$B$29,2,0)</f>
        <v>SXM</v>
      </c>
      <c r="H565" t="str">
        <f t="shared" si="8"/>
        <v>6-24-364</v>
      </c>
      <c r="I565">
        <f>VLOOKUP(H565,SuiteCatSubElem!$F$2:$G$666,2,0)</f>
        <v>553</v>
      </c>
      <c r="J565">
        <v>1</v>
      </c>
      <c r="K565">
        <v>365</v>
      </c>
      <c r="M565" t="s">
        <v>50</v>
      </c>
      <c r="N565" s="60">
        <v>43101</v>
      </c>
      <c r="O565" t="s">
        <v>50</v>
      </c>
      <c r="P565">
        <v>60</v>
      </c>
      <c r="Q565" t="s">
        <v>1358</v>
      </c>
      <c r="R565" s="102" t="s">
        <v>991</v>
      </c>
      <c r="S565" s="109" t="s">
        <v>298</v>
      </c>
    </row>
    <row r="566" spans="1:19" ht="25">
      <c r="A566">
        <v>560</v>
      </c>
      <c r="B566" s="39" t="s">
        <v>428</v>
      </c>
      <c r="C566" s="27">
        <f>VLOOKUP(B566,Elements!$A$2:$B$435,2,0)</f>
        <v>365</v>
      </c>
      <c r="D566">
        <v>6</v>
      </c>
      <c r="E566" t="str">
        <f>VLOOKUP(D566,Categories!$A$2:$B$8,2,0)</f>
        <v>SXM</v>
      </c>
      <c r="F566">
        <v>24</v>
      </c>
      <c r="G566" t="str">
        <f>VLOOKUP(F566,Subcategories!$A$2:$B$29,2,0)</f>
        <v>SXM</v>
      </c>
      <c r="H566" t="str">
        <f t="shared" si="8"/>
        <v>6-24-365</v>
      </c>
      <c r="I566">
        <f>VLOOKUP(H566,SuiteCatSubElem!$F$2:$G$666,2,0)</f>
        <v>554</v>
      </c>
      <c r="J566">
        <v>1</v>
      </c>
      <c r="K566">
        <v>366</v>
      </c>
      <c r="M566" t="s">
        <v>50</v>
      </c>
      <c r="N566" s="60">
        <v>43101</v>
      </c>
      <c r="O566" t="s">
        <v>50</v>
      </c>
      <c r="P566">
        <v>61</v>
      </c>
      <c r="Q566" t="s">
        <v>1358</v>
      </c>
      <c r="R566" s="113" t="s">
        <v>992</v>
      </c>
      <c r="S566" s="109" t="s">
        <v>298</v>
      </c>
    </row>
    <row r="567" spans="1:19">
      <c r="A567">
        <v>561</v>
      </c>
      <c r="B567" s="39" t="s">
        <v>429</v>
      </c>
      <c r="C567" s="27">
        <f>VLOOKUP(B567,Elements!$A$2:$B$435,2,0)</f>
        <v>366</v>
      </c>
      <c r="D567">
        <v>6</v>
      </c>
      <c r="E567" t="str">
        <f>VLOOKUP(D567,Categories!$A$2:$B$8,2,0)</f>
        <v>SXM</v>
      </c>
      <c r="F567">
        <v>24</v>
      </c>
      <c r="G567" t="str">
        <f>VLOOKUP(F567,Subcategories!$A$2:$B$29,2,0)</f>
        <v>SXM</v>
      </c>
      <c r="H567" t="str">
        <f t="shared" si="8"/>
        <v>6-24-366</v>
      </c>
      <c r="I567">
        <f>VLOOKUP(H567,SuiteCatSubElem!$F$2:$G$666,2,0)</f>
        <v>555</v>
      </c>
      <c r="J567">
        <v>1</v>
      </c>
      <c r="K567">
        <v>367</v>
      </c>
      <c r="M567" t="s">
        <v>50</v>
      </c>
      <c r="N567" s="60">
        <v>43101</v>
      </c>
      <c r="O567" t="s">
        <v>50</v>
      </c>
      <c r="P567">
        <v>62</v>
      </c>
      <c r="Q567" t="s">
        <v>1358</v>
      </c>
      <c r="R567" s="113" t="s">
        <v>993</v>
      </c>
      <c r="S567" s="109" t="s">
        <v>298</v>
      </c>
    </row>
    <row r="568" spans="1:19" ht="49">
      <c r="A568">
        <v>366</v>
      </c>
      <c r="B568" s="108" t="s">
        <v>430</v>
      </c>
      <c r="C568" s="27">
        <f>VLOOKUP(B568,Elements!$A$2:$B$435,2,0)</f>
        <v>367</v>
      </c>
      <c r="D568">
        <v>4</v>
      </c>
      <c r="E568" t="str">
        <f>VLOOKUP(D568,Categories!$A$2:$B$8,2,0)</f>
        <v>Sourcing</v>
      </c>
      <c r="F568">
        <v>18</v>
      </c>
      <c r="G568" t="str">
        <f>VLOOKUP(F568,Subcategories!$A$2:$B$29,2,0)</f>
        <v>Execution</v>
      </c>
      <c r="H568" t="str">
        <f t="shared" si="8"/>
        <v>4-18-367</v>
      </c>
      <c r="I568">
        <f>VLOOKUP(H568,SuiteCatSubElem!$F$2:$G$666,2,0)</f>
        <v>362</v>
      </c>
      <c r="J568">
        <v>1</v>
      </c>
      <c r="K568">
        <v>368</v>
      </c>
      <c r="M568" t="s">
        <v>50</v>
      </c>
      <c r="N568" s="60">
        <v>43101</v>
      </c>
      <c r="O568" t="s">
        <v>50</v>
      </c>
      <c r="P568">
        <v>119</v>
      </c>
      <c r="Q568" t="s">
        <v>1358</v>
      </c>
      <c r="R568" s="113" t="s">
        <v>774</v>
      </c>
      <c r="S568" s="113" t="s">
        <v>775</v>
      </c>
    </row>
    <row r="569" spans="1:19" ht="49">
      <c r="A569">
        <v>564</v>
      </c>
      <c r="B569" s="38" t="s">
        <v>430</v>
      </c>
      <c r="C569" s="27">
        <f>VLOOKUP(B569,Elements!$A$2:$B$435,2,0)</f>
        <v>367</v>
      </c>
      <c r="D569">
        <v>6</v>
      </c>
      <c r="E569" t="str">
        <f>VLOOKUP(D569,Categories!$A$2:$B$8,2,0)</f>
        <v>SXM</v>
      </c>
      <c r="F569">
        <v>24</v>
      </c>
      <c r="G569" t="str">
        <f>VLOOKUP(F569,Subcategories!$A$2:$B$29,2,0)</f>
        <v>SXM</v>
      </c>
      <c r="H569" t="str">
        <f t="shared" si="8"/>
        <v>6-24-367</v>
      </c>
      <c r="I569">
        <f>VLOOKUP(H569,SuiteCatSubElem!$F$2:$G$666,2,0)</f>
        <v>558</v>
      </c>
      <c r="J569">
        <v>1</v>
      </c>
      <c r="K569">
        <v>368</v>
      </c>
      <c r="M569" t="s">
        <v>50</v>
      </c>
      <c r="N569" s="60">
        <v>43101</v>
      </c>
      <c r="O569" t="s">
        <v>50</v>
      </c>
      <c r="P569">
        <v>65</v>
      </c>
      <c r="Q569" t="s">
        <v>1358</v>
      </c>
      <c r="R569" s="113" t="s">
        <v>774</v>
      </c>
      <c r="S569" s="113" t="s">
        <v>775</v>
      </c>
    </row>
    <row r="570" spans="1:19">
      <c r="A570">
        <v>565</v>
      </c>
      <c r="B570" s="38" t="s">
        <v>431</v>
      </c>
      <c r="C570" s="27">
        <f>VLOOKUP(B570,Elements!$A$2:$B$435,2,0)</f>
        <v>368</v>
      </c>
      <c r="D570">
        <v>6</v>
      </c>
      <c r="E570" t="str">
        <f>VLOOKUP(D570,Categories!$A$2:$B$8,2,0)</f>
        <v>SXM</v>
      </c>
      <c r="F570">
        <v>24</v>
      </c>
      <c r="G570" t="str">
        <f>VLOOKUP(F570,Subcategories!$A$2:$B$29,2,0)</f>
        <v>SXM</v>
      </c>
      <c r="H570" t="str">
        <f t="shared" si="8"/>
        <v>6-24-368</v>
      </c>
      <c r="I570">
        <f>VLOOKUP(H570,SuiteCatSubElem!$F$2:$G$666,2,0)</f>
        <v>559</v>
      </c>
      <c r="J570">
        <v>1</v>
      </c>
      <c r="K570">
        <v>369</v>
      </c>
      <c r="M570" t="s">
        <v>50</v>
      </c>
      <c r="N570" s="60">
        <v>43101</v>
      </c>
      <c r="O570" t="s">
        <v>50</v>
      </c>
      <c r="P570">
        <v>66</v>
      </c>
      <c r="Q570" t="s">
        <v>1358</v>
      </c>
      <c r="R570" s="113" t="s">
        <v>997</v>
      </c>
      <c r="S570" s="109" t="s">
        <v>298</v>
      </c>
    </row>
    <row r="571" spans="1:19">
      <c r="A571">
        <v>566</v>
      </c>
      <c r="B571" s="38" t="s">
        <v>432</v>
      </c>
      <c r="C571" s="27">
        <f>VLOOKUP(B571,Elements!$A$2:$B$435,2,0)</f>
        <v>369</v>
      </c>
      <c r="D571" s="53">
        <v>6</v>
      </c>
      <c r="E571" t="str">
        <f>VLOOKUP(D571,Categories!$A$2:$B$8,2,0)</f>
        <v>SXM</v>
      </c>
      <c r="F571">
        <v>24</v>
      </c>
      <c r="G571" t="str">
        <f>VLOOKUP(F571,Subcategories!$A$2:$B$29,2,0)</f>
        <v>SXM</v>
      </c>
      <c r="H571" t="str">
        <f t="shared" si="8"/>
        <v>6-24-369</v>
      </c>
      <c r="I571">
        <f>VLOOKUP(H571,SuiteCatSubElem!$F$2:$G$666,2,0)</f>
        <v>560</v>
      </c>
      <c r="J571" s="53">
        <v>1</v>
      </c>
      <c r="K571">
        <v>370</v>
      </c>
      <c r="L571" s="53"/>
      <c r="M571" t="s">
        <v>50</v>
      </c>
      <c r="N571" s="60">
        <v>43101</v>
      </c>
      <c r="O571" t="s">
        <v>50</v>
      </c>
      <c r="P571">
        <v>67</v>
      </c>
      <c r="Q571" t="s">
        <v>1358</v>
      </c>
      <c r="R571" s="113" t="s">
        <v>998</v>
      </c>
      <c r="S571" s="112" t="s">
        <v>298</v>
      </c>
    </row>
    <row r="572" spans="1:19">
      <c r="A572">
        <v>567</v>
      </c>
      <c r="B572" s="40" t="s">
        <v>433</v>
      </c>
      <c r="C572" s="27">
        <f>VLOOKUP(B572,Elements!$A$2:$B$435,2,0)</f>
        <v>370</v>
      </c>
      <c r="D572">
        <v>6</v>
      </c>
      <c r="E572" t="str">
        <f>VLOOKUP(D572,Categories!$A$2:$B$8,2,0)</f>
        <v>SXM</v>
      </c>
      <c r="F572">
        <v>24</v>
      </c>
      <c r="G572" t="str">
        <f>VLOOKUP(F572,Subcategories!$A$2:$B$29,2,0)</f>
        <v>SXM</v>
      </c>
      <c r="H572" t="str">
        <f t="shared" si="8"/>
        <v>6-24-370</v>
      </c>
      <c r="I572">
        <f>VLOOKUP(H572,SuiteCatSubElem!$F$2:$G$666,2,0)</f>
        <v>561</v>
      </c>
      <c r="J572">
        <v>1</v>
      </c>
      <c r="K572">
        <v>371</v>
      </c>
      <c r="M572" t="s">
        <v>50</v>
      </c>
      <c r="N572" s="60">
        <v>43101</v>
      </c>
      <c r="O572" t="s">
        <v>50</v>
      </c>
      <c r="P572">
        <v>68</v>
      </c>
      <c r="Q572" t="s">
        <v>1358</v>
      </c>
      <c r="R572" s="113" t="s">
        <v>999</v>
      </c>
      <c r="S572" s="109" t="s">
        <v>298</v>
      </c>
    </row>
    <row r="573" spans="1:19" ht="37">
      <c r="A573">
        <v>568</v>
      </c>
      <c r="B573" s="127" t="s">
        <v>434</v>
      </c>
      <c r="C573" s="27">
        <f>VLOOKUP(B573,Elements!$A$2:$B$435,2,0)</f>
        <v>371</v>
      </c>
      <c r="D573">
        <v>6</v>
      </c>
      <c r="E573" t="str">
        <f>VLOOKUP(D573,Categories!$A$2:$B$8,2,0)</f>
        <v>SXM</v>
      </c>
      <c r="F573">
        <v>25</v>
      </c>
      <c r="G573" t="str">
        <f>VLOOKUP(F573,Subcategories!$A$2:$B$29,2,0)</f>
        <v>Portal</v>
      </c>
      <c r="H573" t="str">
        <f t="shared" si="8"/>
        <v>6-25-371</v>
      </c>
      <c r="I573">
        <f>VLOOKUP(H573,SuiteCatSubElem!$F$2:$G$666,2,0)</f>
        <v>562</v>
      </c>
      <c r="J573">
        <v>1</v>
      </c>
      <c r="K573">
        <v>372</v>
      </c>
      <c r="M573" t="s">
        <v>50</v>
      </c>
      <c r="N573" s="60">
        <v>43101</v>
      </c>
      <c r="O573" t="s">
        <v>50</v>
      </c>
      <c r="P573">
        <v>69</v>
      </c>
      <c r="Q573" t="s">
        <v>1358</v>
      </c>
      <c r="R573" s="113" t="s">
        <v>1000</v>
      </c>
      <c r="S573" s="109" t="s">
        <v>298</v>
      </c>
    </row>
    <row r="574" spans="1:19" ht="25">
      <c r="A574">
        <v>569</v>
      </c>
      <c r="B574" s="127" t="s">
        <v>435</v>
      </c>
      <c r="C574" s="27">
        <f>VLOOKUP(B574,Elements!$A$2:$B$435,2,0)</f>
        <v>372</v>
      </c>
      <c r="D574">
        <v>6</v>
      </c>
      <c r="E574" t="str">
        <f>VLOOKUP(D574,Categories!$A$2:$B$8,2,0)</f>
        <v>SXM</v>
      </c>
      <c r="F574">
        <v>25</v>
      </c>
      <c r="G574" t="str">
        <f>VLOOKUP(F574,Subcategories!$A$2:$B$29,2,0)</f>
        <v>Portal</v>
      </c>
      <c r="H574" t="str">
        <f t="shared" si="8"/>
        <v>6-25-372</v>
      </c>
      <c r="I574">
        <f>VLOOKUP(H574,SuiteCatSubElem!$F$2:$G$666,2,0)</f>
        <v>563</v>
      </c>
      <c r="J574">
        <v>1</v>
      </c>
      <c r="K574">
        <v>373</v>
      </c>
      <c r="M574" t="s">
        <v>50</v>
      </c>
      <c r="N574" s="60">
        <v>43101</v>
      </c>
      <c r="O574" t="s">
        <v>50</v>
      </c>
      <c r="P574">
        <v>70</v>
      </c>
      <c r="Q574" t="s">
        <v>1358</v>
      </c>
      <c r="R574" s="102" t="s">
        <v>1001</v>
      </c>
      <c r="S574" s="109" t="s">
        <v>298</v>
      </c>
    </row>
    <row r="575" spans="1:19" ht="25">
      <c r="A575">
        <v>571</v>
      </c>
      <c r="B575" s="127" t="s">
        <v>436</v>
      </c>
      <c r="C575" s="27">
        <f>VLOOKUP(B575,Elements!$A$2:$B$435,2,0)</f>
        <v>373</v>
      </c>
      <c r="D575">
        <v>6</v>
      </c>
      <c r="E575" t="str">
        <f>VLOOKUP(D575,Categories!$A$2:$B$8,2,0)</f>
        <v>SXM</v>
      </c>
      <c r="F575">
        <v>25</v>
      </c>
      <c r="G575" t="str">
        <f>VLOOKUP(F575,Subcategories!$A$2:$B$29,2,0)</f>
        <v>Portal</v>
      </c>
      <c r="H575" t="str">
        <f t="shared" si="8"/>
        <v>6-25-373</v>
      </c>
      <c r="I575">
        <f>VLOOKUP(H575,SuiteCatSubElem!$F$2:$G$666,2,0)</f>
        <v>565</v>
      </c>
      <c r="J575">
        <v>1</v>
      </c>
      <c r="K575">
        <v>374</v>
      </c>
      <c r="M575" t="s">
        <v>50</v>
      </c>
      <c r="N575" s="60">
        <v>43101</v>
      </c>
      <c r="O575" t="s">
        <v>50</v>
      </c>
      <c r="P575">
        <v>72</v>
      </c>
      <c r="Q575" t="s">
        <v>1358</v>
      </c>
      <c r="R575" s="113" t="s">
        <v>1003</v>
      </c>
      <c r="S575" s="109" t="s">
        <v>298</v>
      </c>
    </row>
    <row r="576" spans="1:19" ht="37">
      <c r="A576">
        <v>572</v>
      </c>
      <c r="B576" s="127" t="s">
        <v>437</v>
      </c>
      <c r="C576" s="27">
        <f>VLOOKUP(B576,Elements!$A$2:$B$435,2,0)</f>
        <v>374</v>
      </c>
      <c r="D576">
        <v>6</v>
      </c>
      <c r="E576" t="str">
        <f>VLOOKUP(D576,Categories!$A$2:$B$8,2,0)</f>
        <v>SXM</v>
      </c>
      <c r="F576">
        <v>25</v>
      </c>
      <c r="G576" t="str">
        <f>VLOOKUP(F576,Subcategories!$A$2:$B$29,2,0)</f>
        <v>Portal</v>
      </c>
      <c r="H576" t="str">
        <f t="shared" si="8"/>
        <v>6-25-374</v>
      </c>
      <c r="I576">
        <f>VLOOKUP(H576,SuiteCatSubElem!$F$2:$G$666,2,0)</f>
        <v>566</v>
      </c>
      <c r="J576">
        <v>1</v>
      </c>
      <c r="K576">
        <v>375</v>
      </c>
      <c r="M576" t="s">
        <v>50</v>
      </c>
      <c r="N576" s="60">
        <v>43101</v>
      </c>
      <c r="O576" t="s">
        <v>50</v>
      </c>
      <c r="P576">
        <v>73</v>
      </c>
      <c r="Q576" t="s">
        <v>1358</v>
      </c>
      <c r="R576" s="102" t="s">
        <v>1004</v>
      </c>
      <c r="S576" s="109" t="s">
        <v>298</v>
      </c>
    </row>
    <row r="577" spans="1:19" ht="37">
      <c r="A577">
        <v>573</v>
      </c>
      <c r="B577" s="127" t="s">
        <v>438</v>
      </c>
      <c r="C577" s="27">
        <f>VLOOKUP(B577,Elements!$A$2:$B$435,2,0)</f>
        <v>375</v>
      </c>
      <c r="D577">
        <v>6</v>
      </c>
      <c r="E577" t="str">
        <f>VLOOKUP(D577,Categories!$A$2:$B$8,2,0)</f>
        <v>SXM</v>
      </c>
      <c r="F577">
        <v>25</v>
      </c>
      <c r="G577" t="str">
        <f>VLOOKUP(F577,Subcategories!$A$2:$B$29,2,0)</f>
        <v>Portal</v>
      </c>
      <c r="H577" t="str">
        <f t="shared" si="8"/>
        <v>6-25-375</v>
      </c>
      <c r="I577">
        <f>VLOOKUP(H577,SuiteCatSubElem!$F$2:$G$666,2,0)</f>
        <v>567</v>
      </c>
      <c r="J577">
        <v>1</v>
      </c>
      <c r="K577">
        <v>376</v>
      </c>
      <c r="M577" t="s">
        <v>50</v>
      </c>
      <c r="N577" s="60">
        <v>43101</v>
      </c>
      <c r="O577" t="s">
        <v>50</v>
      </c>
      <c r="P577">
        <v>74</v>
      </c>
      <c r="Q577" t="s">
        <v>1358</v>
      </c>
      <c r="R577" s="102" t="s">
        <v>1005</v>
      </c>
      <c r="S577" s="109" t="s">
        <v>298</v>
      </c>
    </row>
    <row r="578" spans="1:19" ht="25">
      <c r="A578">
        <v>574</v>
      </c>
      <c r="B578" s="127" t="s">
        <v>439</v>
      </c>
      <c r="C578" s="27">
        <f>VLOOKUP(B578,Elements!$A$2:$B$435,2,0)</f>
        <v>376</v>
      </c>
      <c r="D578">
        <v>6</v>
      </c>
      <c r="E578" t="str">
        <f>VLOOKUP(D578,Categories!$A$2:$B$8,2,0)</f>
        <v>SXM</v>
      </c>
      <c r="F578">
        <v>25</v>
      </c>
      <c r="G578" t="str">
        <f>VLOOKUP(F578,Subcategories!$A$2:$B$29,2,0)</f>
        <v>Portal</v>
      </c>
      <c r="H578" t="str">
        <f t="shared" ref="H578:H641" si="9">_xlfn.CONCAT(D578,"-",F578,"-",C578)</f>
        <v>6-25-376</v>
      </c>
      <c r="I578">
        <f>VLOOKUP(H578,SuiteCatSubElem!$F$2:$G$666,2,0)</f>
        <v>568</v>
      </c>
      <c r="J578">
        <v>1</v>
      </c>
      <c r="K578">
        <v>377</v>
      </c>
      <c r="M578" t="s">
        <v>50</v>
      </c>
      <c r="N578" s="60">
        <v>43101</v>
      </c>
      <c r="O578" t="s">
        <v>50</v>
      </c>
      <c r="P578">
        <v>75</v>
      </c>
      <c r="Q578" t="s">
        <v>1358</v>
      </c>
      <c r="R578" s="100" t="s">
        <v>1006</v>
      </c>
      <c r="S578" s="109" t="s">
        <v>298</v>
      </c>
    </row>
    <row r="579" spans="1:19" ht="25">
      <c r="A579">
        <v>575</v>
      </c>
      <c r="B579" s="127" t="s">
        <v>440</v>
      </c>
      <c r="C579" s="27">
        <f>VLOOKUP(B579,Elements!$A$2:$B$435,2,0)</f>
        <v>377</v>
      </c>
      <c r="D579">
        <v>6</v>
      </c>
      <c r="E579" t="str">
        <f>VLOOKUP(D579,Categories!$A$2:$B$8,2,0)</f>
        <v>SXM</v>
      </c>
      <c r="F579">
        <v>25</v>
      </c>
      <c r="G579" t="str">
        <f>VLOOKUP(F579,Subcategories!$A$2:$B$29,2,0)</f>
        <v>Portal</v>
      </c>
      <c r="H579" t="str">
        <f t="shared" si="9"/>
        <v>6-25-377</v>
      </c>
      <c r="I579">
        <f>VLOOKUP(H579,SuiteCatSubElem!$F$2:$G$666,2,0)</f>
        <v>569</v>
      </c>
      <c r="J579">
        <v>1</v>
      </c>
      <c r="K579">
        <v>378</v>
      </c>
      <c r="M579" t="s">
        <v>50</v>
      </c>
      <c r="N579" s="60">
        <v>43101</v>
      </c>
      <c r="O579" t="s">
        <v>50</v>
      </c>
      <c r="P579">
        <v>76</v>
      </c>
      <c r="Q579" t="s">
        <v>1358</v>
      </c>
      <c r="R579" s="113" t="s">
        <v>1007</v>
      </c>
      <c r="S579" s="109" t="s">
        <v>298</v>
      </c>
    </row>
    <row r="580" spans="1:19" ht="30">
      <c r="A580">
        <v>579</v>
      </c>
      <c r="B580" s="127" t="s">
        <v>441</v>
      </c>
      <c r="C580" s="27">
        <f>VLOOKUP(B580,Elements!$A$2:$B$435,2,0)</f>
        <v>378</v>
      </c>
      <c r="D580">
        <v>6</v>
      </c>
      <c r="E580" t="str">
        <f>VLOOKUP(D580,Categories!$A$2:$B$8,2,0)</f>
        <v>SXM</v>
      </c>
      <c r="F580">
        <v>7</v>
      </c>
      <c r="G580" t="str">
        <f>VLOOKUP(F580,Subcategories!$A$2:$B$29,2,0)</f>
        <v>Technology</v>
      </c>
      <c r="H580" t="str">
        <f t="shared" si="9"/>
        <v>6-7-378</v>
      </c>
      <c r="I580">
        <f>VLOOKUP(H580,SuiteCatSubElem!$F$2:$G$666,2,0)</f>
        <v>573</v>
      </c>
      <c r="J580">
        <v>1</v>
      </c>
      <c r="K580">
        <v>379</v>
      </c>
      <c r="M580" t="s">
        <v>50</v>
      </c>
      <c r="N580" s="60">
        <v>43101</v>
      </c>
      <c r="O580" t="s">
        <v>50</v>
      </c>
      <c r="P580">
        <v>80</v>
      </c>
      <c r="Q580" t="s">
        <v>1358</v>
      </c>
      <c r="R580" s="102" t="s">
        <v>1009</v>
      </c>
      <c r="S580" s="109" t="s">
        <v>298</v>
      </c>
    </row>
    <row r="581" spans="1:19" ht="85">
      <c r="A581">
        <v>589</v>
      </c>
      <c r="B581" s="127" t="s">
        <v>442</v>
      </c>
      <c r="C581" s="27">
        <f>VLOOKUP(B581,Elements!$A$2:$B$435,2,0)</f>
        <v>379</v>
      </c>
      <c r="D581">
        <v>6</v>
      </c>
      <c r="E581" t="str">
        <f>VLOOKUP(D581,Categories!$A$2:$B$8,2,0)</f>
        <v>SXM</v>
      </c>
      <c r="F581">
        <v>6</v>
      </c>
      <c r="G581" t="str">
        <f>VLOOKUP(F581,Subcategories!$A$2:$B$29,2,0)</f>
        <v>Configurability</v>
      </c>
      <c r="H581" t="str">
        <f t="shared" si="9"/>
        <v>6-6-379</v>
      </c>
      <c r="I581">
        <f>VLOOKUP(H581,SuiteCatSubElem!$F$2:$G$666,2,0)</f>
        <v>583</v>
      </c>
      <c r="J581">
        <v>1</v>
      </c>
      <c r="K581">
        <v>380</v>
      </c>
      <c r="M581" t="s">
        <v>50</v>
      </c>
      <c r="N581" s="60">
        <v>43101</v>
      </c>
      <c r="O581" t="s">
        <v>50</v>
      </c>
      <c r="P581">
        <v>90</v>
      </c>
      <c r="Q581" t="s">
        <v>1358</v>
      </c>
      <c r="R581" s="113" t="s">
        <v>1012</v>
      </c>
      <c r="S581" s="109" t="s">
        <v>298</v>
      </c>
    </row>
    <row r="582" spans="1:19" ht="25">
      <c r="A582">
        <v>590</v>
      </c>
      <c r="B582" s="127" t="s">
        <v>443</v>
      </c>
      <c r="C582" s="27">
        <f>VLOOKUP(B582,Elements!$A$2:$B$435,2,0)</f>
        <v>380</v>
      </c>
      <c r="D582">
        <v>6</v>
      </c>
      <c r="E582" t="str">
        <f>VLOOKUP(D582,Categories!$A$2:$B$8,2,0)</f>
        <v>SXM</v>
      </c>
      <c r="F582">
        <v>6</v>
      </c>
      <c r="G582" t="str">
        <f>VLOOKUP(F582,Subcategories!$A$2:$B$29,2,0)</f>
        <v>Configurability</v>
      </c>
      <c r="H582" t="str">
        <f t="shared" si="9"/>
        <v>6-6-380</v>
      </c>
      <c r="I582">
        <f>VLOOKUP(H582,SuiteCatSubElem!$F$2:$G$666,2,0)</f>
        <v>584</v>
      </c>
      <c r="J582">
        <v>1</v>
      </c>
      <c r="K582">
        <v>381</v>
      </c>
      <c r="M582" t="s">
        <v>50</v>
      </c>
      <c r="N582" s="60">
        <v>43101</v>
      </c>
      <c r="O582" t="s">
        <v>50</v>
      </c>
      <c r="P582">
        <v>91</v>
      </c>
      <c r="Q582" t="s">
        <v>1358</v>
      </c>
      <c r="R582" s="113" t="s">
        <v>1013</v>
      </c>
      <c r="S582" s="109" t="s">
        <v>298</v>
      </c>
    </row>
    <row r="583" spans="1:19" ht="37">
      <c r="A583">
        <v>591</v>
      </c>
      <c r="B583" s="127" t="s">
        <v>444</v>
      </c>
      <c r="C583" s="27">
        <f>VLOOKUP(B583,Elements!$A$2:$B$435,2,0)</f>
        <v>381</v>
      </c>
      <c r="D583">
        <v>6</v>
      </c>
      <c r="E583" t="str">
        <f>VLOOKUP(D583,Categories!$A$2:$B$8,2,0)</f>
        <v>SXM</v>
      </c>
      <c r="F583">
        <v>6</v>
      </c>
      <c r="G583" t="str">
        <f>VLOOKUP(F583,Subcategories!$A$2:$B$29,2,0)</f>
        <v>Configurability</v>
      </c>
      <c r="H583" t="str">
        <f t="shared" si="9"/>
        <v>6-6-381</v>
      </c>
      <c r="I583">
        <f>VLOOKUP(H583,SuiteCatSubElem!$F$2:$G$666,2,0)</f>
        <v>585</v>
      </c>
      <c r="J583">
        <v>1</v>
      </c>
      <c r="K583">
        <v>382</v>
      </c>
      <c r="M583" t="s">
        <v>50</v>
      </c>
      <c r="N583" s="60">
        <v>43101</v>
      </c>
      <c r="O583" t="s">
        <v>50</v>
      </c>
      <c r="P583">
        <v>92</v>
      </c>
      <c r="Q583" t="s">
        <v>1358</v>
      </c>
      <c r="R583" s="113" t="s">
        <v>1192</v>
      </c>
      <c r="S583" s="109" t="s">
        <v>298</v>
      </c>
    </row>
    <row r="584" spans="1:19" ht="25">
      <c r="A584">
        <v>592</v>
      </c>
      <c r="B584" s="127" t="s">
        <v>445</v>
      </c>
      <c r="C584" s="27">
        <f>VLOOKUP(B584,Elements!$A$2:$B$435,2,0)</f>
        <v>382</v>
      </c>
      <c r="D584">
        <v>6</v>
      </c>
      <c r="E584" t="str">
        <f>VLOOKUP(D584,Categories!$A$2:$B$8,2,0)</f>
        <v>SXM</v>
      </c>
      <c r="F584">
        <v>6</v>
      </c>
      <c r="G584" t="str">
        <f>VLOOKUP(F584,Subcategories!$A$2:$B$29,2,0)</f>
        <v>Configurability</v>
      </c>
      <c r="H584" t="str">
        <f t="shared" si="9"/>
        <v>6-6-382</v>
      </c>
      <c r="I584">
        <f>VLOOKUP(H584,SuiteCatSubElem!$F$2:$G$666,2,0)</f>
        <v>586</v>
      </c>
      <c r="J584">
        <v>1</v>
      </c>
      <c r="K584">
        <v>383</v>
      </c>
      <c r="M584" t="s">
        <v>50</v>
      </c>
      <c r="N584" s="60">
        <v>43101</v>
      </c>
      <c r="O584" t="s">
        <v>50</v>
      </c>
      <c r="P584">
        <v>93</v>
      </c>
      <c r="Q584" t="s">
        <v>1358</v>
      </c>
      <c r="R584" s="113" t="s">
        <v>1014</v>
      </c>
      <c r="S584" s="109" t="s">
        <v>298</v>
      </c>
    </row>
    <row r="585" spans="1:19" ht="37">
      <c r="A585">
        <v>598</v>
      </c>
      <c r="B585" s="127" t="s">
        <v>446</v>
      </c>
      <c r="C585" s="27">
        <f>VLOOKUP(B585,Elements!$A$2:$B$435,2,0)</f>
        <v>383</v>
      </c>
      <c r="D585">
        <v>6</v>
      </c>
      <c r="E585" t="str">
        <f>VLOOKUP(D585,Categories!$A$2:$B$8,2,0)</f>
        <v>SXM</v>
      </c>
      <c r="F585">
        <v>8</v>
      </c>
      <c r="G585" t="str">
        <f>VLOOKUP(F585,Subcategories!$A$2:$B$29,2,0)</f>
        <v>General Services</v>
      </c>
      <c r="H585" t="str">
        <f t="shared" si="9"/>
        <v>6-8-383</v>
      </c>
      <c r="I585">
        <f>VLOOKUP(H585,SuiteCatSubElem!$F$2:$G$666,2,0)</f>
        <v>592</v>
      </c>
      <c r="J585">
        <v>1</v>
      </c>
      <c r="K585">
        <v>384</v>
      </c>
      <c r="M585" t="s">
        <v>50</v>
      </c>
      <c r="N585" s="60">
        <v>43101</v>
      </c>
      <c r="O585" t="s">
        <v>50</v>
      </c>
      <c r="P585">
        <v>99</v>
      </c>
      <c r="Q585" t="s">
        <v>1358</v>
      </c>
      <c r="R585" s="102" t="s">
        <v>1019</v>
      </c>
      <c r="S585" s="109" t="s">
        <v>298</v>
      </c>
    </row>
    <row r="586" spans="1:19" ht="25">
      <c r="A586">
        <v>599</v>
      </c>
      <c r="B586" s="127" t="s">
        <v>447</v>
      </c>
      <c r="C586" s="27">
        <f>VLOOKUP(B586,Elements!$A$2:$B$435,2,0)</f>
        <v>384</v>
      </c>
      <c r="D586">
        <v>6</v>
      </c>
      <c r="E586" t="str">
        <f>VLOOKUP(D586,Categories!$A$2:$B$8,2,0)</f>
        <v>SXM</v>
      </c>
      <c r="F586">
        <v>8</v>
      </c>
      <c r="G586" t="str">
        <f>VLOOKUP(F586,Subcategories!$A$2:$B$29,2,0)</f>
        <v>General Services</v>
      </c>
      <c r="H586" t="str">
        <f t="shared" si="9"/>
        <v>6-8-384</v>
      </c>
      <c r="I586">
        <f>VLOOKUP(H586,SuiteCatSubElem!$F$2:$G$666,2,0)</f>
        <v>593</v>
      </c>
      <c r="J586">
        <v>1</v>
      </c>
      <c r="K586">
        <v>385</v>
      </c>
      <c r="M586" t="s">
        <v>50</v>
      </c>
      <c r="N586" s="60">
        <v>43101</v>
      </c>
      <c r="O586" t="s">
        <v>50</v>
      </c>
      <c r="P586">
        <v>100</v>
      </c>
      <c r="Q586" t="s">
        <v>1358</v>
      </c>
      <c r="R586" s="113" t="s">
        <v>1020</v>
      </c>
      <c r="S586" s="109" t="s">
        <v>298</v>
      </c>
    </row>
    <row r="587" spans="1:19" ht="30">
      <c r="A587">
        <v>600</v>
      </c>
      <c r="B587" s="127" t="s">
        <v>448</v>
      </c>
      <c r="C587" s="27">
        <f>VLOOKUP(B587,Elements!$A$2:$B$435,2,0)</f>
        <v>385</v>
      </c>
      <c r="D587" s="53">
        <v>6</v>
      </c>
      <c r="E587" t="str">
        <f>VLOOKUP(D587,Categories!$A$2:$B$8,2,0)</f>
        <v>SXM</v>
      </c>
      <c r="F587">
        <v>8</v>
      </c>
      <c r="G587" t="str">
        <f>VLOOKUP(F587,Subcategories!$A$2:$B$29,2,0)</f>
        <v>General Services</v>
      </c>
      <c r="H587" t="str">
        <f t="shared" si="9"/>
        <v>6-8-385</v>
      </c>
      <c r="I587">
        <f>VLOOKUP(H587,SuiteCatSubElem!$F$2:$G$666,2,0)</f>
        <v>594</v>
      </c>
      <c r="J587" s="53">
        <v>1</v>
      </c>
      <c r="K587">
        <v>386</v>
      </c>
      <c r="L587" s="53"/>
      <c r="M587" t="s">
        <v>50</v>
      </c>
      <c r="N587" s="60">
        <v>43101</v>
      </c>
      <c r="O587" t="s">
        <v>50</v>
      </c>
      <c r="P587">
        <v>101</v>
      </c>
      <c r="Q587" t="s">
        <v>1358</v>
      </c>
      <c r="R587" s="113" t="s">
        <v>1021</v>
      </c>
      <c r="S587" s="112" t="s">
        <v>298</v>
      </c>
    </row>
    <row r="588" spans="1:19" ht="61">
      <c r="A588">
        <v>601</v>
      </c>
      <c r="B588" s="133" t="s">
        <v>450</v>
      </c>
      <c r="C588" s="27">
        <f>VLOOKUP(B588,Elements!$A$2:$B$435,2,0)</f>
        <v>386</v>
      </c>
      <c r="D588">
        <v>7</v>
      </c>
      <c r="E588" t="str">
        <f>VLOOKUP(D588,Categories!$A$2:$B$8,2,0)</f>
        <v>CLM</v>
      </c>
      <c r="F588">
        <v>26</v>
      </c>
      <c r="G588" t="str">
        <f>VLOOKUP(F588,Subcategories!$A$2:$B$29,2,0)</f>
        <v>Contract Information Management</v>
      </c>
      <c r="H588" t="str">
        <f t="shared" si="9"/>
        <v>7-26-386</v>
      </c>
      <c r="I588">
        <f>VLOOKUP(H588,SuiteCatSubElem!$F$2:$G$666,2,0)</f>
        <v>595</v>
      </c>
      <c r="J588">
        <v>1</v>
      </c>
      <c r="K588">
        <v>387</v>
      </c>
      <c r="M588" t="s">
        <v>50</v>
      </c>
      <c r="N588" s="60">
        <v>43101</v>
      </c>
      <c r="O588" t="s">
        <v>50</v>
      </c>
      <c r="P588">
        <v>1</v>
      </c>
      <c r="Q588" t="s">
        <v>1358</v>
      </c>
      <c r="R588" s="119" t="s">
        <v>1022</v>
      </c>
      <c r="S588" s="117" t="s">
        <v>1193</v>
      </c>
    </row>
    <row r="589" spans="1:19" ht="85">
      <c r="A589">
        <v>602</v>
      </c>
      <c r="B589" s="133" t="s">
        <v>451</v>
      </c>
      <c r="C589" s="27">
        <f>VLOOKUP(B589,Elements!$A$2:$B$435,2,0)</f>
        <v>387</v>
      </c>
      <c r="D589">
        <v>7</v>
      </c>
      <c r="E589" t="str">
        <f>VLOOKUP(D589,Categories!$A$2:$B$8,2,0)</f>
        <v>CLM</v>
      </c>
      <c r="F589">
        <v>26</v>
      </c>
      <c r="G589" t="str">
        <f>VLOOKUP(F589,Subcategories!$A$2:$B$29,2,0)</f>
        <v>Contract Information Management</v>
      </c>
      <c r="H589" t="str">
        <f t="shared" si="9"/>
        <v>7-26-387</v>
      </c>
      <c r="I589">
        <f>VLOOKUP(H589,SuiteCatSubElem!$F$2:$G$666,2,0)</f>
        <v>596</v>
      </c>
      <c r="J589">
        <v>1</v>
      </c>
      <c r="K589">
        <v>388</v>
      </c>
      <c r="M589" t="s">
        <v>50</v>
      </c>
      <c r="N589" s="60">
        <v>43101</v>
      </c>
      <c r="O589" t="s">
        <v>50</v>
      </c>
      <c r="P589">
        <v>2</v>
      </c>
      <c r="Q589" t="s">
        <v>1358</v>
      </c>
      <c r="R589" s="117" t="s">
        <v>1023</v>
      </c>
      <c r="S589" s="117" t="s">
        <v>1024</v>
      </c>
    </row>
    <row r="590" spans="1:19" ht="25">
      <c r="A590">
        <v>603</v>
      </c>
      <c r="B590" s="132" t="s">
        <v>453</v>
      </c>
      <c r="C590" s="27">
        <f>VLOOKUP(B590,Elements!$A$2:$B$435,2,0)</f>
        <v>388</v>
      </c>
      <c r="D590">
        <v>7</v>
      </c>
      <c r="E590" t="str">
        <f>VLOOKUP(D590,Categories!$A$2:$B$8,2,0)</f>
        <v>CLM</v>
      </c>
      <c r="F590">
        <v>26</v>
      </c>
      <c r="G590" t="str">
        <f>VLOOKUP(F590,Subcategories!$A$2:$B$29,2,0)</f>
        <v>Contract Information Management</v>
      </c>
      <c r="H590" t="str">
        <f t="shared" si="9"/>
        <v>7-26-388</v>
      </c>
      <c r="I590">
        <f>VLOOKUP(H590,SuiteCatSubElem!$F$2:$G$666,2,0)</f>
        <v>597</v>
      </c>
      <c r="J590">
        <v>1</v>
      </c>
      <c r="K590">
        <v>389</v>
      </c>
      <c r="M590" t="s">
        <v>50</v>
      </c>
      <c r="N590" s="60">
        <v>43101</v>
      </c>
      <c r="O590" t="s">
        <v>50</v>
      </c>
      <c r="P590">
        <v>3</v>
      </c>
      <c r="Q590" t="s">
        <v>1358</v>
      </c>
      <c r="R590" s="117" t="s">
        <v>1194</v>
      </c>
      <c r="S590" s="118" t="s">
        <v>1025</v>
      </c>
    </row>
    <row r="591" spans="1:19" ht="25">
      <c r="A591">
        <v>604</v>
      </c>
      <c r="B591" s="132" t="s">
        <v>454</v>
      </c>
      <c r="C591" s="27">
        <f>VLOOKUP(B591,Elements!$A$2:$B$435,2,0)</f>
        <v>389</v>
      </c>
      <c r="D591">
        <v>7</v>
      </c>
      <c r="E591" t="str">
        <f>VLOOKUP(D591,Categories!$A$2:$B$8,2,0)</f>
        <v>CLM</v>
      </c>
      <c r="F591">
        <v>26</v>
      </c>
      <c r="G591" t="str">
        <f>VLOOKUP(F591,Subcategories!$A$2:$B$29,2,0)</f>
        <v>Contract Information Management</v>
      </c>
      <c r="H591" t="str">
        <f t="shared" si="9"/>
        <v>7-26-389</v>
      </c>
      <c r="I591">
        <f>VLOOKUP(H591,SuiteCatSubElem!$F$2:$G$666,2,0)</f>
        <v>598</v>
      </c>
      <c r="J591">
        <v>1</v>
      </c>
      <c r="K591">
        <v>390</v>
      </c>
      <c r="M591" t="s">
        <v>50</v>
      </c>
      <c r="N591" s="60">
        <v>43101</v>
      </c>
      <c r="O591" t="s">
        <v>50</v>
      </c>
      <c r="P591">
        <v>4</v>
      </c>
      <c r="Q591" t="s">
        <v>1358</v>
      </c>
      <c r="R591" s="119" t="s">
        <v>1026</v>
      </c>
      <c r="S591" s="118" t="s">
        <v>1025</v>
      </c>
    </row>
    <row r="592" spans="1:19">
      <c r="A592">
        <v>605</v>
      </c>
      <c r="B592" s="132" t="s">
        <v>455</v>
      </c>
      <c r="C592" s="27">
        <f>VLOOKUP(B592,Elements!$A$2:$B$435,2,0)</f>
        <v>390</v>
      </c>
      <c r="D592" s="53">
        <v>7</v>
      </c>
      <c r="E592" t="str">
        <f>VLOOKUP(D592,Categories!$A$2:$B$8,2,0)</f>
        <v>CLM</v>
      </c>
      <c r="F592">
        <v>26</v>
      </c>
      <c r="G592" t="str">
        <f>VLOOKUP(F592,Subcategories!$A$2:$B$29,2,0)</f>
        <v>Contract Information Management</v>
      </c>
      <c r="H592" t="str">
        <f t="shared" si="9"/>
        <v>7-26-390</v>
      </c>
      <c r="I592">
        <f>VLOOKUP(H592,SuiteCatSubElem!$F$2:$G$666,2,0)</f>
        <v>599</v>
      </c>
      <c r="J592" s="53">
        <v>1</v>
      </c>
      <c r="K592">
        <v>391</v>
      </c>
      <c r="L592" s="53"/>
      <c r="M592" t="s">
        <v>50</v>
      </c>
      <c r="N592" s="60">
        <v>43101</v>
      </c>
      <c r="O592" t="s">
        <v>50</v>
      </c>
      <c r="P592">
        <v>5</v>
      </c>
      <c r="Q592" t="s">
        <v>1358</v>
      </c>
      <c r="R592" s="119" t="s">
        <v>1195</v>
      </c>
      <c r="S592" s="120" t="s">
        <v>1027</v>
      </c>
    </row>
    <row r="593" spans="1:19">
      <c r="A593">
        <v>606</v>
      </c>
      <c r="B593" s="132" t="s">
        <v>456</v>
      </c>
      <c r="C593" s="27">
        <f>VLOOKUP(B593,Elements!$A$2:$B$435,2,0)</f>
        <v>391</v>
      </c>
      <c r="D593">
        <v>7</v>
      </c>
      <c r="E593" t="str">
        <f>VLOOKUP(D593,Categories!$A$2:$B$8,2,0)</f>
        <v>CLM</v>
      </c>
      <c r="F593">
        <v>26</v>
      </c>
      <c r="G593" t="str">
        <f>VLOOKUP(F593,Subcategories!$A$2:$B$29,2,0)</f>
        <v>Contract Information Management</v>
      </c>
      <c r="H593" t="str">
        <f t="shared" si="9"/>
        <v>7-26-391</v>
      </c>
      <c r="I593">
        <f>VLOOKUP(H593,SuiteCatSubElem!$F$2:$G$666,2,0)</f>
        <v>600</v>
      </c>
      <c r="J593">
        <v>1</v>
      </c>
      <c r="K593">
        <v>392</v>
      </c>
      <c r="M593" t="s">
        <v>50</v>
      </c>
      <c r="N593" s="60">
        <v>43101</v>
      </c>
      <c r="O593" t="s">
        <v>50</v>
      </c>
      <c r="P593">
        <v>6</v>
      </c>
      <c r="Q593" t="s">
        <v>1358</v>
      </c>
      <c r="R593" s="119" t="s">
        <v>1028</v>
      </c>
      <c r="S593" s="118" t="s">
        <v>1027</v>
      </c>
    </row>
    <row r="594" spans="1:19" ht="37">
      <c r="A594">
        <v>607</v>
      </c>
      <c r="B594" s="132" t="s">
        <v>457</v>
      </c>
      <c r="C594" s="27">
        <f>VLOOKUP(B594,Elements!$A$2:$B$435,2,0)</f>
        <v>392</v>
      </c>
      <c r="D594">
        <v>7</v>
      </c>
      <c r="E594" t="str">
        <f>VLOOKUP(D594,Categories!$A$2:$B$8,2,0)</f>
        <v>CLM</v>
      </c>
      <c r="F594">
        <v>26</v>
      </c>
      <c r="G594" t="str">
        <f>VLOOKUP(F594,Subcategories!$A$2:$B$29,2,0)</f>
        <v>Contract Information Management</v>
      </c>
      <c r="H594" t="str">
        <f t="shared" si="9"/>
        <v>7-26-392</v>
      </c>
      <c r="I594">
        <f>VLOOKUP(H594,SuiteCatSubElem!$F$2:$G$666,2,0)</f>
        <v>601</v>
      </c>
      <c r="J594">
        <v>1</v>
      </c>
      <c r="K594">
        <v>393</v>
      </c>
      <c r="M594" t="s">
        <v>50</v>
      </c>
      <c r="N594" s="60">
        <v>43101</v>
      </c>
      <c r="O594" t="s">
        <v>50</v>
      </c>
      <c r="P594">
        <v>7</v>
      </c>
      <c r="Q594" t="s">
        <v>1358</v>
      </c>
      <c r="R594" s="117" t="s">
        <v>1029</v>
      </c>
      <c r="S594" s="117" t="s">
        <v>1030</v>
      </c>
    </row>
    <row r="595" spans="1:19" ht="25">
      <c r="A595">
        <v>608</v>
      </c>
      <c r="B595" s="132" t="s">
        <v>458</v>
      </c>
      <c r="C595" s="27">
        <f>VLOOKUP(B595,Elements!$A$2:$B$435,2,0)</f>
        <v>393</v>
      </c>
      <c r="D595">
        <v>7</v>
      </c>
      <c r="E595" t="str">
        <f>VLOOKUP(D595,Categories!$A$2:$B$8,2,0)</f>
        <v>CLM</v>
      </c>
      <c r="F595">
        <v>26</v>
      </c>
      <c r="G595" t="str">
        <f>VLOOKUP(F595,Subcategories!$A$2:$B$29,2,0)</f>
        <v>Contract Information Management</v>
      </c>
      <c r="H595" t="str">
        <f t="shared" si="9"/>
        <v>7-26-393</v>
      </c>
      <c r="I595">
        <f>VLOOKUP(H595,SuiteCatSubElem!$F$2:$G$666,2,0)</f>
        <v>602</v>
      </c>
      <c r="J595">
        <v>1</v>
      </c>
      <c r="K595">
        <v>394</v>
      </c>
      <c r="M595" t="s">
        <v>50</v>
      </c>
      <c r="N595" s="60">
        <v>43101</v>
      </c>
      <c r="O595" t="s">
        <v>50</v>
      </c>
      <c r="P595">
        <v>8</v>
      </c>
      <c r="Q595" t="s">
        <v>1358</v>
      </c>
      <c r="R595" s="117" t="s">
        <v>1031</v>
      </c>
      <c r="S595" s="118" t="s">
        <v>1025</v>
      </c>
    </row>
    <row r="596" spans="1:19" ht="37">
      <c r="A596">
        <v>609</v>
      </c>
      <c r="B596" s="132" t="s">
        <v>459</v>
      </c>
      <c r="C596" s="27">
        <f>VLOOKUP(B596,Elements!$A$2:$B$435,2,0)</f>
        <v>394</v>
      </c>
      <c r="D596">
        <v>7</v>
      </c>
      <c r="E596" t="str">
        <f>VLOOKUP(D596,Categories!$A$2:$B$8,2,0)</f>
        <v>CLM</v>
      </c>
      <c r="F596">
        <v>26</v>
      </c>
      <c r="G596" t="str">
        <f>VLOOKUP(F596,Subcategories!$A$2:$B$29,2,0)</f>
        <v>Contract Information Management</v>
      </c>
      <c r="H596" t="str">
        <f t="shared" si="9"/>
        <v>7-26-394</v>
      </c>
      <c r="I596">
        <f>VLOOKUP(H596,SuiteCatSubElem!$F$2:$G$666,2,0)</f>
        <v>603</v>
      </c>
      <c r="J596">
        <v>1</v>
      </c>
      <c r="K596">
        <v>395</v>
      </c>
      <c r="M596" t="s">
        <v>50</v>
      </c>
      <c r="N596" s="60">
        <v>43101</v>
      </c>
      <c r="O596" t="s">
        <v>50</v>
      </c>
      <c r="P596">
        <v>9</v>
      </c>
      <c r="Q596" t="s">
        <v>1358</v>
      </c>
      <c r="R596" s="119" t="s">
        <v>1196</v>
      </c>
      <c r="S596" s="117" t="s">
        <v>1032</v>
      </c>
    </row>
    <row r="597" spans="1:19" ht="37">
      <c r="A597">
        <v>610</v>
      </c>
      <c r="B597" s="132" t="s">
        <v>460</v>
      </c>
      <c r="C597" s="27">
        <f>VLOOKUP(B597,Elements!$A$2:$B$435,2,0)</f>
        <v>395</v>
      </c>
      <c r="D597">
        <v>7</v>
      </c>
      <c r="E597" t="str">
        <f>VLOOKUP(D597,Categories!$A$2:$B$8,2,0)</f>
        <v>CLM</v>
      </c>
      <c r="F597">
        <v>26</v>
      </c>
      <c r="G597" t="str">
        <f>VLOOKUP(F597,Subcategories!$A$2:$B$29,2,0)</f>
        <v>Contract Information Management</v>
      </c>
      <c r="H597" t="str">
        <f t="shared" si="9"/>
        <v>7-26-395</v>
      </c>
      <c r="I597">
        <f>VLOOKUP(H597,SuiteCatSubElem!$F$2:$G$666,2,0)</f>
        <v>604</v>
      </c>
      <c r="J597">
        <v>1</v>
      </c>
      <c r="K597">
        <v>396</v>
      </c>
      <c r="M597" t="s">
        <v>50</v>
      </c>
      <c r="N597" s="60">
        <v>43101</v>
      </c>
      <c r="O597" t="s">
        <v>50</v>
      </c>
      <c r="P597">
        <v>10</v>
      </c>
      <c r="Q597" t="s">
        <v>1358</v>
      </c>
      <c r="R597" s="117" t="s">
        <v>1197</v>
      </c>
      <c r="S597" s="117" t="s">
        <v>1033</v>
      </c>
    </row>
    <row r="598" spans="1:19" ht="25">
      <c r="A598">
        <v>611</v>
      </c>
      <c r="B598" s="132" t="s">
        <v>461</v>
      </c>
      <c r="C598" s="27">
        <f>VLOOKUP(B598,Elements!$A$2:$B$435,2,0)</f>
        <v>396</v>
      </c>
      <c r="D598">
        <v>7</v>
      </c>
      <c r="E598" t="str">
        <f>VLOOKUP(D598,Categories!$A$2:$B$8,2,0)</f>
        <v>CLM</v>
      </c>
      <c r="F598">
        <v>26</v>
      </c>
      <c r="G598" t="str">
        <f>VLOOKUP(F598,Subcategories!$A$2:$B$29,2,0)</f>
        <v>Contract Information Management</v>
      </c>
      <c r="H598" t="str">
        <f t="shared" si="9"/>
        <v>7-26-396</v>
      </c>
      <c r="I598">
        <f>VLOOKUP(H598,SuiteCatSubElem!$F$2:$G$666,2,0)</f>
        <v>605</v>
      </c>
      <c r="J598">
        <v>1</v>
      </c>
      <c r="K598">
        <v>397</v>
      </c>
      <c r="M598" t="s">
        <v>50</v>
      </c>
      <c r="N598" s="60">
        <v>43101</v>
      </c>
      <c r="O598" t="s">
        <v>50</v>
      </c>
      <c r="P598">
        <v>11</v>
      </c>
      <c r="Q598" t="s">
        <v>1358</v>
      </c>
      <c r="R598" s="119" t="s">
        <v>1198</v>
      </c>
      <c r="S598" s="118" t="s">
        <v>1025</v>
      </c>
    </row>
    <row r="599" spans="1:19" ht="37">
      <c r="A599">
        <v>614</v>
      </c>
      <c r="B599" s="133" t="s">
        <v>463</v>
      </c>
      <c r="C599" s="27">
        <f>VLOOKUP(B599,Elements!$A$2:$B$435,2,0)</f>
        <v>397</v>
      </c>
      <c r="D599" s="53">
        <v>7</v>
      </c>
      <c r="E599" t="str">
        <f>VLOOKUP(D599,Categories!$A$2:$B$8,2,0)</f>
        <v>CLM</v>
      </c>
      <c r="F599">
        <v>26</v>
      </c>
      <c r="G599" t="str">
        <f>VLOOKUP(F599,Subcategories!$A$2:$B$29,2,0)</f>
        <v>Contract Information Management</v>
      </c>
      <c r="H599" t="str">
        <f t="shared" si="9"/>
        <v>7-26-397</v>
      </c>
      <c r="I599">
        <f>VLOOKUP(H599,SuiteCatSubElem!$F$2:$G$666,2,0)</f>
        <v>608</v>
      </c>
      <c r="J599" s="53">
        <v>1</v>
      </c>
      <c r="K599">
        <v>398</v>
      </c>
      <c r="L599" s="53"/>
      <c r="M599" t="s">
        <v>50</v>
      </c>
      <c r="N599" s="60">
        <v>43101</v>
      </c>
      <c r="O599" t="s">
        <v>50</v>
      </c>
      <c r="P599">
        <v>14</v>
      </c>
      <c r="Q599" t="s">
        <v>1358</v>
      </c>
      <c r="R599" s="117" t="s">
        <v>1035</v>
      </c>
      <c r="S599" s="119" t="s">
        <v>1036</v>
      </c>
    </row>
    <row r="600" spans="1:19" s="4" customFormat="1" ht="38" thickBot="1">
      <c r="A600">
        <v>615</v>
      </c>
      <c r="B600" s="139" t="s">
        <v>464</v>
      </c>
      <c r="C600" s="27">
        <f>VLOOKUP(B600,Elements!$A$2:$B$435,2,0)</f>
        <v>398</v>
      </c>
      <c r="D600" s="4">
        <v>7</v>
      </c>
      <c r="E600" t="str">
        <f>VLOOKUP(D600,Categories!$A$2:$B$8,2,0)</f>
        <v>CLM</v>
      </c>
      <c r="F600">
        <v>26</v>
      </c>
      <c r="G600" t="str">
        <f>VLOOKUP(F600,Subcategories!$A$2:$B$29,2,0)</f>
        <v>Contract Information Management</v>
      </c>
      <c r="H600" t="str">
        <f t="shared" si="9"/>
        <v>7-26-398</v>
      </c>
      <c r="I600">
        <f>VLOOKUP(H600,SuiteCatSubElem!$F$2:$G$666,2,0)</f>
        <v>609</v>
      </c>
      <c r="J600" s="4">
        <v>1</v>
      </c>
      <c r="K600">
        <v>399</v>
      </c>
      <c r="M600" t="s">
        <v>50</v>
      </c>
      <c r="N600" s="60">
        <v>43101</v>
      </c>
      <c r="O600" t="s">
        <v>50</v>
      </c>
      <c r="P600">
        <v>15</v>
      </c>
      <c r="Q600" t="s">
        <v>1358</v>
      </c>
      <c r="R600" s="117" t="s">
        <v>1199</v>
      </c>
      <c r="S600" s="145" t="s">
        <v>1037</v>
      </c>
    </row>
    <row r="601" spans="1:19" ht="37">
      <c r="A601">
        <v>616</v>
      </c>
      <c r="B601" s="133" t="s">
        <v>465</v>
      </c>
      <c r="C601" s="27">
        <f>VLOOKUP(B601,Elements!$A$2:$B$435,2,0)</f>
        <v>399</v>
      </c>
      <c r="D601">
        <v>7</v>
      </c>
      <c r="E601" t="str">
        <f>VLOOKUP(D601,Categories!$A$2:$B$8,2,0)</f>
        <v>CLM</v>
      </c>
      <c r="F601">
        <v>26</v>
      </c>
      <c r="G601" t="str">
        <f>VLOOKUP(F601,Subcategories!$A$2:$B$29,2,0)</f>
        <v>Contract Information Management</v>
      </c>
      <c r="H601" t="str">
        <f t="shared" si="9"/>
        <v>7-26-399</v>
      </c>
      <c r="I601">
        <f>VLOOKUP(H601,SuiteCatSubElem!$F$2:$G$666,2,0)</f>
        <v>610</v>
      </c>
      <c r="J601">
        <v>1</v>
      </c>
      <c r="K601">
        <v>400</v>
      </c>
      <c r="M601" t="s">
        <v>50</v>
      </c>
      <c r="N601" s="60">
        <v>43101</v>
      </c>
      <c r="O601" t="s">
        <v>50</v>
      </c>
      <c r="P601">
        <v>16</v>
      </c>
      <c r="Q601" t="s">
        <v>1358</v>
      </c>
      <c r="R601" s="119" t="s">
        <v>760</v>
      </c>
      <c r="S601" s="117" t="s">
        <v>1038</v>
      </c>
    </row>
    <row r="602" spans="1:19" ht="37">
      <c r="A602">
        <v>617</v>
      </c>
      <c r="B602" s="131" t="s">
        <v>466</v>
      </c>
      <c r="C602" s="27">
        <f>VLOOKUP(B602,Elements!$A$2:$B$435,2,0)</f>
        <v>400</v>
      </c>
      <c r="D602">
        <v>7</v>
      </c>
      <c r="E602" t="str">
        <f>VLOOKUP(D602,Categories!$A$2:$B$8,2,0)</f>
        <v>CLM</v>
      </c>
      <c r="F602">
        <v>26</v>
      </c>
      <c r="G602" t="str">
        <f>VLOOKUP(F602,Subcategories!$A$2:$B$29,2,0)</f>
        <v>Contract Information Management</v>
      </c>
      <c r="H602" t="str">
        <f t="shared" si="9"/>
        <v>7-26-400</v>
      </c>
      <c r="I602">
        <f>VLOOKUP(H602,SuiteCatSubElem!$F$2:$G$666,2,0)</f>
        <v>611</v>
      </c>
      <c r="J602">
        <v>1</v>
      </c>
      <c r="K602">
        <v>401</v>
      </c>
      <c r="M602" t="s">
        <v>50</v>
      </c>
      <c r="N602" s="60">
        <v>43101</v>
      </c>
      <c r="O602" t="s">
        <v>50</v>
      </c>
      <c r="P602">
        <v>17</v>
      </c>
      <c r="Q602" t="s">
        <v>1358</v>
      </c>
      <c r="R602" s="119" t="s">
        <v>1039</v>
      </c>
      <c r="S602" s="118" t="s">
        <v>1040</v>
      </c>
    </row>
    <row r="603" spans="1:19" ht="37">
      <c r="A603">
        <v>618</v>
      </c>
      <c r="B603" s="133" t="s">
        <v>468</v>
      </c>
      <c r="C603" s="27">
        <f>VLOOKUP(B603,Elements!$A$2:$B$435,2,0)</f>
        <v>401</v>
      </c>
      <c r="D603">
        <v>7</v>
      </c>
      <c r="E603" t="str">
        <f>VLOOKUP(D603,Categories!$A$2:$B$8,2,0)</f>
        <v>CLM</v>
      </c>
      <c r="F603">
        <v>27</v>
      </c>
      <c r="G603" t="str">
        <f>VLOOKUP(F603,Subcategories!$A$2:$B$29,2,0)</f>
        <v>Contract Process Management</v>
      </c>
      <c r="H603" t="str">
        <f t="shared" si="9"/>
        <v>7-27-401</v>
      </c>
      <c r="I603">
        <f>VLOOKUP(H603,SuiteCatSubElem!$F$2:$G$666,2,0)</f>
        <v>612</v>
      </c>
      <c r="J603">
        <v>1</v>
      </c>
      <c r="K603">
        <v>402</v>
      </c>
      <c r="M603" t="s">
        <v>50</v>
      </c>
      <c r="N603" s="60">
        <v>43101</v>
      </c>
      <c r="O603" t="s">
        <v>50</v>
      </c>
      <c r="P603">
        <v>18</v>
      </c>
      <c r="Q603" t="s">
        <v>1358</v>
      </c>
      <c r="R603" s="113" t="s">
        <v>1200</v>
      </c>
      <c r="S603" s="113" t="s">
        <v>1042</v>
      </c>
    </row>
    <row r="604" spans="1:19" ht="49">
      <c r="A604">
        <v>619</v>
      </c>
      <c r="B604" s="133" t="s">
        <v>469</v>
      </c>
      <c r="C604" s="27">
        <f>VLOOKUP(B604,Elements!$A$2:$B$435,2,0)</f>
        <v>402</v>
      </c>
      <c r="D604">
        <v>7</v>
      </c>
      <c r="E604" t="str">
        <f>VLOOKUP(D604,Categories!$A$2:$B$8,2,0)</f>
        <v>CLM</v>
      </c>
      <c r="F604">
        <v>27</v>
      </c>
      <c r="G604" t="str">
        <f>VLOOKUP(F604,Subcategories!$A$2:$B$29,2,0)</f>
        <v>Contract Process Management</v>
      </c>
      <c r="H604" t="str">
        <f t="shared" si="9"/>
        <v>7-27-402</v>
      </c>
      <c r="I604">
        <f>VLOOKUP(H604,SuiteCatSubElem!$F$2:$G$666,2,0)</f>
        <v>613</v>
      </c>
      <c r="J604">
        <v>1</v>
      </c>
      <c r="K604">
        <v>403</v>
      </c>
      <c r="M604" t="s">
        <v>50</v>
      </c>
      <c r="N604" s="60">
        <v>43101</v>
      </c>
      <c r="O604" t="s">
        <v>50</v>
      </c>
      <c r="P604">
        <v>19</v>
      </c>
      <c r="Q604" t="s">
        <v>1358</v>
      </c>
      <c r="R604" s="102" t="s">
        <v>1043</v>
      </c>
      <c r="S604" s="113" t="s">
        <v>1044</v>
      </c>
    </row>
    <row r="605" spans="1:19" ht="37">
      <c r="A605">
        <v>621</v>
      </c>
      <c r="B605" s="133" t="s">
        <v>471</v>
      </c>
      <c r="C605" s="27">
        <f>VLOOKUP(B605,Elements!$A$2:$B$435,2,0)</f>
        <v>403</v>
      </c>
      <c r="D605">
        <v>7</v>
      </c>
      <c r="E605" t="str">
        <f>VLOOKUP(D605,Categories!$A$2:$B$8,2,0)</f>
        <v>CLM</v>
      </c>
      <c r="F605">
        <v>27</v>
      </c>
      <c r="G605" t="str">
        <f>VLOOKUP(F605,Subcategories!$A$2:$B$29,2,0)</f>
        <v>Contract Process Management</v>
      </c>
      <c r="H605" t="str">
        <f t="shared" si="9"/>
        <v>7-27-403</v>
      </c>
      <c r="I605">
        <f>VLOOKUP(H605,SuiteCatSubElem!$F$2:$G$666,2,0)</f>
        <v>615</v>
      </c>
      <c r="J605">
        <v>1</v>
      </c>
      <c r="K605">
        <v>404</v>
      </c>
      <c r="M605" t="s">
        <v>50</v>
      </c>
      <c r="N605" s="60">
        <v>43101</v>
      </c>
      <c r="O605" t="s">
        <v>50</v>
      </c>
      <c r="P605">
        <v>21</v>
      </c>
      <c r="Q605" t="s">
        <v>1358</v>
      </c>
      <c r="R605" s="113" t="s">
        <v>1045</v>
      </c>
      <c r="S605" s="113" t="s">
        <v>1046</v>
      </c>
    </row>
    <row r="606" spans="1:19" ht="37">
      <c r="A606">
        <v>622</v>
      </c>
      <c r="B606" s="133" t="s">
        <v>472</v>
      </c>
      <c r="C606" s="27">
        <f>VLOOKUP(B606,Elements!$A$2:$B$435,2,0)</f>
        <v>404</v>
      </c>
      <c r="D606">
        <v>7</v>
      </c>
      <c r="E606" t="str">
        <f>VLOOKUP(D606,Categories!$A$2:$B$8,2,0)</f>
        <v>CLM</v>
      </c>
      <c r="F606">
        <v>27</v>
      </c>
      <c r="G606" t="str">
        <f>VLOOKUP(F606,Subcategories!$A$2:$B$29,2,0)</f>
        <v>Contract Process Management</v>
      </c>
      <c r="H606" t="str">
        <f t="shared" si="9"/>
        <v>7-27-404</v>
      </c>
      <c r="I606">
        <f>VLOOKUP(H606,SuiteCatSubElem!$F$2:$G$666,2,0)</f>
        <v>616</v>
      </c>
      <c r="J606">
        <v>1</v>
      </c>
      <c r="K606">
        <v>405</v>
      </c>
      <c r="M606" t="s">
        <v>50</v>
      </c>
      <c r="N606" s="60">
        <v>43101</v>
      </c>
      <c r="O606" t="s">
        <v>50</v>
      </c>
      <c r="P606">
        <v>22</v>
      </c>
      <c r="Q606" t="s">
        <v>1358</v>
      </c>
      <c r="R606" s="113" t="s">
        <v>1047</v>
      </c>
      <c r="S606" s="113" t="s">
        <v>1048</v>
      </c>
    </row>
    <row r="607" spans="1:19" ht="49">
      <c r="A607">
        <v>623</v>
      </c>
      <c r="B607" s="133" t="s">
        <v>524</v>
      </c>
      <c r="C607" s="27">
        <f>VLOOKUP(B607,Elements!$A$2:$B$435,2,0)</f>
        <v>405</v>
      </c>
      <c r="D607">
        <v>7</v>
      </c>
      <c r="E607" t="str">
        <f>VLOOKUP(D607,Categories!$A$2:$B$8,2,0)</f>
        <v>CLM</v>
      </c>
      <c r="F607">
        <v>27</v>
      </c>
      <c r="G607" t="str">
        <f>VLOOKUP(F607,Subcategories!$A$2:$B$29,2,0)</f>
        <v>Contract Process Management</v>
      </c>
      <c r="H607" t="str">
        <f t="shared" si="9"/>
        <v>7-27-405</v>
      </c>
      <c r="I607">
        <f>VLOOKUP(H607,SuiteCatSubElem!$F$2:$G$666,2,0)</f>
        <v>617</v>
      </c>
      <c r="J607">
        <v>1</v>
      </c>
      <c r="K607">
        <v>406</v>
      </c>
      <c r="M607" t="s">
        <v>50</v>
      </c>
      <c r="N607" s="60">
        <v>43101</v>
      </c>
      <c r="O607" t="s">
        <v>50</v>
      </c>
      <c r="P607">
        <v>23</v>
      </c>
      <c r="Q607" t="s">
        <v>1358</v>
      </c>
      <c r="R607" s="102" t="s">
        <v>1049</v>
      </c>
      <c r="S607" s="113" t="s">
        <v>1201</v>
      </c>
    </row>
    <row r="608" spans="1:19" ht="25">
      <c r="A608">
        <v>625</v>
      </c>
      <c r="B608" s="133" t="s">
        <v>475</v>
      </c>
      <c r="C608" s="27">
        <f>VLOOKUP(B608,Elements!$A$2:$B$435,2,0)</f>
        <v>406</v>
      </c>
      <c r="D608">
        <v>7</v>
      </c>
      <c r="E608" t="str">
        <f>VLOOKUP(D608,Categories!$A$2:$B$8,2,0)</f>
        <v>CLM</v>
      </c>
      <c r="F608">
        <v>27</v>
      </c>
      <c r="G608" t="str">
        <f>VLOOKUP(F608,Subcategories!$A$2:$B$29,2,0)</f>
        <v>Contract Process Management</v>
      </c>
      <c r="H608" t="str">
        <f t="shared" si="9"/>
        <v>7-27-406</v>
      </c>
      <c r="I608">
        <f>VLOOKUP(H608,SuiteCatSubElem!$F$2:$G$666,2,0)</f>
        <v>619</v>
      </c>
      <c r="J608">
        <v>1</v>
      </c>
      <c r="K608">
        <v>407</v>
      </c>
      <c r="M608" t="s">
        <v>50</v>
      </c>
      <c r="N608" s="60">
        <v>43101</v>
      </c>
      <c r="O608" t="s">
        <v>50</v>
      </c>
      <c r="P608">
        <v>25</v>
      </c>
      <c r="Q608" t="s">
        <v>1358</v>
      </c>
      <c r="R608" s="119" t="s">
        <v>1202</v>
      </c>
      <c r="S608" s="117" t="s">
        <v>1050</v>
      </c>
    </row>
    <row r="609" spans="1:19" ht="49">
      <c r="A609">
        <v>626</v>
      </c>
      <c r="B609" s="133" t="s">
        <v>476</v>
      </c>
      <c r="C609" s="27">
        <f>VLOOKUP(B609,Elements!$A$2:$B$435,2,0)</f>
        <v>407</v>
      </c>
      <c r="D609">
        <v>7</v>
      </c>
      <c r="E609" t="str">
        <f>VLOOKUP(D609,Categories!$A$2:$B$8,2,0)</f>
        <v>CLM</v>
      </c>
      <c r="F609">
        <v>27</v>
      </c>
      <c r="G609" t="str">
        <f>VLOOKUP(F609,Subcategories!$A$2:$B$29,2,0)</f>
        <v>Contract Process Management</v>
      </c>
      <c r="H609" t="str">
        <f t="shared" si="9"/>
        <v>7-27-407</v>
      </c>
      <c r="I609">
        <f>VLOOKUP(H609,SuiteCatSubElem!$F$2:$G$666,2,0)</f>
        <v>620</v>
      </c>
      <c r="J609">
        <v>1</v>
      </c>
      <c r="K609">
        <v>408</v>
      </c>
      <c r="M609" t="s">
        <v>50</v>
      </c>
      <c r="N609" s="60">
        <v>43101</v>
      </c>
      <c r="O609" t="s">
        <v>50</v>
      </c>
      <c r="P609">
        <v>26</v>
      </c>
      <c r="Q609" t="s">
        <v>1358</v>
      </c>
      <c r="R609" s="119" t="s">
        <v>1051</v>
      </c>
      <c r="S609" s="117" t="s">
        <v>1203</v>
      </c>
    </row>
    <row r="610" spans="1:19" ht="25">
      <c r="A610">
        <v>627</v>
      </c>
      <c r="B610" s="133" t="s">
        <v>477</v>
      </c>
      <c r="C610" s="27">
        <f>VLOOKUP(B610,Elements!$A$2:$B$435,2,0)</f>
        <v>408</v>
      </c>
      <c r="D610">
        <v>7</v>
      </c>
      <c r="E610" t="str">
        <f>VLOOKUP(D610,Categories!$A$2:$B$8,2,0)</f>
        <v>CLM</v>
      </c>
      <c r="F610">
        <v>27</v>
      </c>
      <c r="G610" t="str">
        <f>VLOOKUP(F610,Subcategories!$A$2:$B$29,2,0)</f>
        <v>Contract Process Management</v>
      </c>
      <c r="H610" t="str">
        <f t="shared" si="9"/>
        <v>7-27-408</v>
      </c>
      <c r="I610">
        <f>VLOOKUP(H610,SuiteCatSubElem!$F$2:$G$666,2,0)</f>
        <v>621</v>
      </c>
      <c r="J610">
        <v>1</v>
      </c>
      <c r="K610">
        <v>409</v>
      </c>
      <c r="M610" t="s">
        <v>50</v>
      </c>
      <c r="N610" s="60">
        <v>43101</v>
      </c>
      <c r="O610" t="s">
        <v>50</v>
      </c>
      <c r="P610">
        <v>27</v>
      </c>
      <c r="Q610" t="s">
        <v>1358</v>
      </c>
      <c r="R610" s="119" t="s">
        <v>1052</v>
      </c>
      <c r="S610" s="118" t="s">
        <v>1053</v>
      </c>
    </row>
    <row r="611" spans="1:19" ht="25">
      <c r="A611">
        <v>629</v>
      </c>
      <c r="B611" s="133" t="s">
        <v>479</v>
      </c>
      <c r="C611" s="27">
        <f>VLOOKUP(B611,Elements!$A$2:$B$435,2,0)</f>
        <v>409</v>
      </c>
      <c r="D611">
        <v>7</v>
      </c>
      <c r="E611" t="str">
        <f>VLOOKUP(D611,Categories!$A$2:$B$8,2,0)</f>
        <v>CLM</v>
      </c>
      <c r="F611">
        <v>27</v>
      </c>
      <c r="G611" t="str">
        <f>VLOOKUP(F611,Subcategories!$A$2:$B$29,2,0)</f>
        <v>Contract Process Management</v>
      </c>
      <c r="H611" t="str">
        <f t="shared" si="9"/>
        <v>7-27-409</v>
      </c>
      <c r="I611">
        <f>VLOOKUP(H611,SuiteCatSubElem!$F$2:$G$666,2,0)</f>
        <v>623</v>
      </c>
      <c r="J611">
        <v>1</v>
      </c>
      <c r="K611">
        <v>410</v>
      </c>
      <c r="M611" t="s">
        <v>50</v>
      </c>
      <c r="N611" s="60">
        <v>43101</v>
      </c>
      <c r="O611" t="s">
        <v>50</v>
      </c>
      <c r="P611">
        <v>29</v>
      </c>
      <c r="Q611" t="s">
        <v>1358</v>
      </c>
      <c r="R611" s="119" t="s">
        <v>1055</v>
      </c>
      <c r="S611" s="118" t="s">
        <v>1204</v>
      </c>
    </row>
    <row r="612" spans="1:19" ht="25">
      <c r="A612">
        <v>630</v>
      </c>
      <c r="B612" s="133" t="s">
        <v>480</v>
      </c>
      <c r="C612" s="27">
        <f>VLOOKUP(B612,Elements!$A$2:$B$435,2,0)</f>
        <v>410</v>
      </c>
      <c r="D612">
        <v>7</v>
      </c>
      <c r="E612" t="str">
        <f>VLOOKUP(D612,Categories!$A$2:$B$8,2,0)</f>
        <v>CLM</v>
      </c>
      <c r="F612">
        <v>27</v>
      </c>
      <c r="G612" t="str">
        <f>VLOOKUP(F612,Subcategories!$A$2:$B$29,2,0)</f>
        <v>Contract Process Management</v>
      </c>
      <c r="H612" t="str">
        <f t="shared" si="9"/>
        <v>7-27-410</v>
      </c>
      <c r="I612">
        <f>VLOOKUP(H612,SuiteCatSubElem!$F$2:$G$666,2,0)</f>
        <v>624</v>
      </c>
      <c r="J612">
        <v>1</v>
      </c>
      <c r="K612">
        <v>411</v>
      </c>
      <c r="M612" t="s">
        <v>50</v>
      </c>
      <c r="N612" s="60">
        <v>43101</v>
      </c>
      <c r="O612" t="s">
        <v>50</v>
      </c>
      <c r="P612">
        <v>30</v>
      </c>
      <c r="Q612" t="s">
        <v>1358</v>
      </c>
      <c r="R612" s="119" t="s">
        <v>1056</v>
      </c>
      <c r="S612" s="118" t="s">
        <v>1204</v>
      </c>
    </row>
    <row r="613" spans="1:19" ht="37">
      <c r="A613">
        <v>631</v>
      </c>
      <c r="B613" s="133" t="s">
        <v>481</v>
      </c>
      <c r="C613" s="27">
        <f>VLOOKUP(B613,Elements!$A$2:$B$435,2,0)</f>
        <v>411</v>
      </c>
      <c r="D613">
        <v>7</v>
      </c>
      <c r="E613" t="str">
        <f>VLOOKUP(D613,Categories!$A$2:$B$8,2,0)</f>
        <v>CLM</v>
      </c>
      <c r="F613">
        <v>27</v>
      </c>
      <c r="G613" t="str">
        <f>VLOOKUP(F613,Subcategories!$A$2:$B$29,2,0)</f>
        <v>Contract Process Management</v>
      </c>
      <c r="H613" t="str">
        <f t="shared" si="9"/>
        <v>7-27-411</v>
      </c>
      <c r="I613">
        <f>VLOOKUP(H613,SuiteCatSubElem!$F$2:$G$666,2,0)</f>
        <v>625</v>
      </c>
      <c r="J613">
        <v>1</v>
      </c>
      <c r="K613">
        <v>412</v>
      </c>
      <c r="M613" t="s">
        <v>50</v>
      </c>
      <c r="N613" s="60">
        <v>43101</v>
      </c>
      <c r="O613" t="s">
        <v>50</v>
      </c>
      <c r="P613">
        <v>31</v>
      </c>
      <c r="Q613" t="s">
        <v>1358</v>
      </c>
      <c r="R613" s="119" t="s">
        <v>1057</v>
      </c>
      <c r="S613" s="118" t="s">
        <v>1204</v>
      </c>
    </row>
    <row r="614" spans="1:19" ht="37">
      <c r="A614">
        <v>632</v>
      </c>
      <c r="B614" s="133" t="s">
        <v>482</v>
      </c>
      <c r="C614" s="27">
        <f>VLOOKUP(B614,Elements!$A$2:$B$435,2,0)</f>
        <v>412</v>
      </c>
      <c r="D614">
        <v>7</v>
      </c>
      <c r="E614" t="str">
        <f>VLOOKUP(D614,Categories!$A$2:$B$8,2,0)</f>
        <v>CLM</v>
      </c>
      <c r="F614">
        <v>27</v>
      </c>
      <c r="G614" t="str">
        <f>VLOOKUP(F614,Subcategories!$A$2:$B$29,2,0)</f>
        <v>Contract Process Management</v>
      </c>
      <c r="H614" t="str">
        <f t="shared" si="9"/>
        <v>7-27-412</v>
      </c>
      <c r="I614">
        <f>VLOOKUP(H614,SuiteCatSubElem!$F$2:$G$666,2,0)</f>
        <v>626</v>
      </c>
      <c r="J614">
        <v>1</v>
      </c>
      <c r="K614">
        <v>413</v>
      </c>
      <c r="M614" t="s">
        <v>50</v>
      </c>
      <c r="N614" s="60">
        <v>43101</v>
      </c>
      <c r="O614" t="s">
        <v>50</v>
      </c>
      <c r="P614">
        <v>32</v>
      </c>
      <c r="Q614" t="s">
        <v>1358</v>
      </c>
      <c r="R614" s="117" t="s">
        <v>1058</v>
      </c>
      <c r="S614" s="118" t="s">
        <v>1204</v>
      </c>
    </row>
    <row r="615" spans="1:19" ht="61">
      <c r="A615">
        <v>633</v>
      </c>
      <c r="B615" s="133" t="s">
        <v>483</v>
      </c>
      <c r="C615" s="27">
        <f>VLOOKUP(B615,Elements!$A$2:$B$435,2,0)</f>
        <v>413</v>
      </c>
      <c r="D615">
        <v>7</v>
      </c>
      <c r="E615" t="str">
        <f>VLOOKUP(D615,Categories!$A$2:$B$8,2,0)</f>
        <v>CLM</v>
      </c>
      <c r="F615">
        <v>27</v>
      </c>
      <c r="G615" t="str">
        <f>VLOOKUP(F615,Subcategories!$A$2:$B$29,2,0)</f>
        <v>Contract Process Management</v>
      </c>
      <c r="H615" t="str">
        <f t="shared" si="9"/>
        <v>7-27-413</v>
      </c>
      <c r="I615">
        <f>VLOOKUP(H615,SuiteCatSubElem!$F$2:$G$666,2,0)</f>
        <v>627</v>
      </c>
      <c r="J615">
        <v>1</v>
      </c>
      <c r="K615">
        <v>414</v>
      </c>
      <c r="M615" t="s">
        <v>50</v>
      </c>
      <c r="N615" s="60">
        <v>43101</v>
      </c>
      <c r="O615" t="s">
        <v>50</v>
      </c>
      <c r="P615">
        <v>33</v>
      </c>
      <c r="Q615" t="s">
        <v>1358</v>
      </c>
      <c r="R615" s="119" t="s">
        <v>1059</v>
      </c>
      <c r="S615" s="117" t="s">
        <v>1205</v>
      </c>
    </row>
    <row r="616" spans="1:19" ht="37">
      <c r="A616">
        <v>634</v>
      </c>
      <c r="B616" s="141" t="s">
        <v>484</v>
      </c>
      <c r="C616" s="27">
        <f>VLOOKUP(B616,Elements!$A$2:$B$435,2,0)</f>
        <v>414</v>
      </c>
      <c r="D616">
        <v>7</v>
      </c>
      <c r="E616" t="str">
        <f>VLOOKUP(D616,Categories!$A$2:$B$8,2,0)</f>
        <v>CLM</v>
      </c>
      <c r="F616">
        <v>27</v>
      </c>
      <c r="G616" t="str">
        <f>VLOOKUP(F616,Subcategories!$A$2:$B$29,2,0)</f>
        <v>Contract Process Management</v>
      </c>
      <c r="H616" t="str">
        <f t="shared" si="9"/>
        <v>7-27-414</v>
      </c>
      <c r="I616">
        <f>VLOOKUP(H616,SuiteCatSubElem!$F$2:$G$666,2,0)</f>
        <v>628</v>
      </c>
      <c r="J616">
        <v>1</v>
      </c>
      <c r="K616">
        <v>415</v>
      </c>
      <c r="M616" t="s">
        <v>50</v>
      </c>
      <c r="N616" s="60">
        <v>43101</v>
      </c>
      <c r="O616" t="s">
        <v>50</v>
      </c>
      <c r="P616">
        <v>34</v>
      </c>
      <c r="Q616" t="s">
        <v>1358</v>
      </c>
      <c r="R616" s="102" t="s">
        <v>1060</v>
      </c>
      <c r="S616" s="113" t="s">
        <v>1206</v>
      </c>
    </row>
    <row r="617" spans="1:19" ht="61">
      <c r="A617">
        <v>635</v>
      </c>
      <c r="B617" s="133" t="s">
        <v>486</v>
      </c>
      <c r="C617" s="27">
        <f>VLOOKUP(B617,Elements!$A$2:$B$435,2,0)</f>
        <v>415</v>
      </c>
      <c r="D617">
        <v>7</v>
      </c>
      <c r="E617" t="str">
        <f>VLOOKUP(D617,Categories!$A$2:$B$8,2,0)</f>
        <v>CLM</v>
      </c>
      <c r="F617">
        <v>27</v>
      </c>
      <c r="G617" t="str">
        <f>VLOOKUP(F617,Subcategories!$A$2:$B$29,2,0)</f>
        <v>Contract Process Management</v>
      </c>
      <c r="H617" t="str">
        <f t="shared" si="9"/>
        <v>7-27-415</v>
      </c>
      <c r="I617">
        <f>VLOOKUP(H617,SuiteCatSubElem!$F$2:$G$666,2,0)</f>
        <v>629</v>
      </c>
      <c r="J617">
        <v>1</v>
      </c>
      <c r="K617">
        <v>416</v>
      </c>
      <c r="M617" t="s">
        <v>50</v>
      </c>
      <c r="N617" s="60">
        <v>43101</v>
      </c>
      <c r="O617" t="s">
        <v>50</v>
      </c>
      <c r="P617">
        <v>35</v>
      </c>
      <c r="Q617" t="s">
        <v>1358</v>
      </c>
      <c r="R617" s="102" t="s">
        <v>1061</v>
      </c>
      <c r="S617" s="113" t="s">
        <v>1207</v>
      </c>
    </row>
    <row r="618" spans="1:19" ht="49">
      <c r="A618">
        <v>636</v>
      </c>
      <c r="B618" s="133" t="s">
        <v>487</v>
      </c>
      <c r="C618" s="27">
        <f>VLOOKUP(B618,Elements!$A$2:$B$435,2,0)</f>
        <v>416</v>
      </c>
      <c r="D618">
        <v>7</v>
      </c>
      <c r="E618" t="str">
        <f>VLOOKUP(D618,Categories!$A$2:$B$8,2,0)</f>
        <v>CLM</v>
      </c>
      <c r="F618">
        <v>27</v>
      </c>
      <c r="G618" t="str">
        <f>VLOOKUP(F618,Subcategories!$A$2:$B$29,2,0)</f>
        <v>Contract Process Management</v>
      </c>
      <c r="H618" t="str">
        <f t="shared" si="9"/>
        <v>7-27-416</v>
      </c>
      <c r="I618">
        <f>VLOOKUP(H618,SuiteCatSubElem!$F$2:$G$666,2,0)</f>
        <v>630</v>
      </c>
      <c r="J618">
        <v>1</v>
      </c>
      <c r="K618">
        <v>417</v>
      </c>
      <c r="M618" t="s">
        <v>50</v>
      </c>
      <c r="N618" s="60">
        <v>43101</v>
      </c>
      <c r="O618" t="s">
        <v>50</v>
      </c>
      <c r="P618">
        <v>36</v>
      </c>
      <c r="Q618" t="s">
        <v>1358</v>
      </c>
      <c r="R618" s="102" t="s">
        <v>1208</v>
      </c>
      <c r="S618" s="113" t="s">
        <v>1209</v>
      </c>
    </row>
    <row r="619" spans="1:19" ht="37">
      <c r="A619">
        <v>637</v>
      </c>
      <c r="B619" s="133" t="s">
        <v>488</v>
      </c>
      <c r="C619" s="27">
        <f>VLOOKUP(B619,Elements!$A$2:$B$435,2,0)</f>
        <v>417</v>
      </c>
      <c r="D619">
        <v>7</v>
      </c>
      <c r="E619" t="str">
        <f>VLOOKUP(D619,Categories!$A$2:$B$8,2,0)</f>
        <v>CLM</v>
      </c>
      <c r="F619">
        <v>27</v>
      </c>
      <c r="G619" t="str">
        <f>VLOOKUP(F619,Subcategories!$A$2:$B$29,2,0)</f>
        <v>Contract Process Management</v>
      </c>
      <c r="H619" t="str">
        <f t="shared" si="9"/>
        <v>7-27-417</v>
      </c>
      <c r="I619">
        <f>VLOOKUP(H619,SuiteCatSubElem!$F$2:$G$666,2,0)</f>
        <v>631</v>
      </c>
      <c r="J619">
        <v>1</v>
      </c>
      <c r="K619">
        <v>418</v>
      </c>
      <c r="M619" t="s">
        <v>50</v>
      </c>
      <c r="N619" s="60">
        <v>43101</v>
      </c>
      <c r="O619" t="s">
        <v>50</v>
      </c>
      <c r="P619">
        <v>37</v>
      </c>
      <c r="Q619" t="s">
        <v>1358</v>
      </c>
      <c r="R619" s="102" t="s">
        <v>1210</v>
      </c>
      <c r="S619" s="113" t="s">
        <v>1062</v>
      </c>
    </row>
    <row r="620" spans="1:19" ht="37">
      <c r="A620">
        <v>639</v>
      </c>
      <c r="B620" s="131" t="s">
        <v>490</v>
      </c>
      <c r="C620" s="27">
        <f>VLOOKUP(B620,Elements!$A$2:$B$435,2,0)</f>
        <v>418</v>
      </c>
      <c r="D620">
        <v>7</v>
      </c>
      <c r="E620" t="str">
        <f>VLOOKUP(D620,Categories!$A$2:$B$8,2,0)</f>
        <v>CLM</v>
      </c>
      <c r="F620">
        <v>28</v>
      </c>
      <c r="G620" t="str">
        <f>VLOOKUP(F620,Subcategories!$A$2:$B$29,2,0)</f>
        <v>Analytics</v>
      </c>
      <c r="H620" t="str">
        <f t="shared" si="9"/>
        <v>7-28-418</v>
      </c>
      <c r="I620">
        <f>VLOOKUP(H620,SuiteCatSubElem!$F$2:$G$666,2,0)</f>
        <v>632</v>
      </c>
      <c r="J620">
        <v>1</v>
      </c>
      <c r="K620">
        <v>419</v>
      </c>
      <c r="M620" t="s">
        <v>50</v>
      </c>
      <c r="N620" s="60">
        <v>43101</v>
      </c>
      <c r="O620" t="s">
        <v>50</v>
      </c>
      <c r="P620">
        <v>38</v>
      </c>
      <c r="Q620" t="s">
        <v>1358</v>
      </c>
      <c r="R620" s="102" t="s">
        <v>1211</v>
      </c>
      <c r="S620" s="116" t="s">
        <v>1063</v>
      </c>
    </row>
    <row r="621" spans="1:19" ht="49">
      <c r="A621">
        <v>640</v>
      </c>
      <c r="B621" s="131" t="s">
        <v>491</v>
      </c>
      <c r="C621" s="27">
        <f>VLOOKUP(B621,Elements!$A$2:$B$435,2,0)</f>
        <v>419</v>
      </c>
      <c r="D621">
        <v>7</v>
      </c>
      <c r="E621" t="str">
        <f>VLOOKUP(D621,Categories!$A$2:$B$8,2,0)</f>
        <v>CLM</v>
      </c>
      <c r="F621">
        <v>28</v>
      </c>
      <c r="G621" t="str">
        <f>VLOOKUP(F621,Subcategories!$A$2:$B$29,2,0)</f>
        <v>Analytics</v>
      </c>
      <c r="H621" t="str">
        <f t="shared" si="9"/>
        <v>7-28-419</v>
      </c>
      <c r="I621">
        <f>VLOOKUP(H621,SuiteCatSubElem!$F$2:$G$666,2,0)</f>
        <v>633</v>
      </c>
      <c r="J621">
        <v>1</v>
      </c>
      <c r="K621">
        <v>420</v>
      </c>
      <c r="M621" t="s">
        <v>50</v>
      </c>
      <c r="N621" s="60">
        <v>43101</v>
      </c>
      <c r="O621" t="s">
        <v>50</v>
      </c>
      <c r="P621">
        <v>39</v>
      </c>
      <c r="Q621" t="s">
        <v>1358</v>
      </c>
      <c r="R621" s="102" t="s">
        <v>1212</v>
      </c>
      <c r="S621" s="116" t="s">
        <v>1063</v>
      </c>
    </row>
    <row r="622" spans="1:19" ht="30">
      <c r="A622">
        <v>642</v>
      </c>
      <c r="B622" s="131" t="s">
        <v>493</v>
      </c>
      <c r="C622" s="27">
        <f>VLOOKUP(B622,Elements!$A$2:$B$435,2,0)</f>
        <v>420</v>
      </c>
      <c r="D622">
        <v>7</v>
      </c>
      <c r="E622" t="str">
        <f>VLOOKUP(D622,Categories!$A$2:$B$8,2,0)</f>
        <v>CLM</v>
      </c>
      <c r="F622">
        <v>28</v>
      </c>
      <c r="G622" t="str">
        <f>VLOOKUP(F622,Subcategories!$A$2:$B$29,2,0)</f>
        <v>Analytics</v>
      </c>
      <c r="H622" t="str">
        <f t="shared" si="9"/>
        <v>7-28-420</v>
      </c>
      <c r="I622">
        <f>VLOOKUP(H622,SuiteCatSubElem!$F$2:$G$666,2,0)</f>
        <v>634</v>
      </c>
      <c r="J622">
        <v>1</v>
      </c>
      <c r="K622">
        <v>421</v>
      </c>
      <c r="M622" t="s">
        <v>50</v>
      </c>
      <c r="N622" s="60">
        <v>43101</v>
      </c>
      <c r="O622" t="s">
        <v>50</v>
      </c>
      <c r="P622">
        <v>40</v>
      </c>
      <c r="Q622" t="s">
        <v>1358</v>
      </c>
      <c r="R622" s="113" t="s">
        <v>1213</v>
      </c>
      <c r="S622" s="116" t="s">
        <v>1158</v>
      </c>
    </row>
    <row r="623" spans="1:19">
      <c r="A623">
        <v>643</v>
      </c>
      <c r="B623" s="131" t="s">
        <v>494</v>
      </c>
      <c r="C623" s="27">
        <f>VLOOKUP(B623,Elements!$A$2:$B$435,2,0)</f>
        <v>421</v>
      </c>
      <c r="D623">
        <v>7</v>
      </c>
      <c r="E623" t="str">
        <f>VLOOKUP(D623,Categories!$A$2:$B$8,2,0)</f>
        <v>CLM</v>
      </c>
      <c r="F623">
        <v>28</v>
      </c>
      <c r="G623" t="str">
        <f>VLOOKUP(F623,Subcategories!$A$2:$B$29,2,0)</f>
        <v>Analytics</v>
      </c>
      <c r="H623" t="str">
        <f t="shared" si="9"/>
        <v>7-28-421</v>
      </c>
      <c r="I623">
        <f>VLOOKUP(H623,SuiteCatSubElem!$F$2:$G$666,2,0)</f>
        <v>635</v>
      </c>
      <c r="J623">
        <v>1</v>
      </c>
      <c r="K623">
        <v>422</v>
      </c>
      <c r="M623" t="s">
        <v>50</v>
      </c>
      <c r="N623" s="60">
        <v>43101</v>
      </c>
      <c r="O623" t="s">
        <v>50</v>
      </c>
      <c r="P623">
        <v>41</v>
      </c>
      <c r="Q623" t="s">
        <v>1358</v>
      </c>
      <c r="R623" s="102" t="s">
        <v>1064</v>
      </c>
      <c r="S623" s="116" t="s">
        <v>1158</v>
      </c>
    </row>
    <row r="624" spans="1:19" ht="30">
      <c r="A624">
        <v>644</v>
      </c>
      <c r="B624" s="131" t="s">
        <v>495</v>
      </c>
      <c r="C624" s="27">
        <f>VLOOKUP(B624,Elements!$A$2:$B$435,2,0)</f>
        <v>422</v>
      </c>
      <c r="D624">
        <v>7</v>
      </c>
      <c r="E624" t="str">
        <f>VLOOKUP(D624,Categories!$A$2:$B$8,2,0)</f>
        <v>CLM</v>
      </c>
      <c r="F624">
        <v>28</v>
      </c>
      <c r="G624" t="str">
        <f>VLOOKUP(F624,Subcategories!$A$2:$B$29,2,0)</f>
        <v>Analytics</v>
      </c>
      <c r="H624" t="str">
        <f t="shared" si="9"/>
        <v>7-28-422</v>
      </c>
      <c r="I624">
        <f>VLOOKUP(H624,SuiteCatSubElem!$F$2:$G$666,2,0)</f>
        <v>636</v>
      </c>
      <c r="J624">
        <v>1</v>
      </c>
      <c r="K624">
        <v>423</v>
      </c>
      <c r="M624" t="s">
        <v>50</v>
      </c>
      <c r="N624" s="60">
        <v>43101</v>
      </c>
      <c r="O624" t="s">
        <v>50</v>
      </c>
      <c r="P624">
        <v>42</v>
      </c>
      <c r="Q624" t="s">
        <v>1358</v>
      </c>
      <c r="R624" s="113" t="s">
        <v>1065</v>
      </c>
      <c r="S624" s="116" t="s">
        <v>1158</v>
      </c>
    </row>
    <row r="625" spans="1:19" ht="49">
      <c r="A625">
        <v>646</v>
      </c>
      <c r="B625" s="131" t="s">
        <v>497</v>
      </c>
      <c r="C625" s="27">
        <f>VLOOKUP(B625,Elements!$A$2:$B$435,2,0)</f>
        <v>423</v>
      </c>
      <c r="D625">
        <v>7</v>
      </c>
      <c r="E625" t="str">
        <f>VLOOKUP(D625,Categories!$A$2:$B$8,2,0)</f>
        <v>CLM</v>
      </c>
      <c r="F625">
        <v>7</v>
      </c>
      <c r="G625" t="str">
        <f>VLOOKUP(F625,Subcategories!$A$2:$B$29,2,0)</f>
        <v>Technology</v>
      </c>
      <c r="H625" t="str">
        <f t="shared" si="9"/>
        <v>7-7-423</v>
      </c>
      <c r="I625">
        <f>VLOOKUP(H625,SuiteCatSubElem!$F$2:$G$666,2,0)</f>
        <v>637</v>
      </c>
      <c r="J625">
        <v>1</v>
      </c>
      <c r="K625">
        <v>424</v>
      </c>
      <c r="M625" t="s">
        <v>50</v>
      </c>
      <c r="N625" s="60">
        <v>43101</v>
      </c>
      <c r="O625" t="s">
        <v>50</v>
      </c>
      <c r="P625">
        <v>43</v>
      </c>
      <c r="Q625" t="s">
        <v>1358</v>
      </c>
      <c r="R625" s="102" t="s">
        <v>802</v>
      </c>
      <c r="S625" s="113" t="s">
        <v>1214</v>
      </c>
    </row>
    <row r="626" spans="1:19" ht="25">
      <c r="A626">
        <v>647</v>
      </c>
      <c r="B626" s="131" t="s">
        <v>498</v>
      </c>
      <c r="C626" s="27">
        <f>VLOOKUP(B626,Elements!$A$2:$B$435,2,0)</f>
        <v>424</v>
      </c>
      <c r="D626">
        <v>7</v>
      </c>
      <c r="E626" t="str">
        <f>VLOOKUP(D626,Categories!$A$2:$B$8,2,0)</f>
        <v>CLM</v>
      </c>
      <c r="F626">
        <v>7</v>
      </c>
      <c r="G626" t="str">
        <f>VLOOKUP(F626,Subcategories!$A$2:$B$29,2,0)</f>
        <v>Technology</v>
      </c>
      <c r="H626" t="str">
        <f t="shared" si="9"/>
        <v>7-7-424</v>
      </c>
      <c r="I626">
        <f>VLOOKUP(H626,SuiteCatSubElem!$F$2:$G$666,2,0)</f>
        <v>638</v>
      </c>
      <c r="J626">
        <v>1</v>
      </c>
      <c r="K626">
        <v>425</v>
      </c>
      <c r="M626" t="s">
        <v>50</v>
      </c>
      <c r="N626" s="60">
        <v>43101</v>
      </c>
      <c r="O626" t="s">
        <v>50</v>
      </c>
      <c r="P626">
        <v>44</v>
      </c>
      <c r="Q626" t="s">
        <v>1358</v>
      </c>
      <c r="R626" s="113" t="s">
        <v>1215</v>
      </c>
      <c r="S626" s="116" t="s">
        <v>1158</v>
      </c>
    </row>
    <row r="627" spans="1:19" ht="30">
      <c r="A627">
        <v>648</v>
      </c>
      <c r="B627" s="131" t="s">
        <v>499</v>
      </c>
      <c r="C627" s="27">
        <f>VLOOKUP(B627,Elements!$A$2:$B$435,2,0)</f>
        <v>425</v>
      </c>
      <c r="D627">
        <v>7</v>
      </c>
      <c r="E627" t="str">
        <f>VLOOKUP(D627,Categories!$A$2:$B$8,2,0)</f>
        <v>CLM</v>
      </c>
      <c r="F627">
        <v>7</v>
      </c>
      <c r="G627" t="str">
        <f>VLOOKUP(F627,Subcategories!$A$2:$B$29,2,0)</f>
        <v>Technology</v>
      </c>
      <c r="H627" t="str">
        <f t="shared" si="9"/>
        <v>7-7-425</v>
      </c>
      <c r="I627">
        <f>VLOOKUP(H627,SuiteCatSubElem!$F$2:$G$666,2,0)</f>
        <v>639</v>
      </c>
      <c r="J627">
        <v>1</v>
      </c>
      <c r="K627">
        <v>426</v>
      </c>
      <c r="M627" t="s">
        <v>50</v>
      </c>
      <c r="N627" s="60">
        <v>43101</v>
      </c>
      <c r="O627" t="s">
        <v>50</v>
      </c>
      <c r="P627">
        <v>45</v>
      </c>
      <c r="Q627" t="s">
        <v>1358</v>
      </c>
      <c r="R627" s="102" t="s">
        <v>1066</v>
      </c>
      <c r="S627" s="113" t="s">
        <v>1067</v>
      </c>
    </row>
    <row r="628" spans="1:19" ht="49">
      <c r="A628">
        <v>649</v>
      </c>
      <c r="B628" s="131" t="s">
        <v>500</v>
      </c>
      <c r="C628" s="27">
        <f>VLOOKUP(B628,Elements!$A$2:$B$435,2,0)</f>
        <v>426</v>
      </c>
      <c r="D628">
        <v>7</v>
      </c>
      <c r="E628" t="str">
        <f>VLOOKUP(D628,Categories!$A$2:$B$8,2,0)</f>
        <v>CLM</v>
      </c>
      <c r="F628">
        <v>7</v>
      </c>
      <c r="G628" t="str">
        <f>VLOOKUP(F628,Subcategories!$A$2:$B$29,2,0)</f>
        <v>Technology</v>
      </c>
      <c r="H628" t="str">
        <f t="shared" si="9"/>
        <v>7-7-426</v>
      </c>
      <c r="I628">
        <f>VLOOKUP(H628,SuiteCatSubElem!$F$2:$G$666,2,0)</f>
        <v>640</v>
      </c>
      <c r="J628">
        <v>1</v>
      </c>
      <c r="K628">
        <v>427</v>
      </c>
      <c r="M628" t="s">
        <v>50</v>
      </c>
      <c r="N628" s="60">
        <v>43101</v>
      </c>
      <c r="O628" t="s">
        <v>50</v>
      </c>
      <c r="P628">
        <v>46</v>
      </c>
      <c r="Q628" t="s">
        <v>1358</v>
      </c>
      <c r="R628" s="113" t="s">
        <v>1068</v>
      </c>
      <c r="S628" s="116" t="s">
        <v>1158</v>
      </c>
    </row>
    <row r="629" spans="1:19">
      <c r="A629">
        <v>651</v>
      </c>
      <c r="B629" s="131" t="s">
        <v>501</v>
      </c>
      <c r="C629" s="27">
        <f>VLOOKUP(B629,Elements!$A$2:$B$435,2,0)</f>
        <v>427</v>
      </c>
      <c r="D629">
        <v>7</v>
      </c>
      <c r="E629" t="str">
        <f>VLOOKUP(D629,Categories!$A$2:$B$8,2,0)</f>
        <v>CLM</v>
      </c>
      <c r="F629">
        <v>7</v>
      </c>
      <c r="G629" t="str">
        <f>VLOOKUP(F629,Subcategories!$A$2:$B$29,2,0)</f>
        <v>Technology</v>
      </c>
      <c r="H629" t="str">
        <f t="shared" si="9"/>
        <v>7-7-427</v>
      </c>
      <c r="I629">
        <f>VLOOKUP(H629,SuiteCatSubElem!$F$2:$G$666,2,0)</f>
        <v>642</v>
      </c>
      <c r="J629">
        <v>1</v>
      </c>
      <c r="K629">
        <v>428</v>
      </c>
      <c r="M629" t="s">
        <v>50</v>
      </c>
      <c r="N629" s="60">
        <v>43101</v>
      </c>
      <c r="O629" t="s">
        <v>50</v>
      </c>
      <c r="P629">
        <v>48</v>
      </c>
      <c r="Q629" t="s">
        <v>1358</v>
      </c>
      <c r="R629" s="113" t="s">
        <v>1216</v>
      </c>
      <c r="S629" s="116" t="s">
        <v>1158</v>
      </c>
    </row>
    <row r="630" spans="1:19" ht="30">
      <c r="A630">
        <v>653</v>
      </c>
      <c r="B630" s="131" t="s">
        <v>502</v>
      </c>
      <c r="C630" s="27">
        <f>VLOOKUP(B630,Elements!$A$2:$B$435,2,0)</f>
        <v>428</v>
      </c>
      <c r="D630">
        <v>7</v>
      </c>
      <c r="E630" t="str">
        <f>VLOOKUP(D630,Categories!$A$2:$B$8,2,0)</f>
        <v>CLM</v>
      </c>
      <c r="F630">
        <v>7</v>
      </c>
      <c r="G630" t="str">
        <f>VLOOKUP(F630,Subcategories!$A$2:$B$29,2,0)</f>
        <v>Technology</v>
      </c>
      <c r="H630" t="str">
        <f t="shared" si="9"/>
        <v>7-7-428</v>
      </c>
      <c r="I630">
        <f>VLOOKUP(H630,SuiteCatSubElem!$F$2:$G$666,2,0)</f>
        <v>644</v>
      </c>
      <c r="J630">
        <v>1</v>
      </c>
      <c r="K630">
        <v>429</v>
      </c>
      <c r="M630" t="s">
        <v>50</v>
      </c>
      <c r="N630" s="60">
        <v>43101</v>
      </c>
      <c r="O630" t="s">
        <v>50</v>
      </c>
      <c r="P630">
        <v>50</v>
      </c>
      <c r="Q630" t="s">
        <v>1358</v>
      </c>
      <c r="R630" s="102" t="s">
        <v>1009</v>
      </c>
      <c r="S630" s="116" t="s">
        <v>1158</v>
      </c>
    </row>
    <row r="631" spans="1:19" ht="25">
      <c r="A631">
        <v>659</v>
      </c>
      <c r="B631" s="131" t="s">
        <v>503</v>
      </c>
      <c r="C631" s="27">
        <f>VLOOKUP(B631,Elements!$A$2:$B$435,2,0)</f>
        <v>429</v>
      </c>
      <c r="D631">
        <v>7</v>
      </c>
      <c r="E631" t="str">
        <f>VLOOKUP(D631,Categories!$A$2:$B$8,2,0)</f>
        <v>CLM</v>
      </c>
      <c r="F631">
        <v>7</v>
      </c>
      <c r="G631" t="str">
        <f>VLOOKUP(F631,Subcategories!$A$2:$B$29,2,0)</f>
        <v>Technology</v>
      </c>
      <c r="H631" t="str">
        <f t="shared" si="9"/>
        <v>7-7-429</v>
      </c>
      <c r="I631">
        <f>VLOOKUP(H631,SuiteCatSubElem!$F$2:$G$666,2,0)</f>
        <v>650</v>
      </c>
      <c r="J631">
        <v>1</v>
      </c>
      <c r="K631">
        <v>430</v>
      </c>
      <c r="M631" t="s">
        <v>50</v>
      </c>
      <c r="N631" s="60">
        <v>43101</v>
      </c>
      <c r="O631" t="s">
        <v>50</v>
      </c>
      <c r="P631">
        <v>56</v>
      </c>
      <c r="Q631" t="s">
        <v>1358</v>
      </c>
      <c r="R631" s="113" t="s">
        <v>1077</v>
      </c>
      <c r="S631" s="116" t="s">
        <v>1158</v>
      </c>
    </row>
    <row r="632" spans="1:19" ht="25">
      <c r="A632">
        <v>660</v>
      </c>
      <c r="B632" s="131" t="s">
        <v>504</v>
      </c>
      <c r="C632" s="27">
        <f>VLOOKUP(B632,Elements!$A$2:$B$435,2,0)</f>
        <v>430</v>
      </c>
      <c r="D632">
        <v>7</v>
      </c>
      <c r="E632" t="str">
        <f>VLOOKUP(D632,Categories!$A$2:$B$8,2,0)</f>
        <v>CLM</v>
      </c>
      <c r="F632">
        <v>7</v>
      </c>
      <c r="G632" t="str">
        <f>VLOOKUP(F632,Subcategories!$A$2:$B$29,2,0)</f>
        <v>Technology</v>
      </c>
      <c r="H632" t="str">
        <f t="shared" si="9"/>
        <v>7-7-430</v>
      </c>
      <c r="I632">
        <f>VLOOKUP(H632,SuiteCatSubElem!$F$2:$G$666,2,0)</f>
        <v>651</v>
      </c>
      <c r="J632">
        <v>1</v>
      </c>
      <c r="K632">
        <v>431</v>
      </c>
      <c r="M632" t="s">
        <v>50</v>
      </c>
      <c r="N632" s="60">
        <v>43101</v>
      </c>
      <c r="O632" t="s">
        <v>50</v>
      </c>
      <c r="P632">
        <v>57</v>
      </c>
      <c r="Q632" t="s">
        <v>1358</v>
      </c>
      <c r="R632" s="102" t="s">
        <v>1078</v>
      </c>
      <c r="S632" s="116" t="s">
        <v>1158</v>
      </c>
    </row>
    <row r="633" spans="1:19" ht="37">
      <c r="A633">
        <v>664</v>
      </c>
      <c r="B633" s="131" t="s">
        <v>505</v>
      </c>
      <c r="C633" s="27">
        <f>VLOOKUP(B633,Elements!$A$2:$B$435,2,0)</f>
        <v>431</v>
      </c>
      <c r="D633">
        <v>7</v>
      </c>
      <c r="E633" t="str">
        <f>VLOOKUP(D633,Categories!$A$2:$B$8,2,0)</f>
        <v>CLM</v>
      </c>
      <c r="F633">
        <v>7</v>
      </c>
      <c r="G633" t="str">
        <f>VLOOKUP(F633,Subcategories!$A$2:$B$29,2,0)</f>
        <v>Technology</v>
      </c>
      <c r="H633" t="str">
        <f t="shared" si="9"/>
        <v>7-7-431</v>
      </c>
      <c r="I633">
        <f>VLOOKUP(H633,SuiteCatSubElem!$F$2:$G$666,2,0)</f>
        <v>655</v>
      </c>
      <c r="J633">
        <v>1</v>
      </c>
      <c r="K633">
        <v>432</v>
      </c>
      <c r="M633" t="s">
        <v>50</v>
      </c>
      <c r="N633" s="60">
        <v>43101</v>
      </c>
      <c r="O633" t="s">
        <v>50</v>
      </c>
      <c r="P633">
        <v>61</v>
      </c>
      <c r="Q633" t="s">
        <v>1358</v>
      </c>
      <c r="R633" s="102" t="s">
        <v>1081</v>
      </c>
      <c r="S633" s="116" t="s">
        <v>1158</v>
      </c>
    </row>
    <row r="634" spans="1:19">
      <c r="A634">
        <v>665</v>
      </c>
      <c r="B634" s="131" t="s">
        <v>506</v>
      </c>
      <c r="C634" s="27">
        <f>VLOOKUP(B634,Elements!$A$2:$B$435,2,0)</f>
        <v>432</v>
      </c>
      <c r="D634">
        <v>7</v>
      </c>
      <c r="E634" t="str">
        <f>VLOOKUP(D634,Categories!$A$2:$B$8,2,0)</f>
        <v>CLM</v>
      </c>
      <c r="F634">
        <v>7</v>
      </c>
      <c r="G634" t="str">
        <f>VLOOKUP(F634,Subcategories!$A$2:$B$29,2,0)</f>
        <v>Technology</v>
      </c>
      <c r="H634" t="str">
        <f t="shared" si="9"/>
        <v>7-7-432</v>
      </c>
      <c r="I634">
        <f>VLOOKUP(H634,SuiteCatSubElem!$F$2:$G$666,2,0)</f>
        <v>656</v>
      </c>
      <c r="J634">
        <v>1</v>
      </c>
      <c r="K634">
        <v>433</v>
      </c>
      <c r="M634" t="s">
        <v>50</v>
      </c>
      <c r="N634" s="60">
        <v>43101</v>
      </c>
      <c r="O634" t="s">
        <v>50</v>
      </c>
      <c r="P634">
        <v>62</v>
      </c>
      <c r="Q634" t="s">
        <v>1358</v>
      </c>
      <c r="R634" s="102" t="s">
        <v>1082</v>
      </c>
      <c r="S634" s="116" t="s">
        <v>1158</v>
      </c>
    </row>
    <row r="635" spans="1:19" ht="49">
      <c r="A635">
        <v>669</v>
      </c>
      <c r="B635" s="131" t="s">
        <v>525</v>
      </c>
      <c r="C635" s="27">
        <f>VLOOKUP(B635,Elements!$A$2:$B$435,2,0)</f>
        <v>433</v>
      </c>
      <c r="D635">
        <v>7</v>
      </c>
      <c r="E635" t="str">
        <f>VLOOKUP(D635,Categories!$A$2:$B$8,2,0)</f>
        <v>CLM</v>
      </c>
      <c r="F635">
        <v>6</v>
      </c>
      <c r="G635" t="str">
        <f>VLOOKUP(F635,Subcategories!$A$2:$B$29,2,0)</f>
        <v>Configurability</v>
      </c>
      <c r="H635" t="str">
        <f t="shared" si="9"/>
        <v>7-6-433</v>
      </c>
      <c r="I635">
        <f>VLOOKUP(H635,SuiteCatSubElem!$F$2:$G$666,2,0)</f>
        <v>660</v>
      </c>
      <c r="J635">
        <v>1</v>
      </c>
      <c r="K635">
        <v>434</v>
      </c>
      <c r="M635" t="s">
        <v>50</v>
      </c>
      <c r="N635" s="60">
        <v>43101</v>
      </c>
      <c r="O635" t="s">
        <v>50</v>
      </c>
      <c r="P635">
        <v>66</v>
      </c>
      <c r="Q635" t="s">
        <v>1358</v>
      </c>
      <c r="R635" s="102" t="s">
        <v>1088</v>
      </c>
      <c r="S635" s="109" t="s">
        <v>298</v>
      </c>
    </row>
    <row r="636" spans="1:19" ht="25">
      <c r="A636">
        <v>673</v>
      </c>
      <c r="B636" s="131" t="s">
        <v>12</v>
      </c>
      <c r="C636" s="27">
        <f>VLOOKUP(B636,Elements!$A$2:$B$435,2,0)</f>
        <v>434</v>
      </c>
      <c r="D636">
        <v>7</v>
      </c>
      <c r="E636" t="str">
        <f>VLOOKUP(D636,Categories!$A$2:$B$8,2,0)</f>
        <v>CLM</v>
      </c>
      <c r="F636">
        <v>8</v>
      </c>
      <c r="G636" t="str">
        <f>VLOOKUP(F636,Subcategories!$A$2:$B$29,2,0)</f>
        <v>General Services</v>
      </c>
      <c r="H636" t="str">
        <f t="shared" si="9"/>
        <v>7-8-434</v>
      </c>
      <c r="I636">
        <f>VLOOKUP(H636,SuiteCatSubElem!$F$2:$G$666,2,0)</f>
        <v>664</v>
      </c>
      <c r="J636">
        <v>1</v>
      </c>
      <c r="K636">
        <v>435</v>
      </c>
      <c r="M636" t="s">
        <v>50</v>
      </c>
      <c r="N636" s="60">
        <v>43101</v>
      </c>
      <c r="O636" t="s">
        <v>50</v>
      </c>
      <c r="P636">
        <v>70</v>
      </c>
      <c r="Q636" t="s">
        <v>1358</v>
      </c>
      <c r="R636" s="113" t="s">
        <v>1217</v>
      </c>
      <c r="S636" s="109" t="s">
        <v>298</v>
      </c>
    </row>
    <row r="637" spans="1:19" ht="60">
      <c r="A637">
        <v>652</v>
      </c>
      <c r="B637" s="131" t="s">
        <v>47</v>
      </c>
      <c r="C637" s="27">
        <f>VLOOKUP(B637,Elements!$A$2:$B$435,2,0)</f>
        <v>10</v>
      </c>
      <c r="D637">
        <v>7</v>
      </c>
      <c r="E637" t="str">
        <f>VLOOKUP(D637,Categories!$A$2:$B$8,2,0)</f>
        <v>CLM</v>
      </c>
      <c r="F637">
        <v>7</v>
      </c>
      <c r="G637" t="str">
        <f>VLOOKUP(F637,Subcategories!$A$2:$B$29,2,0)</f>
        <v>Technology</v>
      </c>
      <c r="H637" t="str">
        <f t="shared" si="9"/>
        <v>7-7-10</v>
      </c>
      <c r="I637">
        <f>VLOOKUP(H637,SuiteCatSubElem!$F$2:$G$666,2,0)</f>
        <v>643</v>
      </c>
      <c r="J637">
        <v>1</v>
      </c>
      <c r="K637">
        <v>436</v>
      </c>
      <c r="M637" t="s">
        <v>50</v>
      </c>
      <c r="N637" s="60">
        <v>43101</v>
      </c>
      <c r="O637" t="s">
        <v>50</v>
      </c>
      <c r="P637">
        <v>49</v>
      </c>
      <c r="Q637" t="s">
        <v>1358</v>
      </c>
      <c r="R637" s="51" t="s">
        <v>1071</v>
      </c>
      <c r="S637" s="113" t="s">
        <v>1072</v>
      </c>
    </row>
    <row r="638" spans="1:19">
      <c r="A638">
        <v>562</v>
      </c>
      <c r="B638" s="38" t="s">
        <v>32</v>
      </c>
      <c r="C638" s="27">
        <f>VLOOKUP(B638,Elements!$A$2:$B$435,2,0)</f>
        <v>32</v>
      </c>
      <c r="D638">
        <v>6</v>
      </c>
      <c r="E638" t="str">
        <f>VLOOKUP(D638,Categories!$A$2:$B$8,2,0)</f>
        <v>SXM</v>
      </c>
      <c r="F638">
        <v>24</v>
      </c>
      <c r="G638" t="str">
        <f>VLOOKUP(F638,Subcategories!$A$2:$B$29,2,0)</f>
        <v>SXM</v>
      </c>
      <c r="H638" t="str">
        <f t="shared" si="9"/>
        <v>6-24-32</v>
      </c>
      <c r="I638">
        <f>VLOOKUP(H638,SuiteCatSubElem!$F$2:$G$666,2,0)</f>
        <v>556</v>
      </c>
      <c r="J638">
        <v>1</v>
      </c>
      <c r="K638">
        <v>437</v>
      </c>
      <c r="M638" t="s">
        <v>50</v>
      </c>
      <c r="N638" s="60">
        <v>43101</v>
      </c>
      <c r="O638" t="s">
        <v>50</v>
      </c>
      <c r="P638">
        <v>63</v>
      </c>
      <c r="Q638" t="s">
        <v>1358</v>
      </c>
      <c r="R638" s="102" t="s">
        <v>994</v>
      </c>
      <c r="S638" s="109" t="s">
        <v>298</v>
      </c>
    </row>
    <row r="639" spans="1:19" ht="24">
      <c r="A639">
        <v>48</v>
      </c>
      <c r="B639" s="110" t="s">
        <v>70</v>
      </c>
      <c r="C639" s="27">
        <f>VLOOKUP(B639,Elements!$A$2:$B$435,2,0)</f>
        <v>33</v>
      </c>
      <c r="D639">
        <v>1</v>
      </c>
      <c r="E639" t="str">
        <f>VLOOKUP(D639,Categories!$A$2:$B$8,2,0)</f>
        <v>ePRO</v>
      </c>
      <c r="F639">
        <v>3</v>
      </c>
      <c r="G639" t="str">
        <f>VLOOKUP(F639,Subcategories!$A$2:$B$29,2,0)</f>
        <v>Ordering</v>
      </c>
      <c r="H639" t="str">
        <f t="shared" si="9"/>
        <v>1-3-33</v>
      </c>
      <c r="I639">
        <f>VLOOKUP(H639,SuiteCatSubElem!$F$2:$G$666,2,0)</f>
        <v>48</v>
      </c>
      <c r="J639">
        <v>1</v>
      </c>
      <c r="K639">
        <v>438</v>
      </c>
      <c r="M639" t="s">
        <v>50</v>
      </c>
      <c r="N639" s="60">
        <v>43101</v>
      </c>
      <c r="O639" t="s">
        <v>50</v>
      </c>
      <c r="P639">
        <v>48</v>
      </c>
      <c r="Q639" t="s">
        <v>1358</v>
      </c>
      <c r="R639" s="50" t="s">
        <v>1125</v>
      </c>
      <c r="S639" s="109" t="s">
        <v>298</v>
      </c>
    </row>
    <row r="640" spans="1:19" ht="24">
      <c r="A640">
        <v>186</v>
      </c>
      <c r="B640" s="131" t="s">
        <v>70</v>
      </c>
      <c r="C640" s="27">
        <f>VLOOKUP(B640,Elements!$A$2:$B$435,2,0)</f>
        <v>33</v>
      </c>
      <c r="D640">
        <v>3</v>
      </c>
      <c r="E640" t="str">
        <f>VLOOKUP(D640,Categories!$A$2:$B$8,2,0)</f>
        <v>P2P</v>
      </c>
      <c r="F640">
        <v>3</v>
      </c>
      <c r="G640" t="str">
        <f>VLOOKUP(F640,Subcategories!$A$2:$B$29,2,0)</f>
        <v>Ordering</v>
      </c>
      <c r="H640" t="str">
        <f t="shared" si="9"/>
        <v>3-3-33</v>
      </c>
      <c r="I640">
        <f>VLOOKUP(H640,SuiteCatSubElem!$F$2:$G$666,2,0)</f>
        <v>185</v>
      </c>
      <c r="J640">
        <v>1</v>
      </c>
      <c r="K640">
        <v>438</v>
      </c>
      <c r="M640" t="s">
        <v>50</v>
      </c>
      <c r="N640" s="60">
        <v>43101</v>
      </c>
      <c r="O640" t="s">
        <v>50</v>
      </c>
      <c r="P640">
        <v>48</v>
      </c>
      <c r="Q640" t="s">
        <v>1358</v>
      </c>
      <c r="R640" s="50" t="s">
        <v>1125</v>
      </c>
      <c r="S640" s="109" t="s">
        <v>298</v>
      </c>
    </row>
    <row r="641" spans="1:19" ht="25">
      <c r="A641">
        <v>273</v>
      </c>
      <c r="B641" s="127" t="s">
        <v>93</v>
      </c>
      <c r="C641" s="27">
        <f>VLOOKUP(B641,Elements!$A$2:$B$435,2,0)</f>
        <v>55</v>
      </c>
      <c r="D641">
        <v>4</v>
      </c>
      <c r="E641" t="str">
        <f>VLOOKUP(D641,Categories!$A$2:$B$8,2,0)</f>
        <v>Sourcing</v>
      </c>
      <c r="F641">
        <v>13</v>
      </c>
      <c r="G641" t="str">
        <f>VLOOKUP(F641,Subcategories!$A$2:$B$29,2,0)</f>
        <v>Supplier Portal</v>
      </c>
      <c r="H641" t="str">
        <f t="shared" si="9"/>
        <v>4-13-55</v>
      </c>
      <c r="I641">
        <f>VLOOKUP(H641,SuiteCatSubElem!$F$2:$G$666,2,0)</f>
        <v>272</v>
      </c>
      <c r="J641">
        <v>1</v>
      </c>
      <c r="K641">
        <v>439</v>
      </c>
      <c r="M641" t="s">
        <v>50</v>
      </c>
      <c r="N641" s="60">
        <v>43101</v>
      </c>
      <c r="O641" t="s">
        <v>50</v>
      </c>
      <c r="P641">
        <v>29</v>
      </c>
      <c r="Q641" t="s">
        <v>1358</v>
      </c>
      <c r="R641" s="102" t="s">
        <v>1361</v>
      </c>
      <c r="S641" s="113" t="s">
        <v>610</v>
      </c>
    </row>
    <row r="642" spans="1:19" ht="25">
      <c r="A642">
        <v>597</v>
      </c>
      <c r="B642" s="127" t="s">
        <v>93</v>
      </c>
      <c r="C642" s="27">
        <f>VLOOKUP(B642,Elements!$A$2:$B$435,2,0)</f>
        <v>55</v>
      </c>
      <c r="D642">
        <v>6</v>
      </c>
      <c r="E642" t="str">
        <f>VLOOKUP(D642,Categories!$A$2:$B$8,2,0)</f>
        <v>SXM</v>
      </c>
      <c r="F642">
        <v>8</v>
      </c>
      <c r="G642" t="str">
        <f>VLOOKUP(F642,Subcategories!$A$2:$B$29,2,0)</f>
        <v>General Services</v>
      </c>
      <c r="H642" t="str">
        <f t="shared" ref="H642:H665" si="10">_xlfn.CONCAT(D642,"-",F642,"-",C642)</f>
        <v>6-8-55</v>
      </c>
      <c r="I642">
        <f>VLOOKUP(H642,SuiteCatSubElem!$F$2:$G$666,2,0)</f>
        <v>591</v>
      </c>
      <c r="J642">
        <v>1</v>
      </c>
      <c r="K642">
        <v>439</v>
      </c>
      <c r="M642" t="s">
        <v>50</v>
      </c>
      <c r="N642" s="60">
        <v>43101</v>
      </c>
      <c r="O642" t="s">
        <v>50</v>
      </c>
      <c r="P642">
        <v>98</v>
      </c>
      <c r="Q642" t="s">
        <v>1358</v>
      </c>
      <c r="R642" s="102" t="s">
        <v>1361</v>
      </c>
      <c r="S642" s="113" t="s">
        <v>610</v>
      </c>
    </row>
    <row r="643" spans="1:19" ht="49">
      <c r="A643">
        <v>270</v>
      </c>
      <c r="B643" s="127" t="s">
        <v>94</v>
      </c>
      <c r="C643" s="27">
        <f>VLOOKUP(B643,Elements!$A$2:$B$435,2,0)</f>
        <v>56</v>
      </c>
      <c r="D643">
        <v>4</v>
      </c>
      <c r="E643" t="str">
        <f>VLOOKUP(D643,Categories!$A$2:$B$8,2,0)</f>
        <v>Sourcing</v>
      </c>
      <c r="F643">
        <v>13</v>
      </c>
      <c r="G643" t="str">
        <f>VLOOKUP(F643,Subcategories!$A$2:$B$29,2,0)</f>
        <v>Supplier Portal</v>
      </c>
      <c r="H643" t="str">
        <f t="shared" si="10"/>
        <v>4-13-56</v>
      </c>
      <c r="I643">
        <f>VLOOKUP(H643,SuiteCatSubElem!$F$2:$G$666,2,0)</f>
        <v>269</v>
      </c>
      <c r="J643">
        <v>1</v>
      </c>
      <c r="K643">
        <v>440</v>
      </c>
      <c r="M643" t="s">
        <v>50</v>
      </c>
      <c r="N643" s="60">
        <v>43101</v>
      </c>
      <c r="O643" t="s">
        <v>50</v>
      </c>
      <c r="P643">
        <v>26</v>
      </c>
      <c r="Q643" t="s">
        <v>1358</v>
      </c>
      <c r="R643" s="102" t="s">
        <v>603</v>
      </c>
      <c r="S643" s="113" t="s">
        <v>604</v>
      </c>
    </row>
    <row r="644" spans="1:19" ht="49">
      <c r="A644">
        <v>490</v>
      </c>
      <c r="B644" s="131" t="s">
        <v>362</v>
      </c>
      <c r="C644" s="27">
        <f>VLOOKUP(B644,Elements!$A$2:$B$435,2,0)</f>
        <v>65</v>
      </c>
      <c r="D644">
        <v>5</v>
      </c>
      <c r="E644" t="str">
        <f>VLOOKUP(D644,Categories!$A$2:$B$8,2,0)</f>
        <v>SA</v>
      </c>
      <c r="F644">
        <v>6</v>
      </c>
      <c r="G644" t="str">
        <f>VLOOKUP(F644,Subcategories!$A$2:$B$29,2,0)</f>
        <v>Configurability</v>
      </c>
      <c r="H644" t="str">
        <f t="shared" si="10"/>
        <v>5-6-65</v>
      </c>
      <c r="I644">
        <f>VLOOKUP(H644,SuiteCatSubElem!$F$2:$G$666,2,0)</f>
        <v>484</v>
      </c>
      <c r="J644">
        <v>1</v>
      </c>
      <c r="K644">
        <v>441</v>
      </c>
      <c r="M644" t="s">
        <v>50</v>
      </c>
      <c r="N644" s="60">
        <v>43101</v>
      </c>
      <c r="O644" t="s">
        <v>50</v>
      </c>
      <c r="P644">
        <v>76</v>
      </c>
      <c r="Q644" t="s">
        <v>1358</v>
      </c>
      <c r="R644" s="102" t="s">
        <v>926</v>
      </c>
      <c r="S644" s="109" t="s">
        <v>298</v>
      </c>
    </row>
    <row r="645" spans="1:19" ht="25">
      <c r="A645">
        <v>657</v>
      </c>
      <c r="B645" s="131" t="s">
        <v>286</v>
      </c>
      <c r="C645" s="27">
        <f>VLOOKUP(B645,Elements!$A$2:$B$435,2,0)</f>
        <v>66</v>
      </c>
      <c r="D645">
        <v>7</v>
      </c>
      <c r="E645" t="str">
        <f>VLOOKUP(D645,Categories!$A$2:$B$8,2,0)</f>
        <v>CLM</v>
      </c>
      <c r="F645">
        <v>7</v>
      </c>
      <c r="G645" t="str">
        <f>VLOOKUP(F645,Subcategories!$A$2:$B$29,2,0)</f>
        <v>Technology</v>
      </c>
      <c r="H645" t="str">
        <f t="shared" si="10"/>
        <v>7-7-66</v>
      </c>
      <c r="I645">
        <f>VLOOKUP(H645,SuiteCatSubElem!$F$2:$G$666,2,0)</f>
        <v>648</v>
      </c>
      <c r="J645">
        <v>1</v>
      </c>
      <c r="K645">
        <v>442</v>
      </c>
      <c r="M645" t="s">
        <v>50</v>
      </c>
      <c r="N645" s="60">
        <v>43101</v>
      </c>
      <c r="O645" t="s">
        <v>50</v>
      </c>
      <c r="P645">
        <v>54</v>
      </c>
      <c r="Q645" t="s">
        <v>1358</v>
      </c>
      <c r="R645" s="102" t="s">
        <v>1075</v>
      </c>
      <c r="S645" s="116" t="s">
        <v>1158</v>
      </c>
    </row>
    <row r="646" spans="1:19">
      <c r="A646">
        <v>404</v>
      </c>
      <c r="B646" s="127" t="s">
        <v>288</v>
      </c>
      <c r="C646" s="27">
        <f>VLOOKUP(B646,Elements!$A$2:$B$435,2,0)</f>
        <v>67</v>
      </c>
      <c r="D646">
        <v>4</v>
      </c>
      <c r="E646" t="str">
        <f>VLOOKUP(D646,Categories!$A$2:$B$8,2,0)</f>
        <v>Sourcing</v>
      </c>
      <c r="F646">
        <v>6</v>
      </c>
      <c r="G646" t="str">
        <f>VLOOKUP(F646,Subcategories!$A$2:$B$29,2,0)</f>
        <v>Configurability</v>
      </c>
      <c r="H646" t="str">
        <f t="shared" si="10"/>
        <v>4-6-67</v>
      </c>
      <c r="I646">
        <f>VLOOKUP(H646,SuiteCatSubElem!$F$2:$G$666,2,0)</f>
        <v>398</v>
      </c>
      <c r="J646">
        <v>1</v>
      </c>
      <c r="K646">
        <v>443</v>
      </c>
      <c r="M646" t="s">
        <v>50</v>
      </c>
      <c r="N646" s="60">
        <v>43101</v>
      </c>
      <c r="O646" t="s">
        <v>50</v>
      </c>
      <c r="P646">
        <v>155</v>
      </c>
      <c r="Q646" t="s">
        <v>1358</v>
      </c>
      <c r="R646" s="102" t="s">
        <v>845</v>
      </c>
      <c r="S646" s="113" t="s">
        <v>846</v>
      </c>
    </row>
    <row r="647" spans="1:19">
      <c r="A647">
        <v>407</v>
      </c>
      <c r="B647" s="127" t="s">
        <v>105</v>
      </c>
      <c r="C647" s="27">
        <f>VLOOKUP(B647,Elements!$A$2:$B$435,2,0)</f>
        <v>69</v>
      </c>
      <c r="D647">
        <v>4</v>
      </c>
      <c r="E647" t="str">
        <f>VLOOKUP(D647,Categories!$A$2:$B$8,2,0)</f>
        <v>Sourcing</v>
      </c>
      <c r="F647">
        <v>6</v>
      </c>
      <c r="G647" t="str">
        <f>VLOOKUP(F647,Subcategories!$A$2:$B$29,2,0)</f>
        <v>Configurability</v>
      </c>
      <c r="H647" t="str">
        <f t="shared" si="10"/>
        <v>4-6-69</v>
      </c>
      <c r="I647">
        <f>VLOOKUP(H647,SuiteCatSubElem!$F$2:$G$666,2,0)</f>
        <v>401</v>
      </c>
      <c r="J647">
        <v>1</v>
      </c>
      <c r="K647">
        <v>444</v>
      </c>
      <c r="M647" t="s">
        <v>50</v>
      </c>
      <c r="N647" s="60">
        <v>43101</v>
      </c>
      <c r="O647" t="s">
        <v>50</v>
      </c>
      <c r="P647">
        <v>158</v>
      </c>
      <c r="Q647" t="s">
        <v>1358</v>
      </c>
      <c r="R647" s="102" t="s">
        <v>849</v>
      </c>
      <c r="S647" s="113" t="s">
        <v>846</v>
      </c>
    </row>
    <row r="648" spans="1:19" ht="25">
      <c r="A648">
        <v>477</v>
      </c>
      <c r="B648" s="131" t="s">
        <v>353</v>
      </c>
      <c r="C648" s="27">
        <f>VLOOKUP(B648,Elements!$A$2:$B$435,2,0)</f>
        <v>73</v>
      </c>
      <c r="D648">
        <v>5</v>
      </c>
      <c r="E648" t="str">
        <f>VLOOKUP(D648,Categories!$A$2:$B$8,2,0)</f>
        <v>SA</v>
      </c>
      <c r="F648">
        <v>7</v>
      </c>
      <c r="G648" t="str">
        <f>VLOOKUP(F648,Subcategories!$A$2:$B$29,2,0)</f>
        <v>Technology</v>
      </c>
      <c r="H648" t="str">
        <f t="shared" si="10"/>
        <v>5-7-73</v>
      </c>
      <c r="I648">
        <f>VLOOKUP(H648,SuiteCatSubElem!$F$2:$G$666,2,0)</f>
        <v>471</v>
      </c>
      <c r="J648">
        <v>1</v>
      </c>
      <c r="K648">
        <v>445</v>
      </c>
      <c r="M648" t="s">
        <v>50</v>
      </c>
      <c r="N648" s="60">
        <v>43101</v>
      </c>
      <c r="O648" t="s">
        <v>50</v>
      </c>
      <c r="P648">
        <v>63</v>
      </c>
      <c r="Q648" t="s">
        <v>1358</v>
      </c>
      <c r="R648" s="102" t="s">
        <v>917</v>
      </c>
    </row>
    <row r="649" spans="1:19" ht="25">
      <c r="A649">
        <v>580</v>
      </c>
      <c r="B649" s="127" t="s">
        <v>353</v>
      </c>
      <c r="C649" s="27">
        <f>VLOOKUP(B649,Elements!$A$2:$B$435,2,0)</f>
        <v>73</v>
      </c>
      <c r="D649">
        <v>6</v>
      </c>
      <c r="E649" t="str">
        <f>VLOOKUP(D649,Categories!$A$2:$B$8,2,0)</f>
        <v>SXM</v>
      </c>
      <c r="F649">
        <v>7</v>
      </c>
      <c r="G649" t="str">
        <f>VLOOKUP(F649,Subcategories!$A$2:$B$29,2,0)</f>
        <v>Technology</v>
      </c>
      <c r="H649" t="str">
        <f t="shared" si="10"/>
        <v>6-7-73</v>
      </c>
      <c r="I649">
        <f>VLOOKUP(H649,SuiteCatSubElem!$F$2:$G$666,2,0)</f>
        <v>574</v>
      </c>
      <c r="J649">
        <v>1</v>
      </c>
      <c r="K649">
        <v>445</v>
      </c>
      <c r="M649" t="s">
        <v>50</v>
      </c>
      <c r="N649" s="60">
        <v>43101</v>
      </c>
      <c r="O649" t="s">
        <v>50</v>
      </c>
      <c r="P649">
        <v>81</v>
      </c>
      <c r="Q649" t="s">
        <v>1358</v>
      </c>
      <c r="R649" s="102" t="s">
        <v>917</v>
      </c>
    </row>
    <row r="650" spans="1:19" ht="25">
      <c r="A650">
        <v>654</v>
      </c>
      <c r="B650" s="131" t="s">
        <v>353</v>
      </c>
      <c r="C650" s="27">
        <f>VLOOKUP(B650,Elements!$A$2:$B$435,2,0)</f>
        <v>73</v>
      </c>
      <c r="D650">
        <v>7</v>
      </c>
      <c r="E650" t="str">
        <f>VLOOKUP(D650,Categories!$A$2:$B$8,2,0)</f>
        <v>CLM</v>
      </c>
      <c r="F650">
        <v>7</v>
      </c>
      <c r="G650" t="str">
        <f>VLOOKUP(F650,Subcategories!$A$2:$B$29,2,0)</f>
        <v>Technology</v>
      </c>
      <c r="H650" t="str">
        <f t="shared" si="10"/>
        <v>7-7-73</v>
      </c>
      <c r="I650">
        <f>VLOOKUP(H650,SuiteCatSubElem!$F$2:$G$666,2,0)</f>
        <v>645</v>
      </c>
      <c r="J650">
        <v>1</v>
      </c>
      <c r="K650">
        <v>445</v>
      </c>
      <c r="M650" t="s">
        <v>50</v>
      </c>
      <c r="N650" s="60">
        <v>43101</v>
      </c>
      <c r="O650" t="s">
        <v>50</v>
      </c>
      <c r="P650">
        <v>51</v>
      </c>
      <c r="Q650" t="s">
        <v>1358</v>
      </c>
      <c r="R650" s="102" t="s">
        <v>917</v>
      </c>
      <c r="S650" s="116"/>
    </row>
    <row r="651" spans="1:19" ht="49">
      <c r="A651">
        <v>482</v>
      </c>
      <c r="B651" s="131" t="s">
        <v>112</v>
      </c>
      <c r="C651" s="27">
        <f>VLOOKUP(B651,Elements!$A$2:$B$435,2,0)</f>
        <v>78</v>
      </c>
      <c r="D651">
        <v>5</v>
      </c>
      <c r="E651" t="str">
        <f>VLOOKUP(D651,Categories!$A$2:$B$8,2,0)</f>
        <v>SA</v>
      </c>
      <c r="F651">
        <v>7</v>
      </c>
      <c r="G651" t="str">
        <f>VLOOKUP(F651,Subcategories!$A$2:$B$29,2,0)</f>
        <v>Technology</v>
      </c>
      <c r="H651" t="str">
        <f t="shared" si="10"/>
        <v>5-7-78</v>
      </c>
      <c r="I651">
        <f>VLOOKUP(H651,SuiteCatSubElem!$F$2:$G$666,2,0)</f>
        <v>476</v>
      </c>
      <c r="J651">
        <v>1</v>
      </c>
      <c r="K651">
        <v>446</v>
      </c>
      <c r="M651" t="s">
        <v>50</v>
      </c>
      <c r="N651" s="60">
        <v>43101</v>
      </c>
      <c r="O651" t="s">
        <v>50</v>
      </c>
      <c r="P651">
        <v>68</v>
      </c>
      <c r="Q651" t="s">
        <v>1358</v>
      </c>
      <c r="R651" s="102" t="s">
        <v>920</v>
      </c>
      <c r="S651" s="109" t="s">
        <v>298</v>
      </c>
    </row>
    <row r="652" spans="1:19" ht="25">
      <c r="A652">
        <v>496</v>
      </c>
      <c r="B652" s="131" t="s">
        <v>117</v>
      </c>
      <c r="C652" s="27">
        <f>VLOOKUP(B652,Elements!$A$2:$B$435,2,0)</f>
        <v>83</v>
      </c>
      <c r="D652">
        <v>5</v>
      </c>
      <c r="E652" t="str">
        <f>VLOOKUP(D652,Categories!$A$2:$B$8,2,0)</f>
        <v>SA</v>
      </c>
      <c r="F652">
        <v>8</v>
      </c>
      <c r="G652" t="str">
        <f>VLOOKUP(F652,Subcategories!$A$2:$B$29,2,0)</f>
        <v>General Services</v>
      </c>
      <c r="H652" t="str">
        <f t="shared" si="10"/>
        <v>5-8-83</v>
      </c>
      <c r="I652">
        <f>VLOOKUP(H652,SuiteCatSubElem!$F$2:$G$666,2,0)</f>
        <v>490</v>
      </c>
      <c r="J652">
        <v>1</v>
      </c>
      <c r="K652">
        <v>447</v>
      </c>
      <c r="M652" t="s">
        <v>50</v>
      </c>
      <c r="N652" s="60">
        <v>43101</v>
      </c>
      <c r="O652" t="s">
        <v>50</v>
      </c>
      <c r="P652">
        <v>82</v>
      </c>
      <c r="Q652" t="s">
        <v>1358</v>
      </c>
      <c r="R652" s="102" t="s">
        <v>928</v>
      </c>
      <c r="S652" s="109" t="s">
        <v>298</v>
      </c>
    </row>
    <row r="653" spans="1:19" ht="25">
      <c r="A653">
        <v>306</v>
      </c>
      <c r="B653" s="127" t="s">
        <v>135</v>
      </c>
      <c r="C653" s="27">
        <f>VLOOKUP(B653,Elements!$A$2:$B$435,2,0)</f>
        <v>101</v>
      </c>
      <c r="D653">
        <v>4</v>
      </c>
      <c r="E653" t="str">
        <f>VLOOKUP(D653,Categories!$A$2:$B$8,2,0)</f>
        <v>Sourcing</v>
      </c>
      <c r="F653">
        <v>15</v>
      </c>
      <c r="G653" t="str">
        <f>VLOOKUP(F653,Subcategories!$A$2:$B$29,2,0)</f>
        <v>RFX Auction</v>
      </c>
      <c r="H653" t="str">
        <f t="shared" si="10"/>
        <v>4-15-101</v>
      </c>
      <c r="I653">
        <f>VLOOKUP(H653,SuiteCatSubElem!$F$2:$G$666,2,0)</f>
        <v>305</v>
      </c>
      <c r="J653">
        <v>1</v>
      </c>
      <c r="K653">
        <v>448</v>
      </c>
      <c r="M653" t="s">
        <v>50</v>
      </c>
      <c r="N653" s="60">
        <v>43101</v>
      </c>
      <c r="O653" t="s">
        <v>50</v>
      </c>
      <c r="P653">
        <v>62</v>
      </c>
      <c r="Q653" t="s">
        <v>1358</v>
      </c>
      <c r="R653" s="102" t="s">
        <v>660</v>
      </c>
      <c r="S653" s="113" t="s">
        <v>661</v>
      </c>
    </row>
    <row r="654" spans="1:19" ht="37">
      <c r="A654">
        <v>434</v>
      </c>
      <c r="B654" s="131" t="s">
        <v>135</v>
      </c>
      <c r="C654" s="27">
        <f>VLOOKUP(B654,Elements!$A$2:$B$435,2,0)</f>
        <v>101</v>
      </c>
      <c r="D654">
        <v>5</v>
      </c>
      <c r="E654" t="str">
        <f>VLOOKUP(D654,Categories!$A$2:$B$8,2,0)</f>
        <v>SA</v>
      </c>
      <c r="F654">
        <v>20</v>
      </c>
      <c r="G654" t="str">
        <f>VLOOKUP(F654,Subcategories!$A$2:$B$29,2,0)</f>
        <v>Process Support</v>
      </c>
      <c r="H654" t="str">
        <f t="shared" si="10"/>
        <v>5-20-101</v>
      </c>
      <c r="I654">
        <f>VLOOKUP(H654,SuiteCatSubElem!$F$2:$G$666,2,0)</f>
        <v>428</v>
      </c>
      <c r="J654">
        <v>1</v>
      </c>
      <c r="K654">
        <v>449</v>
      </c>
      <c r="M654" t="s">
        <v>50</v>
      </c>
      <c r="N654" s="60">
        <v>43101</v>
      </c>
      <c r="O654" t="s">
        <v>50</v>
      </c>
      <c r="P654">
        <v>20</v>
      </c>
      <c r="Q654" t="s">
        <v>1358</v>
      </c>
      <c r="R654" s="102" t="s">
        <v>875</v>
      </c>
      <c r="S654" s="109" t="s">
        <v>298</v>
      </c>
    </row>
    <row r="655" spans="1:19">
      <c r="A655">
        <v>570</v>
      </c>
      <c r="B655" s="127" t="s">
        <v>135</v>
      </c>
      <c r="C655" s="27">
        <f>VLOOKUP(B655,Elements!$A$2:$B$435,2,0)</f>
        <v>101</v>
      </c>
      <c r="D655">
        <v>6</v>
      </c>
      <c r="E655" t="str">
        <f>VLOOKUP(D655,Categories!$A$2:$B$8,2,0)</f>
        <v>SXM</v>
      </c>
      <c r="F655">
        <v>25</v>
      </c>
      <c r="G655" t="str">
        <f>VLOOKUP(F655,Subcategories!$A$2:$B$29,2,0)</f>
        <v>Portal</v>
      </c>
      <c r="H655" t="str">
        <f t="shared" si="10"/>
        <v>6-25-101</v>
      </c>
      <c r="I655">
        <f>VLOOKUP(H655,SuiteCatSubElem!$F$2:$G$666,2,0)</f>
        <v>564</v>
      </c>
      <c r="J655">
        <v>1</v>
      </c>
      <c r="K655">
        <v>450</v>
      </c>
      <c r="M655" t="s">
        <v>50</v>
      </c>
      <c r="N655" s="60">
        <v>43101</v>
      </c>
      <c r="O655" t="s">
        <v>50</v>
      </c>
      <c r="P655">
        <v>71</v>
      </c>
      <c r="Q655" t="s">
        <v>1358</v>
      </c>
      <c r="R655" s="102" t="s">
        <v>1002</v>
      </c>
      <c r="S655" s="109" t="s">
        <v>298</v>
      </c>
    </row>
    <row r="656" spans="1:19" ht="37">
      <c r="A656">
        <v>311</v>
      </c>
      <c r="B656" s="127" t="s">
        <v>148</v>
      </c>
      <c r="C656" s="27">
        <f>VLOOKUP(B656,Elements!$A$2:$B$435,2,0)</f>
        <v>113</v>
      </c>
      <c r="D656">
        <v>4</v>
      </c>
      <c r="E656" t="str">
        <f>VLOOKUP(D656,Categories!$A$2:$B$8,2,0)</f>
        <v>Sourcing</v>
      </c>
      <c r="F656">
        <v>15</v>
      </c>
      <c r="G656" t="str">
        <f>VLOOKUP(F656,Subcategories!$A$2:$B$29,2,0)</f>
        <v>RFX Auction</v>
      </c>
      <c r="H656" t="str">
        <f t="shared" si="10"/>
        <v>4-15-113</v>
      </c>
      <c r="I656">
        <f>VLOOKUP(H656,SuiteCatSubElem!$F$2:$G$666,2,0)</f>
        <v>310</v>
      </c>
      <c r="J656">
        <v>1</v>
      </c>
      <c r="K656">
        <v>451</v>
      </c>
      <c r="M656" t="s">
        <v>50</v>
      </c>
      <c r="N656" s="60">
        <v>43101</v>
      </c>
      <c r="O656" t="s">
        <v>50</v>
      </c>
      <c r="P656">
        <v>67</v>
      </c>
      <c r="Q656" t="s">
        <v>1358</v>
      </c>
      <c r="R656" s="102" t="s">
        <v>1372</v>
      </c>
      <c r="S656" s="113" t="s">
        <v>1373</v>
      </c>
    </row>
    <row r="657" spans="1:19" ht="25">
      <c r="A657">
        <v>421</v>
      </c>
      <c r="B657" s="131" t="s">
        <v>149</v>
      </c>
      <c r="C657" s="27">
        <f>VLOOKUP(B657,Elements!$A$2:$B$435,2,0)</f>
        <v>114</v>
      </c>
      <c r="D657">
        <v>5</v>
      </c>
      <c r="E657" t="str">
        <f>VLOOKUP(D657,Categories!$A$2:$B$8,2,0)</f>
        <v>SA</v>
      </c>
      <c r="F657">
        <v>19</v>
      </c>
      <c r="G657" t="str">
        <f>VLOOKUP(F657,Subcategories!$A$2:$B$29,2,0)</f>
        <v>Data Layer</v>
      </c>
      <c r="H657" t="str">
        <f t="shared" si="10"/>
        <v>5-19-114</v>
      </c>
      <c r="I657">
        <f>VLOOKUP(H657,SuiteCatSubElem!$F$2:$G$666,2,0)</f>
        <v>415</v>
      </c>
      <c r="J657">
        <v>1</v>
      </c>
      <c r="K657">
        <v>452</v>
      </c>
      <c r="M657" t="s">
        <v>50</v>
      </c>
      <c r="N657" s="60">
        <v>43101</v>
      </c>
      <c r="O657" t="s">
        <v>50</v>
      </c>
      <c r="P657">
        <v>7</v>
      </c>
      <c r="Q657" t="s">
        <v>1358</v>
      </c>
      <c r="R657" s="102" t="s">
        <v>863</v>
      </c>
      <c r="S657" s="109" t="s">
        <v>298</v>
      </c>
    </row>
    <row r="658" spans="1:19" ht="37">
      <c r="A658">
        <v>293</v>
      </c>
      <c r="B658" s="127" t="s">
        <v>150</v>
      </c>
      <c r="C658" s="27">
        <f>VLOOKUP(B658,Elements!$A$2:$B$435,2,0)</f>
        <v>115</v>
      </c>
      <c r="D658">
        <v>4</v>
      </c>
      <c r="E658" t="str">
        <f>VLOOKUP(D658,Categories!$A$2:$B$8,2,0)</f>
        <v>Sourcing</v>
      </c>
      <c r="F658">
        <v>15</v>
      </c>
      <c r="G658" t="str">
        <f>VLOOKUP(F658,Subcategories!$A$2:$B$29,2,0)</f>
        <v>RFX Auction</v>
      </c>
      <c r="H658" t="str">
        <f t="shared" si="10"/>
        <v>4-15-115</v>
      </c>
      <c r="I658">
        <f>VLOOKUP(H658,SuiteCatSubElem!$F$2:$G$666,2,0)</f>
        <v>292</v>
      </c>
      <c r="J658">
        <v>1</v>
      </c>
      <c r="K658">
        <v>453</v>
      </c>
      <c r="M658" t="s">
        <v>50</v>
      </c>
      <c r="N658" s="60">
        <v>43101</v>
      </c>
      <c r="O658" t="s">
        <v>50</v>
      </c>
      <c r="P658">
        <v>49</v>
      </c>
      <c r="Q658" t="s">
        <v>1358</v>
      </c>
      <c r="R658" s="113" t="s">
        <v>634</v>
      </c>
      <c r="S658" s="113" t="s">
        <v>635</v>
      </c>
    </row>
    <row r="659" spans="1:19" ht="49">
      <c r="A659">
        <v>357</v>
      </c>
      <c r="B659" s="127" t="s">
        <v>150</v>
      </c>
      <c r="C659" s="27">
        <f>VLOOKUP(B659,Elements!$A$2:$B$435,2,0)</f>
        <v>115</v>
      </c>
      <c r="D659">
        <v>4</v>
      </c>
      <c r="E659" t="str">
        <f>VLOOKUP(D659,Categories!$A$2:$B$8,2,0)</f>
        <v>Sourcing</v>
      </c>
      <c r="F659">
        <v>17</v>
      </c>
      <c r="G659" t="str">
        <f>VLOOKUP(F659,Subcategories!$A$2:$B$29,2,0)</f>
        <v>Contracts</v>
      </c>
      <c r="H659" t="str">
        <f t="shared" si="10"/>
        <v>4-17-115</v>
      </c>
      <c r="I659">
        <f>VLOOKUP(H659,SuiteCatSubElem!$F$2:$G$666,2,0)</f>
        <v>353</v>
      </c>
      <c r="J659">
        <v>1</v>
      </c>
      <c r="K659">
        <v>454</v>
      </c>
      <c r="M659" t="s">
        <v>50</v>
      </c>
      <c r="N659" s="60">
        <v>43101</v>
      </c>
      <c r="O659" t="s">
        <v>50</v>
      </c>
      <c r="P659">
        <v>110</v>
      </c>
      <c r="Q659" t="s">
        <v>1358</v>
      </c>
      <c r="R659" s="113" t="s">
        <v>1034</v>
      </c>
      <c r="S659" s="113" t="s">
        <v>757</v>
      </c>
    </row>
    <row r="660" spans="1:19" ht="49">
      <c r="A660">
        <v>612</v>
      </c>
      <c r="B660" s="133" t="s">
        <v>150</v>
      </c>
      <c r="C660" s="27">
        <f>VLOOKUP(B660,Elements!$A$2:$B$435,2,0)</f>
        <v>115</v>
      </c>
      <c r="D660">
        <v>7</v>
      </c>
      <c r="E660" t="str">
        <f>VLOOKUP(D660,Categories!$A$2:$B$8,2,0)</f>
        <v>CLM</v>
      </c>
      <c r="F660">
        <v>26</v>
      </c>
      <c r="G660" t="str">
        <f>VLOOKUP(F660,Subcategories!$A$2:$B$29,2,0)</f>
        <v>Contract Information Management</v>
      </c>
      <c r="H660" t="str">
        <f t="shared" si="10"/>
        <v>7-26-115</v>
      </c>
      <c r="I660">
        <f>VLOOKUP(H660,SuiteCatSubElem!$F$2:$G$666,2,0)</f>
        <v>606</v>
      </c>
      <c r="J660">
        <v>1</v>
      </c>
      <c r="K660">
        <v>454</v>
      </c>
      <c r="M660" t="s">
        <v>50</v>
      </c>
      <c r="N660" s="60">
        <v>43101</v>
      </c>
      <c r="O660" t="s">
        <v>50</v>
      </c>
      <c r="P660">
        <v>12</v>
      </c>
      <c r="Q660" t="s">
        <v>1358</v>
      </c>
      <c r="R660" s="113" t="s">
        <v>1034</v>
      </c>
      <c r="S660" s="113" t="s">
        <v>757</v>
      </c>
    </row>
    <row r="661" spans="1:19" ht="37">
      <c r="A661">
        <v>365</v>
      </c>
      <c r="B661" s="127" t="s">
        <v>163</v>
      </c>
      <c r="C661" s="27">
        <f>VLOOKUP(B661,Elements!$A$2:$B$435,2,0)</f>
        <v>128</v>
      </c>
      <c r="D661">
        <v>4</v>
      </c>
      <c r="E661" t="str">
        <f>VLOOKUP(D661,Categories!$A$2:$B$8,2,0)</f>
        <v>Sourcing</v>
      </c>
      <c r="F661">
        <v>18</v>
      </c>
      <c r="G661" t="str">
        <f>VLOOKUP(F661,Subcategories!$A$2:$B$29,2,0)</f>
        <v>Execution</v>
      </c>
      <c r="H661" t="str">
        <f t="shared" si="10"/>
        <v>4-18-128</v>
      </c>
      <c r="I661">
        <f>VLOOKUP(H661,SuiteCatSubElem!$F$2:$G$666,2,0)</f>
        <v>361</v>
      </c>
      <c r="J661">
        <v>1</v>
      </c>
      <c r="K661">
        <v>455</v>
      </c>
      <c r="M661" t="s">
        <v>50</v>
      </c>
      <c r="N661" s="60">
        <v>43101</v>
      </c>
      <c r="O661" t="s">
        <v>50</v>
      </c>
      <c r="P661">
        <v>118</v>
      </c>
      <c r="Q661" t="s">
        <v>1358</v>
      </c>
      <c r="R661" s="113" t="s">
        <v>772</v>
      </c>
      <c r="S661" s="113" t="s">
        <v>773</v>
      </c>
    </row>
    <row r="662" spans="1:19" ht="25">
      <c r="A662">
        <v>454</v>
      </c>
      <c r="B662" s="131" t="s">
        <v>163</v>
      </c>
      <c r="C662" s="27">
        <f>VLOOKUP(B662,Elements!$A$2:$B$435,2,0)</f>
        <v>128</v>
      </c>
      <c r="D662">
        <v>5</v>
      </c>
      <c r="E662" t="str">
        <f>VLOOKUP(D662,Categories!$A$2:$B$8,2,0)</f>
        <v>SA</v>
      </c>
      <c r="F662">
        <v>21</v>
      </c>
      <c r="G662" t="str">
        <f>VLOOKUP(F662,Subcategories!$A$2:$B$29,2,0)</f>
        <v>Function Support</v>
      </c>
      <c r="H662" t="str">
        <f t="shared" si="10"/>
        <v>5-21-128</v>
      </c>
      <c r="I662">
        <f>VLOOKUP(H662,SuiteCatSubElem!$F$2:$G$666,2,0)</f>
        <v>448</v>
      </c>
      <c r="J662">
        <v>1</v>
      </c>
      <c r="K662">
        <v>456</v>
      </c>
      <c r="M662" t="s">
        <v>50</v>
      </c>
      <c r="N662" s="60">
        <v>43101</v>
      </c>
      <c r="O662" t="s">
        <v>50</v>
      </c>
      <c r="P662">
        <v>40</v>
      </c>
      <c r="Q662" t="s">
        <v>1358</v>
      </c>
      <c r="R662" s="113" t="s">
        <v>895</v>
      </c>
      <c r="S662" s="109" t="s">
        <v>298</v>
      </c>
    </row>
    <row r="663" spans="1:19" ht="49">
      <c r="A663">
        <v>436</v>
      </c>
      <c r="B663" s="131" t="s">
        <v>177</v>
      </c>
      <c r="C663" s="27">
        <f>VLOOKUP(B663,Elements!$A$2:$B$435,2,0)</f>
        <v>142</v>
      </c>
      <c r="D663">
        <v>5</v>
      </c>
      <c r="E663" t="str">
        <f>VLOOKUP(D663,Categories!$A$2:$B$8,2,0)</f>
        <v>SA</v>
      </c>
      <c r="F663">
        <v>20</v>
      </c>
      <c r="G663" t="str">
        <f>VLOOKUP(F663,Subcategories!$A$2:$B$29,2,0)</f>
        <v>Process Support</v>
      </c>
      <c r="H663" t="str">
        <f t="shared" si="10"/>
        <v>5-20-142</v>
      </c>
      <c r="I663">
        <f>VLOOKUP(H663,SuiteCatSubElem!$F$2:$G$666,2,0)</f>
        <v>430</v>
      </c>
      <c r="J663">
        <v>1</v>
      </c>
      <c r="K663">
        <v>457</v>
      </c>
      <c r="M663" t="s">
        <v>50</v>
      </c>
      <c r="N663" s="60">
        <v>43101</v>
      </c>
      <c r="O663" t="s">
        <v>50</v>
      </c>
      <c r="P663">
        <v>22</v>
      </c>
      <c r="Q663" t="s">
        <v>1358</v>
      </c>
      <c r="R663" s="113" t="s">
        <v>877</v>
      </c>
      <c r="S663" s="109" t="s">
        <v>298</v>
      </c>
    </row>
    <row r="664" spans="1:19">
      <c r="A664">
        <v>455</v>
      </c>
      <c r="B664" s="131" t="s">
        <v>185</v>
      </c>
      <c r="C664" s="27">
        <f>VLOOKUP(B664,Elements!$A$2:$B$435,2,0)</f>
        <v>149</v>
      </c>
      <c r="D664">
        <v>5</v>
      </c>
      <c r="E664" t="str">
        <f>VLOOKUP(D664,Categories!$A$2:$B$8,2,0)</f>
        <v>SA</v>
      </c>
      <c r="F664">
        <v>21</v>
      </c>
      <c r="G664" t="str">
        <f>VLOOKUP(F664,Subcategories!$A$2:$B$29,2,0)</f>
        <v>Function Support</v>
      </c>
      <c r="H664" t="str">
        <f t="shared" si="10"/>
        <v>5-21-149</v>
      </c>
      <c r="I664">
        <f>VLOOKUP(H664,SuiteCatSubElem!$F$2:$G$666,2,0)</f>
        <v>449</v>
      </c>
      <c r="J664">
        <v>1</v>
      </c>
      <c r="K664">
        <v>458</v>
      </c>
      <c r="M664" t="s">
        <v>50</v>
      </c>
      <c r="N664" s="60">
        <v>43101</v>
      </c>
      <c r="O664" t="s">
        <v>50</v>
      </c>
      <c r="P664">
        <v>41</v>
      </c>
      <c r="Q664" t="s">
        <v>1358</v>
      </c>
      <c r="R664" s="113" t="s">
        <v>896</v>
      </c>
      <c r="S664" s="109" t="s">
        <v>298</v>
      </c>
    </row>
    <row r="665" spans="1:19" ht="25">
      <c r="A665">
        <v>456</v>
      </c>
      <c r="B665" s="131" t="s">
        <v>256</v>
      </c>
      <c r="C665" s="27">
        <f>VLOOKUP(B665,Elements!$A$2:$B$435,2,0)</f>
        <v>213</v>
      </c>
      <c r="D665">
        <v>5</v>
      </c>
      <c r="E665" t="str">
        <f>VLOOKUP(D665,Categories!$A$2:$B$8,2,0)</f>
        <v>SA</v>
      </c>
      <c r="F665">
        <v>21</v>
      </c>
      <c r="G665" t="str">
        <f>VLOOKUP(F665,Subcategories!$A$2:$B$29,2,0)</f>
        <v>Function Support</v>
      </c>
      <c r="H665" t="str">
        <f t="shared" si="10"/>
        <v>5-21-213</v>
      </c>
      <c r="I665">
        <f>VLOOKUP(H665,SuiteCatSubElem!$F$2:$G$666,2,0)</f>
        <v>450</v>
      </c>
      <c r="J665">
        <v>1</v>
      </c>
      <c r="K665">
        <v>459</v>
      </c>
      <c r="M665" t="s">
        <v>50</v>
      </c>
      <c r="N665" s="60">
        <v>43101</v>
      </c>
      <c r="O665" t="s">
        <v>50</v>
      </c>
      <c r="P665">
        <v>42</v>
      </c>
      <c r="Q665" t="s">
        <v>1358</v>
      </c>
      <c r="R665" s="113" t="s">
        <v>1385</v>
      </c>
      <c r="S665" s="109" t="s">
        <v>298</v>
      </c>
    </row>
  </sheetData>
  <autoFilter ref="A1:S1" xr:uid="{C9A6D65C-3FB2-8340-8B4C-95F7F581FD24}">
    <sortState ref="A2:S665">
      <sortCondition ref="K1:K665"/>
    </sortState>
  </autoFilter>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B13F-08AE-7D40-B64B-B2663422628E}">
  <sheetPr codeName="Sheet3"/>
  <dimension ref="A1:J754"/>
  <sheetViews>
    <sheetView workbookViewId="0">
      <pane ySplit="1" topLeftCell="A660" activePane="bottomLeft" state="frozen"/>
      <selection pane="bottomLeft" activeCell="A573" sqref="A573"/>
    </sheetView>
  </sheetViews>
  <sheetFormatPr baseColWidth="10" defaultRowHeight="16"/>
  <cols>
    <col min="1" max="1" width="31.83203125" bestFit="1" customWidth="1"/>
    <col min="2" max="4" width="31.83203125" customWidth="1"/>
    <col min="6" max="6" width="7.6640625" bestFit="1" customWidth="1"/>
    <col min="7" max="7" width="6.33203125" bestFit="1" customWidth="1"/>
    <col min="8" max="8" width="11.6640625" customWidth="1"/>
    <col min="10" max="10" width="29.5" customWidth="1"/>
  </cols>
  <sheetData>
    <row r="1" spans="1:10">
      <c r="A1" t="s">
        <v>510</v>
      </c>
      <c r="B1" t="s">
        <v>533</v>
      </c>
      <c r="C1" t="s">
        <v>186</v>
      </c>
      <c r="D1" t="s">
        <v>534</v>
      </c>
      <c r="E1" t="s">
        <v>34</v>
      </c>
      <c r="F1" t="s">
        <v>37</v>
      </c>
      <c r="G1" t="s">
        <v>297</v>
      </c>
      <c r="H1" t="s">
        <v>296</v>
      </c>
      <c r="J1" t="s">
        <v>36</v>
      </c>
    </row>
    <row r="2" spans="1:10">
      <c r="A2" s="8" t="s">
        <v>5</v>
      </c>
      <c r="F2" t="s">
        <v>50</v>
      </c>
    </row>
    <row r="3" spans="1:10">
      <c r="A3" t="s">
        <v>38</v>
      </c>
      <c r="J3" t="str">
        <f t="shared" ref="J3:J14" si="0">IF(AND(F3="",G3=""),A3,"")</f>
        <v xml:space="preserve">Catalog Creation / Onboarding </v>
      </c>
    </row>
    <row r="4" spans="1:10">
      <c r="A4" t="s">
        <v>39</v>
      </c>
      <c r="J4" t="str">
        <f t="shared" si="0"/>
        <v>Catalog Data Quality Control</v>
      </c>
    </row>
    <row r="5" spans="1:10">
      <c r="A5" t="s">
        <v>40</v>
      </c>
      <c r="J5" t="str">
        <f t="shared" si="0"/>
        <v xml:space="preserve">Catalog Maintenance </v>
      </c>
    </row>
    <row r="6" spans="1:10">
      <c r="A6" t="s">
        <v>41</v>
      </c>
      <c r="J6" t="str">
        <f t="shared" si="0"/>
        <v>Catalog Approvals</v>
      </c>
    </row>
    <row r="7" spans="1:10">
      <c r="A7" t="s">
        <v>42</v>
      </c>
      <c r="J7" t="str">
        <f t="shared" si="0"/>
        <v xml:space="preserve">Catalog Objects </v>
      </c>
    </row>
    <row r="8" spans="1:10">
      <c r="A8" t="s">
        <v>43</v>
      </c>
      <c r="J8" t="str">
        <f t="shared" si="0"/>
        <v>Catalog Mobility</v>
      </c>
    </row>
    <row r="9" spans="1:10">
      <c r="A9" t="s">
        <v>44</v>
      </c>
      <c r="J9" t="str">
        <f t="shared" si="0"/>
        <v>Catalog Analytics</v>
      </c>
    </row>
    <row r="10" spans="1:10">
      <c r="A10" t="s">
        <v>45</v>
      </c>
      <c r="J10" t="str">
        <f t="shared" si="0"/>
        <v>Catalog Roadmap</v>
      </c>
    </row>
    <row r="11" spans="1:10">
      <c r="A11" t="s">
        <v>46</v>
      </c>
      <c r="J11" t="str">
        <f t="shared" si="0"/>
        <v>Catalog Contracts</v>
      </c>
    </row>
    <row r="12" spans="1:10">
      <c r="A12" t="s">
        <v>47</v>
      </c>
      <c r="J12" t="str">
        <f t="shared" si="0"/>
        <v>On-Premise Software Option</v>
      </c>
    </row>
    <row r="13" spans="1:10">
      <c r="A13" t="s">
        <v>48</v>
      </c>
      <c r="J13" t="str">
        <f t="shared" si="0"/>
        <v>Internet Shopping / Catalog Visibility</v>
      </c>
    </row>
    <row r="14" spans="1:10">
      <c r="A14" t="s">
        <v>49</v>
      </c>
      <c r="J14" t="str">
        <f t="shared" si="0"/>
        <v xml:space="preserve">Catalog "Secret Sauce" </v>
      </c>
    </row>
    <row r="15" spans="1:10">
      <c r="A15" s="8" t="s">
        <v>6</v>
      </c>
      <c r="F15" t="s">
        <v>50</v>
      </c>
    </row>
    <row r="16" spans="1:10">
      <c r="A16" t="s">
        <v>51</v>
      </c>
      <c r="J16" t="str">
        <f t="shared" ref="J16:J38" si="1">IF(AND(F16="",G16=""),A16,"")</f>
        <v>Requisitioning Set Up</v>
      </c>
    </row>
    <row r="17" spans="1:10">
      <c r="A17" t="s">
        <v>52</v>
      </c>
      <c r="J17" t="str">
        <f t="shared" si="1"/>
        <v>Marketplace User Interface</v>
      </c>
    </row>
    <row r="18" spans="1:10">
      <c r="A18" t="s">
        <v>53</v>
      </c>
      <c r="J18" t="str">
        <f t="shared" si="1"/>
        <v xml:space="preserve">Markeplace Dashboard </v>
      </c>
    </row>
    <row r="19" spans="1:10">
      <c r="A19" t="s">
        <v>54</v>
      </c>
      <c r="J19" t="str">
        <f t="shared" si="1"/>
        <v>Profiles</v>
      </c>
    </row>
    <row r="20" spans="1:10">
      <c r="A20" t="s">
        <v>55</v>
      </c>
      <c r="J20" t="str">
        <f t="shared" si="1"/>
        <v>Search Engine</v>
      </c>
    </row>
    <row r="21" spans="1:10">
      <c r="A21" t="s">
        <v>56</v>
      </c>
      <c r="J21" t="str">
        <f t="shared" si="1"/>
        <v>Third-Party Content</v>
      </c>
    </row>
    <row r="22" spans="1:10">
      <c r="A22" t="s">
        <v>57</v>
      </c>
      <c r="J22" t="str">
        <f t="shared" si="1"/>
        <v>Requisitioning Process</v>
      </c>
    </row>
    <row r="23" spans="1:10">
      <c r="A23" t="s">
        <v>58</v>
      </c>
      <c r="J23" t="str">
        <f t="shared" si="1"/>
        <v>Systems Integration</v>
      </c>
    </row>
    <row r="24" spans="1:10">
      <c r="A24" t="s">
        <v>59</v>
      </c>
      <c r="J24" t="str">
        <f t="shared" si="1"/>
        <v>Non-Catalog / Services Requisitions</v>
      </c>
    </row>
    <row r="25" spans="1:10">
      <c r="A25" t="s">
        <v>60</v>
      </c>
      <c r="J25" t="str">
        <f t="shared" si="1"/>
        <v>Preferred Supplier Management</v>
      </c>
    </row>
    <row r="26" spans="1:10">
      <c r="A26" t="s">
        <v>61</v>
      </c>
      <c r="J26" t="str">
        <f t="shared" si="1"/>
        <v>Repetitive Requisitions</v>
      </c>
    </row>
    <row r="27" spans="1:10">
      <c r="A27" t="s">
        <v>62</v>
      </c>
      <c r="J27" t="str">
        <f t="shared" si="1"/>
        <v xml:space="preserve">Help &amp; Support </v>
      </c>
    </row>
    <row r="28" spans="1:10">
      <c r="A28" t="s">
        <v>63</v>
      </c>
      <c r="J28" t="str">
        <f t="shared" si="1"/>
        <v>Shopping Cart / Checkout Process</v>
      </c>
    </row>
    <row r="29" spans="1:10">
      <c r="A29" t="s">
        <v>64</v>
      </c>
      <c r="J29" t="str">
        <f t="shared" si="1"/>
        <v>Approval Process / Approval Engine</v>
      </c>
    </row>
    <row r="30" spans="1:10">
      <c r="A30" t="s">
        <v>65</v>
      </c>
      <c r="J30" t="str">
        <f t="shared" si="1"/>
        <v xml:space="preserve">Guided Buying </v>
      </c>
    </row>
    <row r="31" spans="1:10">
      <c r="A31" t="s">
        <v>66</v>
      </c>
      <c r="J31" t="str">
        <f t="shared" si="1"/>
        <v>Sourcing Integration</v>
      </c>
    </row>
    <row r="32" spans="1:10">
      <c r="A32" t="s">
        <v>67</v>
      </c>
      <c r="J32" t="str">
        <f t="shared" si="1"/>
        <v>Requisitioning Budget Checking Process</v>
      </c>
    </row>
    <row r="33" spans="1:10">
      <c r="A33" t="s">
        <v>68</v>
      </c>
      <c r="J33" t="str">
        <f t="shared" si="1"/>
        <v>Requisitioning Inventory Checking Process</v>
      </c>
    </row>
    <row r="34" spans="1:10">
      <c r="A34" t="s">
        <v>69</v>
      </c>
      <c r="J34" t="str">
        <f t="shared" si="1"/>
        <v>Mobility</v>
      </c>
    </row>
    <row r="35" spans="1:10">
      <c r="A35" t="s">
        <v>32</v>
      </c>
      <c r="J35" t="str">
        <f t="shared" si="1"/>
        <v>Analytics</v>
      </c>
    </row>
    <row r="36" spans="1:10">
      <c r="A36" t="s">
        <v>70</v>
      </c>
      <c r="J36" t="str">
        <f t="shared" si="1"/>
        <v>Multi-Currency / Languages</v>
      </c>
    </row>
    <row r="37" spans="1:10">
      <c r="A37" t="s">
        <v>71</v>
      </c>
      <c r="J37" t="str">
        <f t="shared" si="1"/>
        <v>Requisition Roadmap</v>
      </c>
    </row>
    <row r="38" spans="1:10">
      <c r="A38" t="s">
        <v>47</v>
      </c>
      <c r="J38" t="str">
        <f t="shared" si="1"/>
        <v>On-Premise Software Option</v>
      </c>
    </row>
    <row r="39" spans="1:10">
      <c r="A39" s="8" t="s">
        <v>7</v>
      </c>
      <c r="F39" t="s">
        <v>50</v>
      </c>
    </row>
    <row r="40" spans="1:10">
      <c r="A40" t="s">
        <v>72</v>
      </c>
      <c r="J40" t="str">
        <f t="shared" ref="J40:J53" si="2">IF(AND(F40="",G40=""),A40,"")</f>
        <v xml:space="preserve">Order Setup </v>
      </c>
    </row>
    <row r="41" spans="1:10">
      <c r="A41" t="s">
        <v>73</v>
      </c>
      <c r="J41" t="str">
        <f t="shared" si="2"/>
        <v xml:space="preserve">Order Creation </v>
      </c>
    </row>
    <row r="42" spans="1:10">
      <c r="A42" t="s">
        <v>74</v>
      </c>
      <c r="J42" t="str">
        <f t="shared" si="2"/>
        <v>Contract Compliance</v>
      </c>
    </row>
    <row r="43" spans="1:10">
      <c r="A43" t="s">
        <v>75</v>
      </c>
      <c r="J43" t="str">
        <f t="shared" si="2"/>
        <v>Extensibility</v>
      </c>
    </row>
    <row r="44" spans="1:10">
      <c r="A44" t="s">
        <v>76</v>
      </c>
      <c r="J44" t="str">
        <f t="shared" si="2"/>
        <v>Order Processing (buy-side)</v>
      </c>
    </row>
    <row r="45" spans="1:10">
      <c r="A45" t="s">
        <v>77</v>
      </c>
      <c r="J45" t="str">
        <f t="shared" si="2"/>
        <v>Order Delivery / Communication</v>
      </c>
    </row>
    <row r="46" spans="1:10">
      <c r="A46" t="s">
        <v>78</v>
      </c>
      <c r="J46" t="str">
        <f t="shared" si="2"/>
        <v>Order Collaboration (buyer/supplier)</v>
      </c>
    </row>
    <row r="47" spans="1:10">
      <c r="A47" t="s">
        <v>79</v>
      </c>
      <c r="J47" t="str">
        <f t="shared" si="2"/>
        <v>Order Processing (supply-side)</v>
      </c>
    </row>
    <row r="48" spans="1:10">
      <c r="A48" t="s">
        <v>80</v>
      </c>
      <c r="J48" t="str">
        <f t="shared" si="2"/>
        <v>Services Procurement Integration</v>
      </c>
    </row>
    <row r="49" spans="1:10">
      <c r="A49" t="s">
        <v>81</v>
      </c>
      <c r="J49" t="str">
        <f t="shared" si="2"/>
        <v>International Trade and Logistics</v>
      </c>
    </row>
    <row r="50" spans="1:10">
      <c r="A50" t="s">
        <v>82</v>
      </c>
      <c r="J50" t="str">
        <f t="shared" si="2"/>
        <v>PO Mobility</v>
      </c>
    </row>
    <row r="51" spans="1:10">
      <c r="A51" t="s">
        <v>83</v>
      </c>
      <c r="J51" t="str">
        <f t="shared" si="2"/>
        <v>PO Analytics</v>
      </c>
    </row>
    <row r="52" spans="1:10">
      <c r="A52" t="s">
        <v>84</v>
      </c>
      <c r="J52" t="str">
        <f t="shared" si="2"/>
        <v xml:space="preserve">Multi-languages &amp; currencies </v>
      </c>
    </row>
    <row r="53" spans="1:10">
      <c r="A53" t="s">
        <v>85</v>
      </c>
      <c r="J53" t="str">
        <f t="shared" si="2"/>
        <v>PO Roadmap</v>
      </c>
    </row>
    <row r="54" spans="1:10">
      <c r="A54" s="8" t="s">
        <v>8</v>
      </c>
      <c r="F54" t="s">
        <v>50</v>
      </c>
    </row>
    <row r="55" spans="1:10">
      <c r="A55" t="s">
        <v>86</v>
      </c>
      <c r="J55" t="str">
        <f t="shared" ref="J55:J62" si="3">IF(AND(F55="",G55=""),A55,"")</f>
        <v xml:space="preserve">Receiving Setup </v>
      </c>
    </row>
    <row r="56" spans="1:10">
      <c r="A56" t="s">
        <v>87</v>
      </c>
      <c r="J56" t="str">
        <f t="shared" si="3"/>
        <v xml:space="preserve">Fulfillment </v>
      </c>
    </row>
    <row r="57" spans="1:10">
      <c r="A57" t="s">
        <v>88</v>
      </c>
      <c r="J57" t="str">
        <f t="shared" si="3"/>
        <v>Receiving Process</v>
      </c>
    </row>
    <row r="58" spans="1:10">
      <c r="A58" t="s">
        <v>89</v>
      </c>
      <c r="J58" t="str">
        <f t="shared" si="3"/>
        <v xml:space="preserve">Receiving Integration </v>
      </c>
    </row>
    <row r="59" spans="1:10">
      <c r="A59" t="s">
        <v>90</v>
      </c>
      <c r="J59" t="str">
        <f t="shared" si="3"/>
        <v>Receiving Mobility</v>
      </c>
    </row>
    <row r="60" spans="1:10">
      <c r="A60" t="s">
        <v>91</v>
      </c>
      <c r="J60" t="str">
        <f t="shared" si="3"/>
        <v>Receiving Analytics</v>
      </c>
    </row>
    <row r="61" spans="1:10">
      <c r="A61" t="s">
        <v>92</v>
      </c>
      <c r="J61" t="str">
        <f t="shared" si="3"/>
        <v>Receiving Roadmap</v>
      </c>
    </row>
    <row r="62" spans="1:10">
      <c r="A62" t="s">
        <v>81</v>
      </c>
      <c r="J62" t="str">
        <f t="shared" si="3"/>
        <v>International Trade and Logistics</v>
      </c>
    </row>
    <row r="63" spans="1:10">
      <c r="A63" s="8" t="s">
        <v>9</v>
      </c>
      <c r="F63" t="s">
        <v>50</v>
      </c>
    </row>
    <row r="64" spans="1:10">
      <c r="A64" t="s">
        <v>93</v>
      </c>
      <c r="J64" t="str">
        <f t="shared" ref="J64:J72" si="4">IF(AND(F64="",G64=""),A64,"")</f>
        <v>Supplier Onboarding</v>
      </c>
    </row>
    <row r="65" spans="1:10">
      <c r="A65" t="s">
        <v>94</v>
      </c>
      <c r="J65" t="str">
        <f t="shared" si="4"/>
        <v>Supplier Information Management</v>
      </c>
    </row>
    <row r="66" spans="1:10">
      <c r="A66" t="s">
        <v>95</v>
      </c>
      <c r="J66" t="str">
        <f t="shared" si="4"/>
        <v>Supplier Performance and Risk Management</v>
      </c>
    </row>
    <row r="67" spans="1:10">
      <c r="A67" t="s">
        <v>96</v>
      </c>
      <c r="J67" t="str">
        <f t="shared" si="4"/>
        <v>Catalog Management</v>
      </c>
    </row>
    <row r="68" spans="1:10">
      <c r="A68" t="s">
        <v>97</v>
      </c>
      <c r="J68" t="str">
        <f t="shared" si="4"/>
        <v>Order Management</v>
      </c>
    </row>
    <row r="69" spans="1:10">
      <c r="A69" t="s">
        <v>13</v>
      </c>
      <c r="J69" t="str">
        <f t="shared" si="4"/>
        <v>Invoicing</v>
      </c>
    </row>
    <row r="70" spans="1:10">
      <c r="A70" t="s">
        <v>98</v>
      </c>
      <c r="J70" t="str">
        <f t="shared" si="4"/>
        <v>Other Supplier Network Value-Added Services</v>
      </c>
    </row>
    <row r="71" spans="1:10">
      <c r="A71" t="s">
        <v>99</v>
      </c>
      <c r="J71" t="str">
        <f t="shared" si="4"/>
        <v>Ability to Connect to Multiple Supplier/Business Networks</v>
      </c>
    </row>
    <row r="72" spans="1:10">
      <c r="A72" t="s">
        <v>100</v>
      </c>
      <c r="J72" t="str">
        <f t="shared" si="4"/>
        <v>Other Capabilities</v>
      </c>
    </row>
    <row r="73" spans="1:10">
      <c r="A73" s="8" t="s">
        <v>10</v>
      </c>
      <c r="F73" t="s">
        <v>50</v>
      </c>
    </row>
    <row r="74" spans="1:10">
      <c r="A74" t="s">
        <v>101</v>
      </c>
      <c r="J74" t="str">
        <f t="shared" ref="J74:J80" si="5">IF(AND(F74="",G74=""),A74,"")</f>
        <v>P2P Configuration Set Up</v>
      </c>
    </row>
    <row r="75" spans="1:10">
      <c r="A75" t="s">
        <v>362</v>
      </c>
      <c r="J75" t="str">
        <f t="shared" si="5"/>
        <v>Business Rules / Workflow</v>
      </c>
    </row>
    <row r="76" spans="1:10">
      <c r="A76" t="s">
        <v>102</v>
      </c>
      <c r="J76" t="str">
        <f t="shared" si="5"/>
        <v xml:space="preserve">Multi-Currency </v>
      </c>
    </row>
    <row r="77" spans="1:10">
      <c r="A77" t="s">
        <v>288</v>
      </c>
      <c r="J77" t="str">
        <f t="shared" si="5"/>
        <v>Business User Configuration</v>
      </c>
    </row>
    <row r="78" spans="1:10">
      <c r="A78" t="s">
        <v>104</v>
      </c>
      <c r="J78" t="str">
        <f t="shared" si="5"/>
        <v>Technical Configuration</v>
      </c>
    </row>
    <row r="79" spans="1:10">
      <c r="A79" t="s">
        <v>105</v>
      </c>
      <c r="J79" t="str">
        <f t="shared" si="5"/>
        <v>Vendor/Consultant Configuration</v>
      </c>
    </row>
    <row r="80" spans="1:10">
      <c r="A80" t="s">
        <v>106</v>
      </c>
      <c r="J80" t="str">
        <f t="shared" si="5"/>
        <v>Customizations</v>
      </c>
    </row>
    <row r="81" spans="1:10">
      <c r="A81" s="8" t="s">
        <v>11</v>
      </c>
      <c r="F81" t="s">
        <v>50</v>
      </c>
    </row>
    <row r="82" spans="1:10">
      <c r="A82" t="s">
        <v>107</v>
      </c>
      <c r="J82" t="str">
        <f t="shared" ref="J82:J94" si="6">IF(AND(F82="",G82=""),A82,"")</f>
        <v xml:space="preserve">Cloud </v>
      </c>
    </row>
    <row r="83" spans="1:10">
      <c r="A83" t="s">
        <v>47</v>
      </c>
      <c r="J83" t="str">
        <f t="shared" si="6"/>
        <v>On-Premise Software Option</v>
      </c>
    </row>
    <row r="84" spans="1:10">
      <c r="A84" t="s">
        <v>108</v>
      </c>
      <c r="J84" t="str">
        <f t="shared" si="6"/>
        <v>Robotics / AI / Machine Learning</v>
      </c>
    </row>
    <row r="85" spans="1:10">
      <c r="A85" t="s">
        <v>353</v>
      </c>
      <c r="J85" t="str">
        <f t="shared" si="6"/>
        <v>Big Data</v>
      </c>
    </row>
    <row r="86" spans="1:10">
      <c r="A86" t="s">
        <v>109</v>
      </c>
      <c r="J86" t="str">
        <f t="shared" si="6"/>
        <v>Block chain</v>
      </c>
    </row>
    <row r="87" spans="1:10">
      <c r="A87" t="s">
        <v>355</v>
      </c>
      <c r="J87" t="str">
        <f t="shared" si="6"/>
        <v>Mobile</v>
      </c>
    </row>
    <row r="88" spans="1:10">
      <c r="A88" t="s">
        <v>110</v>
      </c>
      <c r="J88" t="str">
        <f t="shared" si="6"/>
        <v>Internet of Things (IoT)</v>
      </c>
    </row>
    <row r="89" spans="1:10">
      <c r="A89" t="s">
        <v>111</v>
      </c>
      <c r="J89" t="str">
        <f t="shared" si="6"/>
        <v>OCR / Scanners</v>
      </c>
    </row>
    <row r="90" spans="1:10">
      <c r="A90" t="s">
        <v>112</v>
      </c>
      <c r="J90" t="str">
        <f t="shared" si="6"/>
        <v>Intelligent Apps</v>
      </c>
    </row>
    <row r="91" spans="1:10">
      <c r="A91" t="s">
        <v>113</v>
      </c>
      <c r="J91" t="str">
        <f t="shared" si="6"/>
        <v>Conversational Systems</v>
      </c>
    </row>
    <row r="92" spans="1:10">
      <c r="A92" t="s">
        <v>114</v>
      </c>
      <c r="J92" t="str">
        <f t="shared" si="6"/>
        <v>Personalization</v>
      </c>
    </row>
    <row r="93" spans="1:10">
      <c r="A93" t="s">
        <v>115</v>
      </c>
      <c r="J93" t="str">
        <f t="shared" si="6"/>
        <v>Open Standards</v>
      </c>
    </row>
    <row r="94" spans="1:10">
      <c r="A94" t="s">
        <v>116</v>
      </c>
      <c r="J94" t="str">
        <f t="shared" si="6"/>
        <v>Integrations</v>
      </c>
    </row>
    <row r="95" spans="1:10">
      <c r="A95" s="8" t="s">
        <v>12</v>
      </c>
      <c r="F95" t="s">
        <v>50</v>
      </c>
    </row>
    <row r="96" spans="1:10">
      <c r="A96" t="s">
        <v>117</v>
      </c>
      <c r="J96" t="str">
        <f>IF(AND(F96="",G96=""),A96,"")</f>
        <v>Data Management Services</v>
      </c>
    </row>
    <row r="97" spans="1:10">
      <c r="A97" t="s">
        <v>118</v>
      </c>
      <c r="J97" t="str">
        <f>IF(AND(F97="",G97=""),A97,"")</f>
        <v>Managed Services / Co-Sourcing / Outsourcing</v>
      </c>
    </row>
    <row r="98" spans="1:10">
      <c r="A98" t="s">
        <v>119</v>
      </c>
      <c r="J98" t="str">
        <f>IF(AND(F98="",G98=""),A98,"")</f>
        <v>Consulting / Change Management</v>
      </c>
    </row>
    <row r="99" spans="1:10">
      <c r="A99" s="8" t="s">
        <v>13</v>
      </c>
      <c r="F99" t="s">
        <v>50</v>
      </c>
    </row>
    <row r="100" spans="1:10">
      <c r="A100" t="s">
        <v>120</v>
      </c>
      <c r="J100" t="str">
        <f t="shared" ref="J100:J109" si="7">IF(AND(F100="",G100=""),A100,"")</f>
        <v xml:space="preserve">Invoicing Setup </v>
      </c>
    </row>
    <row r="101" spans="1:10">
      <c r="A101" t="s">
        <v>121</v>
      </c>
      <c r="J101" t="str">
        <f t="shared" si="7"/>
        <v>Invoice Creation / Capturing / submission</v>
      </c>
    </row>
    <row r="102" spans="1:10">
      <c r="A102" t="s">
        <v>122</v>
      </c>
      <c r="J102" t="str">
        <f t="shared" si="7"/>
        <v>Services Invoicing &amp; Contract Invoicing</v>
      </c>
    </row>
    <row r="103" spans="1:10">
      <c r="A103" t="s">
        <v>123</v>
      </c>
      <c r="J103" t="str">
        <f t="shared" si="7"/>
        <v>Invoice Collaboration</v>
      </c>
    </row>
    <row r="104" spans="1:10">
      <c r="A104" t="s">
        <v>124</v>
      </c>
      <c r="J104" t="str">
        <f t="shared" si="7"/>
        <v>Invoice Validation / Approvals</v>
      </c>
    </row>
    <row r="105" spans="1:10">
      <c r="A105" t="s">
        <v>125</v>
      </c>
      <c r="J105" t="str">
        <f t="shared" si="7"/>
        <v xml:space="preserve">Invoice Integrations </v>
      </c>
    </row>
    <row r="106" spans="1:10">
      <c r="A106" t="s">
        <v>126</v>
      </c>
      <c r="J106" t="str">
        <f t="shared" si="7"/>
        <v>Invoice Compliance</v>
      </c>
    </row>
    <row r="107" spans="1:10">
      <c r="A107" t="s">
        <v>127</v>
      </c>
      <c r="J107" t="str">
        <f t="shared" si="7"/>
        <v>Invoice Mobility</v>
      </c>
    </row>
    <row r="108" spans="1:10">
      <c r="A108" t="s">
        <v>128</v>
      </c>
      <c r="J108" t="str">
        <f t="shared" si="7"/>
        <v>Invoicing Analytics</v>
      </c>
    </row>
    <row r="109" spans="1:10">
      <c r="A109" t="s">
        <v>129</v>
      </c>
      <c r="J109" t="str">
        <f t="shared" si="7"/>
        <v>Invoicing Roadmap</v>
      </c>
    </row>
    <row r="110" spans="1:10">
      <c r="A110" s="8" t="s">
        <v>14</v>
      </c>
      <c r="F110" t="s">
        <v>50</v>
      </c>
    </row>
    <row r="111" spans="1:10">
      <c r="A111" t="s">
        <v>130</v>
      </c>
      <c r="J111" t="str">
        <f t="shared" ref="J111:J117" si="8">IF(AND(F111="",G111=""),A111,"")</f>
        <v xml:space="preserve">Payment Methods </v>
      </c>
    </row>
    <row r="112" spans="1:10">
      <c r="A112" t="s">
        <v>131</v>
      </c>
      <c r="J112" t="str">
        <f t="shared" si="8"/>
        <v>Payment Processing</v>
      </c>
    </row>
    <row r="113" spans="1:10">
      <c r="A113" t="s">
        <v>132</v>
      </c>
      <c r="J113" t="str">
        <f t="shared" si="8"/>
        <v>Payment Cards</v>
      </c>
    </row>
    <row r="114" spans="1:10">
      <c r="A114" t="s">
        <v>133</v>
      </c>
      <c r="J114" t="str">
        <f t="shared" si="8"/>
        <v>Financing On-Boarding</v>
      </c>
    </row>
    <row r="115" spans="1:10">
      <c r="A115" t="s">
        <v>134</v>
      </c>
      <c r="J115" t="str">
        <f t="shared" si="8"/>
        <v xml:space="preserve">Trade Financing (Receivables and Payables Financing)  </v>
      </c>
    </row>
    <row r="116" spans="1:10">
      <c r="A116" t="s">
        <v>135</v>
      </c>
      <c r="J116" t="str">
        <f t="shared" si="8"/>
        <v>Collaboration</v>
      </c>
    </row>
    <row r="117" spans="1:10">
      <c r="A117" t="s">
        <v>136</v>
      </c>
      <c r="J117" t="str">
        <f t="shared" si="8"/>
        <v>Financing Analytics</v>
      </c>
    </row>
    <row r="118" spans="1:10">
      <c r="A118" s="9" t="s">
        <v>15</v>
      </c>
      <c r="F118" t="s">
        <v>50</v>
      </c>
    </row>
    <row r="119" spans="1:10">
      <c r="A119" s="11" t="s">
        <v>508</v>
      </c>
      <c r="G119" t="s">
        <v>50</v>
      </c>
    </row>
    <row r="120" spans="1:10" ht="32">
      <c r="A120" s="10" t="s">
        <v>137</v>
      </c>
      <c r="H120" t="s">
        <v>50</v>
      </c>
      <c r="J120" t="str">
        <f t="shared" ref="J120:J126" si="9">IF(AND(F120="",G120=""),A120,"")</f>
        <v>Arbitrary Categorization in Spend Analysis</v>
      </c>
    </row>
    <row r="121" spans="1:10">
      <c r="A121" s="10" t="s">
        <v>138</v>
      </c>
      <c r="H121" t="s">
        <v>50</v>
      </c>
      <c r="J121" t="str">
        <f t="shared" si="9"/>
        <v>Category Benchmarks</v>
      </c>
    </row>
    <row r="122" spans="1:10" ht="32">
      <c r="A122" s="10" t="s">
        <v>139</v>
      </c>
      <c r="H122" t="s">
        <v>50</v>
      </c>
      <c r="J122" t="str">
        <f t="shared" si="9"/>
        <v>Trend Analysis and Demand Forecasting</v>
      </c>
    </row>
    <row r="123" spans="1:10">
      <c r="A123" s="10" t="s">
        <v>140</v>
      </c>
      <c r="H123" t="s">
        <v>50</v>
      </c>
      <c r="J123" t="str">
        <f t="shared" si="9"/>
        <v>Category Sourcing Plans/Templates</v>
      </c>
    </row>
    <row r="124" spans="1:10">
      <c r="A124" s="10" t="s">
        <v>141</v>
      </c>
      <c r="H124" t="s">
        <v>50</v>
      </c>
      <c r="J124" t="str">
        <f t="shared" si="9"/>
        <v>Benchmarking</v>
      </c>
    </row>
    <row r="125" spans="1:10">
      <c r="A125" s="10" t="s">
        <v>142</v>
      </c>
      <c r="H125" t="s">
        <v>50</v>
      </c>
      <c r="J125" t="str">
        <f t="shared" si="9"/>
        <v>Tracking / Scorecard Integration</v>
      </c>
    </row>
    <row r="126" spans="1:10">
      <c r="A126" s="10" t="s">
        <v>143</v>
      </c>
      <c r="H126" t="s">
        <v>50</v>
      </c>
      <c r="J126" t="str">
        <f t="shared" si="9"/>
        <v>Prescriptive Analytics</v>
      </c>
    </row>
    <row r="127" spans="1:10">
      <c r="A127" s="11" t="s">
        <v>144</v>
      </c>
      <c r="G127" t="s">
        <v>50</v>
      </c>
    </row>
    <row r="128" spans="1:10">
      <c r="A128" s="10" t="s">
        <v>145</v>
      </c>
      <c r="H128" t="s">
        <v>50</v>
      </c>
      <c r="J128" t="str">
        <f t="shared" ref="J128:J133" si="10">IF(AND(F128="",G128=""),A128,"")</f>
        <v>Basic Should Cost Modelling</v>
      </c>
    </row>
    <row r="129" spans="1:10">
      <c r="A129" s="10" t="s">
        <v>146</v>
      </c>
      <c r="H129" t="s">
        <v>50</v>
      </c>
      <c r="J129" t="str">
        <f t="shared" si="10"/>
        <v>Market Data Feeds</v>
      </c>
    </row>
    <row r="130" spans="1:10">
      <c r="A130" s="10" t="s">
        <v>147</v>
      </c>
      <c r="H130" t="s">
        <v>50</v>
      </c>
      <c r="J130" t="str">
        <f t="shared" si="10"/>
        <v>Benchmarks</v>
      </c>
    </row>
    <row r="131" spans="1:10">
      <c r="A131" s="10" t="s">
        <v>148</v>
      </c>
      <c r="H131" t="s">
        <v>50</v>
      </c>
      <c r="J131" t="str">
        <f t="shared" si="10"/>
        <v>Bill of Material Support</v>
      </c>
    </row>
    <row r="132" spans="1:10">
      <c r="A132" s="10" t="s">
        <v>149</v>
      </c>
      <c r="H132" t="s">
        <v>50</v>
      </c>
      <c r="J132" t="str">
        <f t="shared" si="10"/>
        <v>Formula Support</v>
      </c>
    </row>
    <row r="133" spans="1:10">
      <c r="A133" s="10" t="s">
        <v>150</v>
      </c>
      <c r="H133" t="s">
        <v>50</v>
      </c>
      <c r="J133" t="str">
        <f t="shared" si="10"/>
        <v>Templates</v>
      </c>
    </row>
    <row r="134" spans="1:10">
      <c r="A134" s="9" t="s">
        <v>16</v>
      </c>
      <c r="F134" t="s">
        <v>50</v>
      </c>
    </row>
    <row r="135" spans="1:10">
      <c r="A135" s="10" t="s">
        <v>151</v>
      </c>
      <c r="J135" t="str">
        <f t="shared" ref="J135:J141" si="11">IF(AND(F135="",G135=""),A135,"")</f>
        <v>Sourcing Strategy Definition</v>
      </c>
    </row>
    <row r="136" spans="1:10" ht="32">
      <c r="A136" s="10" t="s">
        <v>152</v>
      </c>
      <c r="J136" t="str">
        <f t="shared" si="11"/>
        <v>Task, Timeline, and Milestone Definition</v>
      </c>
    </row>
    <row r="137" spans="1:10">
      <c r="A137" s="10" t="s">
        <v>153</v>
      </c>
      <c r="J137" t="str">
        <f t="shared" si="11"/>
        <v>Role-Based Team Definition</v>
      </c>
    </row>
    <row r="138" spans="1:10">
      <c r="A138" s="10" t="s">
        <v>154</v>
      </c>
      <c r="J138" t="str">
        <f t="shared" si="11"/>
        <v>Workflow Integration</v>
      </c>
    </row>
    <row r="139" spans="1:10">
      <c r="A139" s="10" t="s">
        <v>155</v>
      </c>
      <c r="J139" t="str">
        <f t="shared" si="11"/>
        <v>Approvals and Sign-Offs</v>
      </c>
    </row>
    <row r="140" spans="1:10">
      <c r="A140" s="10" t="s">
        <v>156</v>
      </c>
      <c r="J140" t="str">
        <f t="shared" si="11"/>
        <v>Budget and Demand Definition</v>
      </c>
    </row>
    <row r="141" spans="1:10">
      <c r="A141" s="10" t="s">
        <v>157</v>
      </c>
      <c r="J141" t="str">
        <f t="shared" si="11"/>
        <v>Execution Support</v>
      </c>
    </row>
    <row r="142" spans="1:10">
      <c r="A142" s="9" t="s">
        <v>17</v>
      </c>
      <c r="F142" t="s">
        <v>50</v>
      </c>
    </row>
    <row r="143" spans="1:10">
      <c r="A143" s="10" t="s">
        <v>158</v>
      </c>
      <c r="J143" t="str">
        <f t="shared" ref="J143:J153" si="12">IF(AND(F143="",G143=""),A143,"")</f>
        <v>Single Sign-On</v>
      </c>
    </row>
    <row r="144" spans="1:10" ht="32">
      <c r="A144" s="10" t="s">
        <v>159</v>
      </c>
      <c r="J144" t="str">
        <f t="shared" si="12"/>
        <v>Distributed Supplier RFX Response Management</v>
      </c>
    </row>
    <row r="145" spans="1:10" ht="32">
      <c r="A145" s="10" t="s">
        <v>160</v>
      </c>
      <c r="J145" t="str">
        <f t="shared" si="12"/>
        <v>Distributed Supplier Auction Management</v>
      </c>
    </row>
    <row r="146" spans="1:10">
      <c r="A146" s="10" t="s">
        <v>161</v>
      </c>
      <c r="J146" t="str">
        <f t="shared" si="12"/>
        <v>Result/Award Notification</v>
      </c>
    </row>
    <row r="147" spans="1:10">
      <c r="A147" s="10" t="s">
        <v>162</v>
      </c>
      <c r="J147" t="str">
        <f t="shared" si="12"/>
        <v>Contract Negotiation Management</v>
      </c>
    </row>
    <row r="148" spans="1:10">
      <c r="A148" s="10" t="s">
        <v>94</v>
      </c>
      <c r="J148" t="str">
        <f t="shared" si="12"/>
        <v>Supplier Information Management</v>
      </c>
    </row>
    <row r="149" spans="1:10">
      <c r="A149" s="10" t="s">
        <v>163</v>
      </c>
      <c r="J149" t="str">
        <f t="shared" si="12"/>
        <v>Scorecards</v>
      </c>
    </row>
    <row r="150" spans="1:10">
      <c r="A150" s="10" t="s">
        <v>164</v>
      </c>
      <c r="J150" t="str">
        <f t="shared" si="12"/>
        <v>Corrective Action Management</v>
      </c>
    </row>
    <row r="151" spans="1:10">
      <c r="A151" s="10" t="s">
        <v>93</v>
      </c>
      <c r="J151" t="str">
        <f t="shared" si="12"/>
        <v>Supplier Onboarding</v>
      </c>
    </row>
    <row r="152" spans="1:10">
      <c r="A152" s="10" t="s">
        <v>165</v>
      </c>
      <c r="J152" t="str">
        <f t="shared" si="12"/>
        <v>Invitation Management</v>
      </c>
    </row>
    <row r="153" spans="1:10">
      <c r="A153" s="10" t="s">
        <v>166</v>
      </c>
      <c r="J153" t="str">
        <f t="shared" si="12"/>
        <v>Self Registration</v>
      </c>
    </row>
    <row r="154" spans="1:10">
      <c r="A154" s="9" t="s">
        <v>18</v>
      </c>
      <c r="F154" t="s">
        <v>50</v>
      </c>
    </row>
    <row r="155" spans="1:10">
      <c r="A155" s="10" t="s">
        <v>167</v>
      </c>
      <c r="J155" t="str">
        <f t="shared" ref="J155:J169" si="13">IF(AND(F155="",G155=""),A155,"")</f>
        <v>ETL Support</v>
      </c>
    </row>
    <row r="156" spans="1:10">
      <c r="A156" s="10" t="s">
        <v>168</v>
      </c>
      <c r="J156" t="str">
        <f t="shared" si="13"/>
        <v>ERP Integration</v>
      </c>
    </row>
    <row r="157" spans="1:10">
      <c r="A157" s="10" t="s">
        <v>169</v>
      </c>
      <c r="J157" t="str">
        <f t="shared" si="13"/>
        <v>P2P/S2P Integration</v>
      </c>
    </row>
    <row r="158" spans="1:10">
      <c r="A158" s="10" t="s">
        <v>170</v>
      </c>
      <c r="J158" t="str">
        <f t="shared" si="13"/>
        <v>3rd Party Feeds</v>
      </c>
    </row>
    <row r="159" spans="1:10">
      <c r="A159" s="10" t="s">
        <v>171</v>
      </c>
      <c r="J159" t="str">
        <f t="shared" si="13"/>
        <v>Cleansing</v>
      </c>
    </row>
    <row r="160" spans="1:10" ht="32">
      <c r="A160" s="10" t="s">
        <v>172</v>
      </c>
      <c r="J160" t="str">
        <f t="shared" si="13"/>
        <v>Automatic data correction based on known fields</v>
      </c>
    </row>
    <row r="161" spans="1:10" ht="32">
      <c r="A161" s="10" t="s">
        <v>173</v>
      </c>
      <c r="J161" t="str">
        <f t="shared" si="13"/>
        <v>Simple rules for automatic correction based on common errors</v>
      </c>
    </row>
    <row r="162" spans="1:10" ht="32">
      <c r="A162" s="10" t="s">
        <v>174</v>
      </c>
      <c r="J162" t="str">
        <f t="shared" si="13"/>
        <v>Advanced rules for correction based on industry data</v>
      </c>
    </row>
    <row r="163" spans="1:10">
      <c r="A163" s="10" t="s">
        <v>175</v>
      </c>
      <c r="J163" t="str">
        <f t="shared" si="13"/>
        <v>Categorization</v>
      </c>
    </row>
    <row r="164" spans="1:10" ht="32">
      <c r="A164" s="10" t="s">
        <v>176</v>
      </c>
      <c r="J164" t="str">
        <f t="shared" si="13"/>
        <v>Built in Schemas (UNSPSC, Best in Class, etc.)</v>
      </c>
    </row>
    <row r="165" spans="1:10">
      <c r="A165" s="10" t="s">
        <v>177</v>
      </c>
      <c r="J165" t="str">
        <f t="shared" si="13"/>
        <v>AI</v>
      </c>
    </row>
    <row r="166" spans="1:10" ht="32">
      <c r="A166" s="10" t="s">
        <v>178</v>
      </c>
      <c r="J166" t="str">
        <f t="shared" si="13"/>
        <v>Out-of-the-Box Reports and Analytics</v>
      </c>
    </row>
    <row r="167" spans="1:10">
      <c r="A167" s="10" t="s">
        <v>179</v>
      </c>
      <c r="J167" t="str">
        <f t="shared" si="13"/>
        <v>Standard Spend Reports</v>
      </c>
    </row>
    <row r="168" spans="1:10">
      <c r="A168" s="10" t="s">
        <v>180</v>
      </c>
      <c r="J168" t="str">
        <f t="shared" si="13"/>
        <v>Customization Capability</v>
      </c>
    </row>
    <row r="169" spans="1:10">
      <c r="A169" s="10" t="s">
        <v>181</v>
      </c>
      <c r="J169" t="str">
        <f t="shared" si="13"/>
        <v>Report Builder</v>
      </c>
    </row>
    <row r="170" spans="1:10">
      <c r="A170" s="9" t="s">
        <v>182</v>
      </c>
      <c r="F170" t="s">
        <v>50</v>
      </c>
    </row>
    <row r="171" spans="1:10">
      <c r="A171" s="11" t="s">
        <v>182</v>
      </c>
      <c r="G171" t="s">
        <v>509</v>
      </c>
    </row>
    <row r="172" spans="1:10">
      <c r="A172" s="10" t="s">
        <v>183</v>
      </c>
      <c r="H172" t="s">
        <v>50</v>
      </c>
      <c r="J172" t="str">
        <f t="shared" ref="J172:J207" si="14">IF(AND(F172="",G172=""),A172,"")</f>
        <v>Creation Methodology</v>
      </c>
    </row>
    <row r="173" spans="1:10">
      <c r="A173" s="10" t="s">
        <v>184</v>
      </c>
      <c r="H173" t="s">
        <v>50</v>
      </c>
      <c r="J173" t="str">
        <f t="shared" si="14"/>
        <v>Components</v>
      </c>
    </row>
    <row r="174" spans="1:10">
      <c r="A174" s="10" t="s">
        <v>150</v>
      </c>
      <c r="H174" t="s">
        <v>50</v>
      </c>
      <c r="J174" t="str">
        <f t="shared" si="14"/>
        <v>Templates</v>
      </c>
    </row>
    <row r="175" spans="1:10">
      <c r="A175" s="10" t="s">
        <v>185</v>
      </c>
      <c r="H175" t="s">
        <v>50</v>
      </c>
      <c r="J175" t="str">
        <f t="shared" si="14"/>
        <v>Template Library</v>
      </c>
    </row>
    <row r="176" spans="1:10">
      <c r="A176" s="10" t="s">
        <v>186</v>
      </c>
      <c r="H176" t="s">
        <v>50</v>
      </c>
      <c r="J176" t="str">
        <f t="shared" si="14"/>
        <v>Category</v>
      </c>
    </row>
    <row r="177" spans="1:10">
      <c r="A177" s="10" t="s">
        <v>187</v>
      </c>
      <c r="H177" t="s">
        <v>50</v>
      </c>
      <c r="J177" t="str">
        <f t="shared" si="14"/>
        <v>Industry</v>
      </c>
    </row>
    <row r="178" spans="1:10">
      <c r="A178" s="10" t="s">
        <v>188</v>
      </c>
      <c r="H178" t="s">
        <v>50</v>
      </c>
      <c r="J178" t="str">
        <f t="shared" si="14"/>
        <v>Weighting</v>
      </c>
    </row>
    <row r="179" spans="1:10">
      <c r="A179" s="10" t="s">
        <v>189</v>
      </c>
      <c r="H179" t="s">
        <v>50</v>
      </c>
      <c r="J179" t="str">
        <f t="shared" si="14"/>
        <v>Formula Based</v>
      </c>
    </row>
    <row r="180" spans="1:10">
      <c r="A180" s="10" t="s">
        <v>190</v>
      </c>
      <c r="H180" t="s">
        <v>50</v>
      </c>
      <c r="J180" t="str">
        <f t="shared" si="14"/>
        <v>Optimization Backed</v>
      </c>
    </row>
    <row r="181" spans="1:10">
      <c r="A181" s="10" t="s">
        <v>191</v>
      </c>
      <c r="H181" t="s">
        <v>50</v>
      </c>
      <c r="J181" t="str">
        <f t="shared" si="14"/>
        <v>Multi-Party</v>
      </c>
    </row>
    <row r="182" spans="1:10">
      <c r="A182" s="10" t="s">
        <v>192</v>
      </c>
      <c r="H182" t="s">
        <v>50</v>
      </c>
      <c r="J182" t="str">
        <f t="shared" si="14"/>
        <v>Advanced Scoring</v>
      </c>
    </row>
    <row r="183" spans="1:10">
      <c r="A183" s="10" t="s">
        <v>193</v>
      </c>
      <c r="H183" t="s">
        <v>50</v>
      </c>
      <c r="J183" t="str">
        <f t="shared" si="14"/>
        <v>Documentary Support</v>
      </c>
    </row>
    <row r="184" spans="1:10" ht="32">
      <c r="A184" s="10" t="s">
        <v>194</v>
      </c>
      <c r="H184" t="s">
        <v>50</v>
      </c>
      <c r="J184" t="str">
        <f t="shared" si="14"/>
        <v>Unlimited Attachments w/ Revision Control</v>
      </c>
    </row>
    <row r="185" spans="1:10">
      <c r="A185" s="10" t="s">
        <v>195</v>
      </c>
      <c r="H185" t="s">
        <v>50</v>
      </c>
      <c r="J185" t="str">
        <f t="shared" si="14"/>
        <v>Bulk Upload and Association</v>
      </c>
    </row>
    <row r="186" spans="1:10">
      <c r="A186" s="10" t="s">
        <v>196</v>
      </c>
      <c r="H186" t="s">
        <v>50</v>
      </c>
      <c r="J186" t="str">
        <f t="shared" si="14"/>
        <v>CAD/CAM Visualization Support</v>
      </c>
    </row>
    <row r="187" spans="1:10">
      <c r="A187" s="10" t="s">
        <v>135</v>
      </c>
      <c r="H187" t="s">
        <v>50</v>
      </c>
      <c r="J187" t="str">
        <f t="shared" si="14"/>
        <v>Collaboration</v>
      </c>
    </row>
    <row r="188" spans="1:10">
      <c r="A188" s="10" t="s">
        <v>197</v>
      </c>
      <c r="H188" t="s">
        <v>50</v>
      </c>
      <c r="J188" t="str">
        <f t="shared" si="14"/>
        <v>Real Time Messaging</v>
      </c>
    </row>
    <row r="189" spans="1:10">
      <c r="A189" s="10" t="s">
        <v>198</v>
      </c>
      <c r="H189" t="s">
        <v>50</v>
      </c>
      <c r="J189" t="str">
        <f t="shared" si="14"/>
        <v>Virtual Whiteboard Integration</v>
      </c>
    </row>
    <row r="190" spans="1:10">
      <c r="A190" s="10" t="s">
        <v>199</v>
      </c>
      <c r="H190" t="s">
        <v>50</v>
      </c>
      <c r="J190" t="str">
        <f t="shared" si="14"/>
        <v>Other Party View Support</v>
      </c>
    </row>
    <row r="191" spans="1:10">
      <c r="A191" s="10" t="s">
        <v>200</v>
      </c>
      <c r="H191" t="s">
        <v>50</v>
      </c>
      <c r="J191" t="str">
        <f t="shared" si="14"/>
        <v>Screen Sharing</v>
      </c>
    </row>
    <row r="192" spans="1:10">
      <c r="A192" s="10" t="s">
        <v>148</v>
      </c>
      <c r="H192" t="s">
        <v>50</v>
      </c>
      <c r="J192" t="str">
        <f t="shared" si="14"/>
        <v>Bill of Material Support</v>
      </c>
    </row>
    <row r="193" spans="1:10">
      <c r="A193" s="10" t="s">
        <v>168</v>
      </c>
      <c r="H193" t="s">
        <v>50</v>
      </c>
      <c r="J193" t="str">
        <f t="shared" si="14"/>
        <v>ERP Integration</v>
      </c>
    </row>
    <row r="194" spans="1:10">
      <c r="A194" s="10" t="s">
        <v>201</v>
      </c>
      <c r="H194" t="s">
        <v>50</v>
      </c>
      <c r="J194" t="str">
        <f t="shared" si="14"/>
        <v>Multi-SKU Mapping</v>
      </c>
    </row>
    <row r="195" spans="1:10">
      <c r="A195" s="10" t="s">
        <v>202</v>
      </c>
      <c r="H195" t="s">
        <v>50</v>
      </c>
      <c r="J195" t="str">
        <f t="shared" si="14"/>
        <v>Automatic Supplier Identification</v>
      </c>
    </row>
    <row r="196" spans="1:10">
      <c r="A196" s="10" t="s">
        <v>203</v>
      </c>
      <c r="H196" t="s">
        <v>50</v>
      </c>
      <c r="J196" t="str">
        <f t="shared" si="14"/>
        <v>from SIM</v>
      </c>
    </row>
    <row r="197" spans="1:10">
      <c r="A197" s="10" t="s">
        <v>204</v>
      </c>
      <c r="H197" t="s">
        <v>50</v>
      </c>
      <c r="J197" t="str">
        <f t="shared" si="14"/>
        <v>from Supplier Network</v>
      </c>
    </row>
    <row r="198" spans="1:10">
      <c r="A198" s="10" t="s">
        <v>205</v>
      </c>
      <c r="H198" t="s">
        <v>50</v>
      </c>
      <c r="J198" t="str">
        <f t="shared" si="14"/>
        <v>Bidding</v>
      </c>
    </row>
    <row r="199" spans="1:10">
      <c r="A199" s="10" t="s">
        <v>206</v>
      </c>
      <c r="H199" t="s">
        <v>50</v>
      </c>
      <c r="J199" t="str">
        <f t="shared" si="14"/>
        <v>Open, Blind, or Closed</v>
      </c>
    </row>
    <row r="200" spans="1:10">
      <c r="A200" s="10" t="s">
        <v>207</v>
      </c>
      <c r="H200" t="s">
        <v>50</v>
      </c>
      <c r="J200" t="str">
        <f t="shared" si="14"/>
        <v>Multiple Offers Per Line</v>
      </c>
    </row>
    <row r="201" spans="1:10">
      <c r="A201" s="11" t="s">
        <v>208</v>
      </c>
      <c r="G201" t="s">
        <v>50</v>
      </c>
      <c r="J201" t="str">
        <f t="shared" si="14"/>
        <v/>
      </c>
    </row>
    <row r="202" spans="1:10">
      <c r="A202" s="10" t="s">
        <v>209</v>
      </c>
      <c r="H202" t="s">
        <v>50</v>
      </c>
      <c r="J202" t="str">
        <f t="shared" si="14"/>
        <v>Multi-Party Support</v>
      </c>
    </row>
    <row r="203" spans="1:10">
      <c r="A203" s="10" t="s">
        <v>210</v>
      </c>
      <c r="H203" t="s">
        <v>50</v>
      </c>
      <c r="J203" t="str">
        <f t="shared" si="14"/>
        <v>Each Field Single or Multi-User Rank</v>
      </c>
    </row>
    <row r="204" spans="1:10">
      <c r="A204" s="10" t="s">
        <v>211</v>
      </c>
      <c r="H204" t="s">
        <v>50</v>
      </c>
      <c r="J204" t="str">
        <f t="shared" si="14"/>
        <v>Side-by-Side Comparison</v>
      </c>
    </row>
    <row r="205" spans="1:10">
      <c r="A205" s="11" t="s">
        <v>212</v>
      </c>
      <c r="G205" t="s">
        <v>50</v>
      </c>
      <c r="J205" t="str">
        <f t="shared" si="14"/>
        <v/>
      </c>
    </row>
    <row r="206" spans="1:10">
      <c r="A206" s="10" t="s">
        <v>213</v>
      </c>
      <c r="H206" t="s">
        <v>50</v>
      </c>
      <c r="J206" t="str">
        <f t="shared" si="14"/>
        <v>Pause, Edit, Re-Issue</v>
      </c>
    </row>
    <row r="207" spans="1:10">
      <c r="A207" s="10" t="s">
        <v>214</v>
      </c>
      <c r="H207" t="s">
        <v>50</v>
      </c>
      <c r="J207" t="str">
        <f t="shared" si="14"/>
        <v>Multi-Round Support</v>
      </c>
    </row>
    <row r="208" spans="1:10">
      <c r="A208" s="11" t="s">
        <v>215</v>
      </c>
      <c r="G208" t="s">
        <v>50</v>
      </c>
    </row>
    <row r="209" spans="1:10">
      <c r="A209" s="10" t="s">
        <v>216</v>
      </c>
      <c r="H209" t="s">
        <v>50</v>
      </c>
      <c r="J209" t="str">
        <f t="shared" ref="J209:J218" si="15">IF(AND(F209="",G209=""),A209,"")</f>
        <v>Out-of-the-Box Auction Formats</v>
      </c>
    </row>
    <row r="210" spans="1:10">
      <c r="A210" s="10" t="s">
        <v>217</v>
      </c>
      <c r="H210" t="s">
        <v>50</v>
      </c>
      <c r="J210" t="str">
        <f t="shared" si="15"/>
        <v>Configuration Options</v>
      </c>
    </row>
    <row r="211" spans="1:10">
      <c r="A211" s="10" t="s">
        <v>218</v>
      </c>
      <c r="H211" t="s">
        <v>50</v>
      </c>
      <c r="J211" t="str">
        <f t="shared" si="15"/>
        <v>Saved Market Baskets</v>
      </c>
    </row>
    <row r="212" spans="1:10">
      <c r="A212" s="10" t="s">
        <v>219</v>
      </c>
      <c r="H212" t="s">
        <v>50</v>
      </c>
      <c r="J212" t="str">
        <f t="shared" si="15"/>
        <v>RFX Integration</v>
      </c>
    </row>
    <row r="213" spans="1:10">
      <c r="A213" s="10" t="s">
        <v>220</v>
      </c>
      <c r="H213" t="s">
        <v>50</v>
      </c>
      <c r="J213" t="str">
        <f t="shared" si="15"/>
        <v>Real-Time Control Mechanisms</v>
      </c>
    </row>
    <row r="214" spans="1:10">
      <c r="A214" s="10" t="s">
        <v>221</v>
      </c>
      <c r="H214" t="s">
        <v>50</v>
      </c>
      <c r="J214" t="str">
        <f t="shared" si="15"/>
        <v>Proxy Support</v>
      </c>
    </row>
    <row r="215" spans="1:10">
      <c r="A215" s="10" t="s">
        <v>222</v>
      </c>
      <c r="H215" t="s">
        <v>50</v>
      </c>
      <c r="J215" t="str">
        <f t="shared" si="15"/>
        <v>Messaging</v>
      </c>
    </row>
    <row r="216" spans="1:10">
      <c r="A216" s="10" t="s">
        <v>223</v>
      </c>
      <c r="H216" t="s">
        <v>50</v>
      </c>
      <c r="J216" t="str">
        <f t="shared" si="15"/>
        <v>Real-Time Monitoring</v>
      </c>
    </row>
    <row r="217" spans="1:10">
      <c r="A217" s="10" t="s">
        <v>224</v>
      </c>
      <c r="H217" t="s">
        <v>50</v>
      </c>
      <c r="J217" t="str">
        <f t="shared" si="15"/>
        <v>Integrated Optimization Capability</v>
      </c>
    </row>
    <row r="218" spans="1:10" ht="32">
      <c r="A218" s="10" t="s">
        <v>225</v>
      </c>
      <c r="H218" t="s">
        <v>50</v>
      </c>
      <c r="J218" t="str">
        <f t="shared" si="15"/>
        <v>Automatic Supplier Identification/Invitation</v>
      </c>
    </row>
    <row r="219" spans="1:10">
      <c r="A219" s="9" t="s">
        <v>20</v>
      </c>
      <c r="F219" t="s">
        <v>50</v>
      </c>
    </row>
    <row r="220" spans="1:10">
      <c r="A220" s="10" t="s">
        <v>226</v>
      </c>
      <c r="J220" t="str">
        <f t="shared" ref="J220:J235" si="16">IF(AND(F220="",G220=""),A220,"")</f>
        <v>Solid Mathematical Foundations</v>
      </c>
    </row>
    <row r="221" spans="1:10">
      <c r="A221" s="10" t="s">
        <v>227</v>
      </c>
      <c r="J221" t="str">
        <f t="shared" si="16"/>
        <v>True Cost Modelling</v>
      </c>
    </row>
    <row r="222" spans="1:10">
      <c r="A222" s="10" t="s">
        <v>228</v>
      </c>
      <c r="J222" t="str">
        <f t="shared" si="16"/>
        <v>Capacity</v>
      </c>
    </row>
    <row r="223" spans="1:10">
      <c r="A223" s="10" t="s">
        <v>229</v>
      </c>
      <c r="J223" t="str">
        <f t="shared" si="16"/>
        <v>Allocation</v>
      </c>
    </row>
    <row r="224" spans="1:10">
      <c r="A224" s="10" t="s">
        <v>230</v>
      </c>
      <c r="J224" t="str">
        <f t="shared" si="16"/>
        <v>Risk Mitigation</v>
      </c>
    </row>
    <row r="225" spans="1:10">
      <c r="A225" s="10" t="s">
        <v>231</v>
      </c>
      <c r="J225" t="str">
        <f t="shared" si="16"/>
        <v>Qualitative</v>
      </c>
    </row>
    <row r="226" spans="1:10">
      <c r="A226" s="10" t="s">
        <v>232</v>
      </c>
      <c r="J226" t="str">
        <f t="shared" si="16"/>
        <v>What If? Capability</v>
      </c>
    </row>
    <row r="227" spans="1:10">
      <c r="A227" s="10" t="s">
        <v>233</v>
      </c>
      <c r="J227" t="str">
        <f t="shared" si="16"/>
        <v>Out-of-the-Box</v>
      </c>
    </row>
    <row r="228" spans="1:10">
      <c r="A228" s="10" t="s">
        <v>234</v>
      </c>
      <c r="J228" t="str">
        <f t="shared" si="16"/>
        <v>Constraint Relaxation</v>
      </c>
    </row>
    <row r="229" spans="1:10">
      <c r="A229" s="10" t="s">
        <v>235</v>
      </c>
      <c r="J229" t="str">
        <f t="shared" si="16"/>
        <v>Scenario Comparison</v>
      </c>
    </row>
    <row r="230" spans="1:10">
      <c r="A230" s="10" t="s">
        <v>236</v>
      </c>
      <c r="J230" t="str">
        <f t="shared" si="16"/>
        <v>Sensitivity Analysis</v>
      </c>
    </row>
    <row r="231" spans="1:10">
      <c r="A231" s="10" t="s">
        <v>237</v>
      </c>
      <c r="J231" t="str">
        <f t="shared" si="16"/>
        <v>Hard Constraint Identification</v>
      </c>
    </row>
    <row r="232" spans="1:10">
      <c r="A232" s="10" t="s">
        <v>238</v>
      </c>
      <c r="J232" t="str">
        <f t="shared" si="16"/>
        <v>Soft Constraint Support</v>
      </c>
    </row>
    <row r="233" spans="1:10">
      <c r="A233" s="10" t="s">
        <v>239</v>
      </c>
      <c r="J233" t="str">
        <f t="shared" si="16"/>
        <v>Model Templates</v>
      </c>
    </row>
    <row r="234" spans="1:10">
      <c r="A234" s="10" t="s">
        <v>240</v>
      </c>
      <c r="J234" t="str">
        <f t="shared" si="16"/>
        <v>RFX/Auction Integration</v>
      </c>
    </row>
    <row r="235" spans="1:10">
      <c r="A235" s="10" t="s">
        <v>241</v>
      </c>
      <c r="J235" t="str">
        <f t="shared" si="16"/>
        <v>Scalability</v>
      </c>
    </row>
    <row r="236" spans="1:10">
      <c r="A236" s="9" t="s">
        <v>242</v>
      </c>
      <c r="F236" t="s">
        <v>50</v>
      </c>
    </row>
    <row r="237" spans="1:10">
      <c r="A237" s="10" t="s">
        <v>243</v>
      </c>
      <c r="J237" t="str">
        <f t="shared" ref="J237:J245" si="17">IF(AND(F237="",G237=""),A237,"")</f>
        <v>Negotiation Management</v>
      </c>
    </row>
    <row r="238" spans="1:10">
      <c r="A238" s="10" t="s">
        <v>244</v>
      </c>
      <c r="J238" t="str">
        <f t="shared" si="17"/>
        <v>Auditable, Unalterable, Messaging</v>
      </c>
    </row>
    <row r="239" spans="1:10">
      <c r="A239" s="10" t="s">
        <v>245</v>
      </c>
      <c r="J239" t="str">
        <f t="shared" si="17"/>
        <v>Contract Creation</v>
      </c>
    </row>
    <row r="240" spans="1:10">
      <c r="A240" s="10" t="s">
        <v>150</v>
      </c>
      <c r="J240" t="str">
        <f t="shared" si="17"/>
        <v>Templates</v>
      </c>
    </row>
    <row r="241" spans="1:10">
      <c r="A241" s="10" t="s">
        <v>246</v>
      </c>
      <c r="J241" t="str">
        <f t="shared" si="17"/>
        <v>Clauses</v>
      </c>
    </row>
    <row r="242" spans="1:10">
      <c r="A242" s="10" t="s">
        <v>247</v>
      </c>
      <c r="J242" t="str">
        <f t="shared" si="17"/>
        <v>Attachments</v>
      </c>
    </row>
    <row r="243" spans="1:10">
      <c r="A243" s="10" t="s">
        <v>248</v>
      </c>
      <c r="J243" t="str">
        <f t="shared" si="17"/>
        <v>Word Integration</v>
      </c>
    </row>
    <row r="244" spans="1:10">
      <c r="A244" s="10" t="s">
        <v>249</v>
      </c>
      <c r="J244" t="str">
        <f t="shared" si="17"/>
        <v>Version Control</v>
      </c>
    </row>
    <row r="245" spans="1:10">
      <c r="A245" s="10" t="s">
        <v>250</v>
      </c>
      <c r="J245" t="str">
        <f t="shared" si="17"/>
        <v>e-Signatures</v>
      </c>
    </row>
    <row r="246" spans="1:10">
      <c r="A246" s="9" t="s">
        <v>251</v>
      </c>
      <c r="F246" t="s">
        <v>50</v>
      </c>
    </row>
    <row r="247" spans="1:10">
      <c r="A247" s="11" t="s">
        <v>252</v>
      </c>
      <c r="G247" t="s">
        <v>50</v>
      </c>
    </row>
    <row r="248" spans="1:10">
      <c r="A248" s="10" t="s">
        <v>253</v>
      </c>
      <c r="H248" t="s">
        <v>50</v>
      </c>
      <c r="J248" t="str">
        <f t="shared" ref="J248:J257" si="18">IF(AND(F248="",G248=""),A248,"")</f>
        <v>ETL for Key Metrics</v>
      </c>
    </row>
    <row r="249" spans="1:10">
      <c r="A249" s="10" t="s">
        <v>254</v>
      </c>
      <c r="H249" t="s">
        <v>50</v>
      </c>
      <c r="J249" t="str">
        <f t="shared" si="18"/>
        <v>RFX/Survey Integration</v>
      </c>
    </row>
    <row r="250" spans="1:10">
      <c r="A250" s="10" t="s">
        <v>163</v>
      </c>
      <c r="H250" t="s">
        <v>50</v>
      </c>
      <c r="J250" t="str">
        <f t="shared" si="18"/>
        <v>Scorecards</v>
      </c>
    </row>
    <row r="251" spans="1:10">
      <c r="A251" s="10" t="s">
        <v>233</v>
      </c>
      <c r="H251" t="s">
        <v>50</v>
      </c>
      <c r="J251" t="str">
        <f t="shared" si="18"/>
        <v>Out-of-the-Box</v>
      </c>
    </row>
    <row r="252" spans="1:10">
      <c r="A252" s="10" t="s">
        <v>256</v>
      </c>
      <c r="H252" t="s">
        <v>50</v>
      </c>
      <c r="J252" t="str">
        <f t="shared" si="18"/>
        <v>KPIs</v>
      </c>
    </row>
    <row r="253" spans="1:10">
      <c r="A253" s="10" t="s">
        <v>255</v>
      </c>
      <c r="H253" t="s">
        <v>50</v>
      </c>
      <c r="J253" t="str">
        <f t="shared" si="18"/>
        <v>Out of the Box</v>
      </c>
    </row>
    <row r="254" spans="1:10">
      <c r="A254" s="10" t="s">
        <v>257</v>
      </c>
      <c r="H254" t="s">
        <v>50</v>
      </c>
      <c r="J254" t="str">
        <f t="shared" si="18"/>
        <v>Advanced Definition</v>
      </c>
    </row>
    <row r="255" spans="1:10">
      <c r="A255" s="10" t="s">
        <v>258</v>
      </c>
      <c r="H255" t="s">
        <v>50</v>
      </c>
      <c r="J255" t="str">
        <f t="shared" si="18"/>
        <v>Budget Management</v>
      </c>
    </row>
    <row r="256" spans="1:10">
      <c r="A256" s="10" t="s">
        <v>259</v>
      </c>
      <c r="H256" t="s">
        <v>50</v>
      </c>
      <c r="J256" t="str">
        <f t="shared" si="18"/>
        <v>Finance Integration</v>
      </c>
    </row>
    <row r="257" spans="1:10">
      <c r="A257" s="10" t="s">
        <v>260</v>
      </c>
      <c r="H257" t="s">
        <v>50</v>
      </c>
      <c r="J257" t="str">
        <f t="shared" si="18"/>
        <v>Demand Management</v>
      </c>
    </row>
    <row r="258" spans="1:10">
      <c r="A258" s="11" t="s">
        <v>261</v>
      </c>
      <c r="G258" t="s">
        <v>50</v>
      </c>
    </row>
    <row r="259" spans="1:10">
      <c r="A259" s="10" t="s">
        <v>262</v>
      </c>
      <c r="H259" t="s">
        <v>50</v>
      </c>
      <c r="J259" t="str">
        <f>IF(AND(F259="",G259=""),A259,"")</f>
        <v>3rd Party Data Integration</v>
      </c>
    </row>
    <row r="260" spans="1:10" ht="32">
      <c r="A260" s="10" t="s">
        <v>263</v>
      </c>
      <c r="H260" t="s">
        <v>50</v>
      </c>
      <c r="J260" t="str">
        <f>IF(AND(F260="",G260=""),A260,"")</f>
        <v>Scorecard Based Alerts/Notifications</v>
      </c>
    </row>
    <row r="261" spans="1:10">
      <c r="A261" s="10" t="s">
        <v>264</v>
      </c>
      <c r="H261" t="s">
        <v>50</v>
      </c>
      <c r="J261" t="str">
        <f>IF(AND(F261="",G261=""),A261,"")</f>
        <v>Trend Detection</v>
      </c>
    </row>
    <row r="262" spans="1:10">
      <c r="A262" s="10" t="s">
        <v>265</v>
      </c>
      <c r="H262" t="s">
        <v>50</v>
      </c>
      <c r="J262" t="str">
        <f>IF(AND(F262="",G262=""),A262,"")</f>
        <v>Event Monitoring</v>
      </c>
    </row>
    <row r="263" spans="1:10">
      <c r="A263" s="11" t="s">
        <v>266</v>
      </c>
      <c r="G263" t="s">
        <v>50</v>
      </c>
    </row>
    <row r="264" spans="1:10">
      <c r="A264" s="10" t="s">
        <v>267</v>
      </c>
      <c r="H264" t="s">
        <v>50</v>
      </c>
      <c r="J264" t="str">
        <f>IF(AND(F264="",G264=""),A264,"")</f>
        <v>Issue Identification</v>
      </c>
    </row>
    <row r="265" spans="1:10">
      <c r="A265" s="10" t="s">
        <v>268</v>
      </c>
      <c r="H265" t="s">
        <v>50</v>
      </c>
      <c r="J265" t="str">
        <f>IF(AND(F265="",G265=""),A265,"")</f>
        <v>Collaborative Plan Creation</v>
      </c>
    </row>
    <row r="266" spans="1:10">
      <c r="A266" s="10" t="s">
        <v>269</v>
      </c>
      <c r="H266" t="s">
        <v>50</v>
      </c>
      <c r="J266" t="str">
        <f>IF(AND(F266="",G266=""),A266,"")</f>
        <v>Milestone Tracking</v>
      </c>
    </row>
    <row r="267" spans="1:10">
      <c r="A267" s="9" t="s">
        <v>11</v>
      </c>
      <c r="F267" t="s">
        <v>50</v>
      </c>
    </row>
    <row r="268" spans="1:10">
      <c r="A268" s="10" t="s">
        <v>270</v>
      </c>
      <c r="J268" t="str">
        <f t="shared" ref="J268:J281" si="19">IF(AND(F268="",G268=""),A268,"")</f>
        <v>Core Tech Platform</v>
      </c>
    </row>
    <row r="269" spans="1:10">
      <c r="A269" s="10" t="s">
        <v>271</v>
      </c>
      <c r="J269" t="str">
        <f t="shared" si="19"/>
        <v>SaaS/Cloud</v>
      </c>
    </row>
    <row r="270" spans="1:10">
      <c r="A270" s="10" t="s">
        <v>47</v>
      </c>
      <c r="J270" t="str">
        <f t="shared" si="19"/>
        <v>On-Premise Software Option</v>
      </c>
    </row>
    <row r="271" spans="1:10">
      <c r="A271" s="10" t="s">
        <v>272</v>
      </c>
      <c r="J271" t="str">
        <f t="shared" si="19"/>
        <v>Mobile Support</v>
      </c>
    </row>
    <row r="272" spans="1:10">
      <c r="A272" s="10" t="s">
        <v>273</v>
      </c>
      <c r="J272" t="str">
        <f t="shared" si="19"/>
        <v>Block Chain Support</v>
      </c>
    </row>
    <row r="273" spans="1:10">
      <c r="A273" s="10" t="s">
        <v>274</v>
      </c>
      <c r="J273" t="str">
        <f t="shared" si="19"/>
        <v>OCR Support</v>
      </c>
    </row>
    <row r="274" spans="1:10">
      <c r="A274" s="10" t="s">
        <v>112</v>
      </c>
      <c r="J274" t="str">
        <f t="shared" si="19"/>
        <v>Intelligent Apps</v>
      </c>
    </row>
    <row r="275" spans="1:10">
      <c r="A275" s="10" t="s">
        <v>275</v>
      </c>
      <c r="J275" t="str">
        <f t="shared" si="19"/>
        <v>Personalization Technology</v>
      </c>
    </row>
    <row r="276" spans="1:10">
      <c r="A276" s="10" t="s">
        <v>115</v>
      </c>
      <c r="J276" t="str">
        <f t="shared" si="19"/>
        <v>Open Standards</v>
      </c>
    </row>
    <row r="277" spans="1:10">
      <c r="A277" s="10" t="s">
        <v>116</v>
      </c>
      <c r="J277" t="str">
        <f t="shared" si="19"/>
        <v>Integrations</v>
      </c>
    </row>
    <row r="278" spans="1:10">
      <c r="A278" s="10" t="s">
        <v>276</v>
      </c>
      <c r="J278" t="str">
        <f t="shared" si="19"/>
        <v>ERP</v>
      </c>
    </row>
    <row r="279" spans="1:10">
      <c r="A279" s="10" t="s">
        <v>277</v>
      </c>
      <c r="J279" t="str">
        <f t="shared" si="19"/>
        <v>P2P</v>
      </c>
    </row>
    <row r="280" spans="1:10">
      <c r="A280" s="10" t="s">
        <v>278</v>
      </c>
      <c r="J280" t="str">
        <f t="shared" si="19"/>
        <v>Other</v>
      </c>
    </row>
    <row r="281" spans="1:10" ht="32">
      <c r="A281" s="10" t="s">
        <v>279</v>
      </c>
      <c r="J281" t="str">
        <f t="shared" si="19"/>
        <v>Fine Grained Role/Data/Action Based Security</v>
      </c>
    </row>
    <row r="282" spans="1:10">
      <c r="A282" s="9" t="s">
        <v>10</v>
      </c>
      <c r="F282" t="s">
        <v>50</v>
      </c>
    </row>
    <row r="283" spans="1:10">
      <c r="A283" s="10" t="s">
        <v>280</v>
      </c>
      <c r="J283" t="str">
        <f t="shared" ref="J283:J294" si="20">IF(AND(F283="",G283=""),A283,"")</f>
        <v>Sourcing Process</v>
      </c>
    </row>
    <row r="284" spans="1:10">
      <c r="A284" s="10" t="s">
        <v>281</v>
      </c>
      <c r="J284" t="str">
        <f t="shared" si="20"/>
        <v>Workflow</v>
      </c>
    </row>
    <row r="285" spans="1:10">
      <c r="A285" s="10" t="s">
        <v>282</v>
      </c>
      <c r="J285" t="str">
        <f t="shared" si="20"/>
        <v>Configurable Rules</v>
      </c>
    </row>
    <row r="286" spans="1:10">
      <c r="A286" s="10" t="s">
        <v>283</v>
      </c>
      <c r="J286" t="str">
        <f t="shared" si="20"/>
        <v>Team Management</v>
      </c>
    </row>
    <row r="287" spans="1:10">
      <c r="A287" s="10" t="s">
        <v>284</v>
      </c>
      <c r="J287" t="str">
        <f t="shared" si="20"/>
        <v>Project Integration</v>
      </c>
    </row>
    <row r="288" spans="1:10">
      <c r="A288" s="10" t="s">
        <v>285</v>
      </c>
      <c r="J288" t="str">
        <f t="shared" si="20"/>
        <v>Globalization</v>
      </c>
    </row>
    <row r="289" spans="1:10">
      <c r="A289" s="10" t="s">
        <v>286</v>
      </c>
      <c r="J289" t="str">
        <f t="shared" si="20"/>
        <v>Multi-Currency</v>
      </c>
    </row>
    <row r="290" spans="1:10">
      <c r="A290" s="10" t="s">
        <v>287</v>
      </c>
      <c r="J290" t="str">
        <f t="shared" si="20"/>
        <v>Multi-Lingual</v>
      </c>
    </row>
    <row r="291" spans="1:10">
      <c r="A291" s="10" t="s">
        <v>288</v>
      </c>
      <c r="J291" t="str">
        <f t="shared" si="20"/>
        <v>Business User Configuration</v>
      </c>
    </row>
    <row r="292" spans="1:10">
      <c r="A292" s="10" t="s">
        <v>289</v>
      </c>
      <c r="J292" t="str">
        <f t="shared" si="20"/>
        <v>Manager Configuration</v>
      </c>
    </row>
    <row r="293" spans="1:10">
      <c r="A293" s="10" t="s">
        <v>290</v>
      </c>
      <c r="J293" t="str">
        <f t="shared" si="20"/>
        <v>Stakeholder Configuration</v>
      </c>
    </row>
    <row r="294" spans="1:10">
      <c r="A294" s="10" t="s">
        <v>105</v>
      </c>
      <c r="J294" t="str">
        <f t="shared" si="20"/>
        <v>Vendor/Consultant Configuration</v>
      </c>
    </row>
    <row r="295" spans="1:10">
      <c r="A295" s="9" t="s">
        <v>12</v>
      </c>
      <c r="F295" t="s">
        <v>50</v>
      </c>
    </row>
    <row r="296" spans="1:10">
      <c r="A296" s="10" t="s">
        <v>117</v>
      </c>
      <c r="J296" t="str">
        <f t="shared" ref="J296:J302" si="21">IF(AND(F296="",G296=""),A296,"")</f>
        <v>Data Management Services</v>
      </c>
    </row>
    <row r="297" spans="1:10">
      <c r="A297" s="10" t="s">
        <v>291</v>
      </c>
      <c r="J297" t="str">
        <f t="shared" si="21"/>
        <v>Category Specific Consulting</v>
      </c>
    </row>
    <row r="298" spans="1:10">
      <c r="A298" s="10" t="s">
        <v>292</v>
      </c>
      <c r="J298" t="str">
        <f t="shared" si="21"/>
        <v>Spend/Opportunity Analysis</v>
      </c>
    </row>
    <row r="299" spans="1:10" ht="32">
      <c r="A299" s="10" t="s">
        <v>293</v>
      </c>
      <c r="J299" t="str">
        <f t="shared" si="21"/>
        <v>Sourcing Events (managed RFX/Auction/Optimization)</v>
      </c>
    </row>
    <row r="300" spans="1:10">
      <c r="A300" s="10" t="s">
        <v>294</v>
      </c>
      <c r="J300" t="str">
        <f t="shared" si="21"/>
        <v>Risk Identification and Management</v>
      </c>
    </row>
    <row r="301" spans="1:10">
      <c r="A301" s="10" t="s">
        <v>295</v>
      </c>
      <c r="J301" t="str">
        <f t="shared" si="21"/>
        <v>Managed Services</v>
      </c>
    </row>
    <row r="302" spans="1:10">
      <c r="A302" s="10" t="s">
        <v>119</v>
      </c>
      <c r="J302" t="str">
        <f t="shared" si="21"/>
        <v>Consulting / Change Management</v>
      </c>
    </row>
    <row r="303" spans="1:10">
      <c r="A303" s="12" t="s">
        <v>23</v>
      </c>
      <c r="F303" t="s">
        <v>50</v>
      </c>
    </row>
    <row r="304" spans="1:10">
      <c r="A304" s="13" t="s">
        <v>298</v>
      </c>
    </row>
    <row r="305" spans="1:10">
      <c r="A305" s="13" t="s">
        <v>299</v>
      </c>
      <c r="J305" t="str">
        <f>IF(AND(F305="",G305=""),A305,"")</f>
        <v>Schema Support (general)</v>
      </c>
    </row>
    <row r="306" spans="1:10">
      <c r="A306" s="13" t="s">
        <v>300</v>
      </c>
      <c r="J306" t="str">
        <f>IF(AND(F306="",G306=""),A306,"")</f>
        <v>Schema Support (out-of-the-box)</v>
      </c>
    </row>
    <row r="307" spans="1:10">
      <c r="A307" s="13" t="s">
        <v>301</v>
      </c>
      <c r="J307" t="str">
        <f>IF(AND(F307="",G307=""),A307,"")</f>
        <v>Schema Support (custom)</v>
      </c>
    </row>
    <row r="308" spans="1:10">
      <c r="A308" s="13" t="s">
        <v>302</v>
      </c>
      <c r="J308" t="str">
        <f>IF(AND(F308="",G308=""),A308,"")</f>
        <v>Schema Support (multi)</v>
      </c>
    </row>
    <row r="309" spans="1:10">
      <c r="A309" s="13"/>
    </row>
    <row r="310" spans="1:10">
      <c r="A310" s="13" t="s">
        <v>303</v>
      </c>
      <c r="J310" t="str">
        <f>IF(AND(F310="",G310=""),A310,"")</f>
        <v>Cube Capability</v>
      </c>
    </row>
    <row r="311" spans="1:10">
      <c r="A311" s="13"/>
    </row>
    <row r="312" spans="1:10">
      <c r="A312" s="13" t="s">
        <v>304</v>
      </c>
      <c r="J312" t="str">
        <f>IF(AND(F312="",G312=""),A312,"")</f>
        <v>Familying/Normalization</v>
      </c>
    </row>
    <row r="313" spans="1:10">
      <c r="A313" s="13"/>
    </row>
    <row r="314" spans="1:10">
      <c r="A314" s="13" t="s">
        <v>149</v>
      </c>
      <c r="J314" t="str">
        <f>IF(AND(F314="",G314=""),A314,"")</f>
        <v>Formula Support</v>
      </c>
    </row>
    <row r="315" spans="1:10">
      <c r="A315" s="13"/>
    </row>
    <row r="316" spans="1:10">
      <c r="A316" s="13" t="s">
        <v>305</v>
      </c>
      <c r="J316" t="str">
        <f>IF(AND(F316="",G316=""),A316,"")</f>
        <v>Rule/Knowledge Model Editor</v>
      </c>
    </row>
    <row r="317" spans="1:10">
      <c r="A317" s="13"/>
    </row>
    <row r="318" spans="1:10">
      <c r="A318" s="13"/>
    </row>
    <row r="319" spans="1:10">
      <c r="A319" s="12" t="s">
        <v>24</v>
      </c>
      <c r="F319" t="s">
        <v>50</v>
      </c>
    </row>
    <row r="320" spans="1:10">
      <c r="A320" s="13"/>
    </row>
    <row r="321" spans="1:10">
      <c r="A321" s="13" t="s">
        <v>306</v>
      </c>
      <c r="J321" t="str">
        <f>IF(AND(F321="",G321=""),A321,"")</f>
        <v>ETL (Extract / Transform / Load)</v>
      </c>
    </row>
    <row r="322" spans="1:10">
      <c r="A322" s="13" t="s">
        <v>307</v>
      </c>
      <c r="J322" t="str">
        <f>IF(AND(F322="",G322=""),A322,"")</f>
        <v>Out of the box ERP integrations</v>
      </c>
    </row>
    <row r="323" spans="1:10">
      <c r="A323" s="13" t="s">
        <v>308</v>
      </c>
      <c r="J323" t="str">
        <f>IF(AND(F323="",G323=""),A323,"")</f>
        <v>Source-to-Pay Integrations (out-of-the-box )</v>
      </c>
    </row>
    <row r="324" spans="1:10">
      <c r="A324" s="13" t="s">
        <v>309</v>
      </c>
      <c r="J324" t="str">
        <f>IF(AND(F324="",G324=""),A324,"")</f>
        <v>Rules Set</v>
      </c>
    </row>
    <row r="325" spans="1:10">
      <c r="A325" s="13" t="s">
        <v>310</v>
      </c>
      <c r="J325" t="str">
        <f>IF(AND(F325="",G325=""),A325,"")</f>
        <v>Rule Groups (including reg-ex / formula support)</v>
      </c>
    </row>
    <row r="326" spans="1:10">
      <c r="A326" s="13"/>
    </row>
    <row r="327" spans="1:10">
      <c r="A327" s="13" t="s">
        <v>311</v>
      </c>
      <c r="J327" t="str">
        <f>IF(AND(F327="",G327=""),A327,"")</f>
        <v>Enrich</v>
      </c>
    </row>
    <row r="328" spans="1:10">
      <c r="A328" s="13" t="s">
        <v>312</v>
      </c>
      <c r="J328" t="str">
        <f>IF(AND(F328="",G328=""),A328,"")</f>
        <v xml:space="preserve">3rd Party Data Feed Integrations (out-of-the-box) </v>
      </c>
    </row>
    <row r="329" spans="1:10">
      <c r="A329" s="13" t="s">
        <v>313</v>
      </c>
      <c r="J329" t="str">
        <f>IF(AND(F329="",G329=""),A329,"")</f>
        <v>Multi-Source Cross-Joins</v>
      </c>
    </row>
    <row r="330" spans="1:10">
      <c r="A330" s="13"/>
    </row>
    <row r="331" spans="1:10">
      <c r="A331" s="13" t="s">
        <v>314</v>
      </c>
      <c r="J331" t="str">
        <f t="shared" ref="J331:J337" si="22">IF(AND(F331="",G331=""),A331,"")</f>
        <v>Classification / Categorization</v>
      </c>
    </row>
    <row r="332" spans="1:10">
      <c r="A332" s="13" t="s">
        <v>315</v>
      </c>
      <c r="J332" t="str">
        <f t="shared" si="22"/>
        <v>Manual Support</v>
      </c>
    </row>
    <row r="333" spans="1:10">
      <c r="A333" s="13" t="s">
        <v>316</v>
      </c>
      <c r="J333" t="str">
        <f t="shared" si="22"/>
        <v>Arbitrary Dimensions in Rules</v>
      </c>
    </row>
    <row r="334" spans="1:10">
      <c r="A334" s="13" t="s">
        <v>135</v>
      </c>
      <c r="J334" t="str">
        <f t="shared" si="22"/>
        <v>Collaboration</v>
      </c>
    </row>
    <row r="335" spans="1:10">
      <c r="A335" s="13" t="s">
        <v>317</v>
      </c>
      <c r="J335" t="str">
        <f t="shared" si="22"/>
        <v>Query Capability</v>
      </c>
    </row>
    <row r="336" spans="1:10">
      <c r="A336" s="13" t="s">
        <v>177</v>
      </c>
      <c r="J336" t="str">
        <f t="shared" si="22"/>
        <v>AI</v>
      </c>
    </row>
    <row r="337" spans="1:10">
      <c r="A337" s="13" t="s">
        <v>318</v>
      </c>
      <c r="J337" t="str">
        <f t="shared" si="22"/>
        <v>Hybrid</v>
      </c>
    </row>
    <row r="338" spans="1:10">
      <c r="A338" s="13"/>
    </row>
    <row r="339" spans="1:10">
      <c r="A339" s="13" t="s">
        <v>319</v>
      </c>
      <c r="J339" t="str">
        <f>IF(AND(F339="",G339=""),A339,"")</f>
        <v>Data Integrity Analytics</v>
      </c>
    </row>
    <row r="340" spans="1:10">
      <c r="A340" s="13" t="s">
        <v>320</v>
      </c>
      <c r="J340" t="str">
        <f>IF(AND(F340="",G340=""),A340,"")</f>
        <v>Outlier Identification</v>
      </c>
    </row>
    <row r="341" spans="1:10">
      <c r="A341" s="13" t="s">
        <v>321</v>
      </c>
      <c r="J341" t="str">
        <f>IF(AND(F341="",G341=""),A341,"")</f>
        <v>Statistical Analysis / Frequency Mapping</v>
      </c>
    </row>
    <row r="342" spans="1:10">
      <c r="A342" s="13" t="s">
        <v>322</v>
      </c>
      <c r="J342" t="str">
        <f>IF(AND(F342="",G342=""),A342,"")</f>
        <v>Sliding Time-Scale</v>
      </c>
    </row>
    <row r="343" spans="1:10">
      <c r="A343" s="13"/>
    </row>
    <row r="344" spans="1:10">
      <c r="A344" s="13" t="s">
        <v>323</v>
      </c>
      <c r="J344" t="str">
        <f>IF(AND(F344="",G344=""),A344,"")</f>
        <v>VAR: Visualize, Analyze, Report</v>
      </c>
    </row>
    <row r="345" spans="1:10">
      <c r="A345" s="13" t="s">
        <v>324</v>
      </c>
      <c r="J345" t="str">
        <f>IF(AND(F345="",G345=""),A345,"")</f>
        <v>Filter Support</v>
      </c>
    </row>
    <row r="346" spans="1:10">
      <c r="A346" s="13" t="s">
        <v>325</v>
      </c>
      <c r="J346" t="str">
        <f>IF(AND(F346="",G346=""),A346,"")</f>
        <v>Formula / Derived Dimension Support</v>
      </c>
    </row>
    <row r="347" spans="1:10">
      <c r="A347" s="13" t="s">
        <v>326</v>
      </c>
      <c r="J347" t="str">
        <f>IF(AND(F347="",G347=""),A347,"")</f>
        <v>Extent of Charting / Graphing Capability</v>
      </c>
    </row>
    <row r="348" spans="1:10">
      <c r="A348" s="13" t="s">
        <v>327</v>
      </c>
      <c r="J348" t="str">
        <f>IF(AND(F348="",G348=""),A348,"")</f>
        <v>Extent of Report Definition / Building</v>
      </c>
    </row>
    <row r="349" spans="1:10">
      <c r="A349" s="13"/>
    </row>
    <row r="350" spans="1:10">
      <c r="A350" s="13" t="s">
        <v>328</v>
      </c>
      <c r="J350" t="str">
        <f>IF(AND(F350="",G350=""),A350,"")</f>
        <v>ETD (extract / transform / dump)</v>
      </c>
    </row>
    <row r="351" spans="1:10">
      <c r="A351" s="13" t="s">
        <v>329</v>
      </c>
      <c r="J351" t="str">
        <f>IF(AND(F351="",G351=""),A351,"")</f>
        <v>Flat File / FTP</v>
      </c>
    </row>
    <row r="352" spans="1:10">
      <c r="A352" s="13" t="s">
        <v>330</v>
      </c>
      <c r="J352" t="str">
        <f>IF(AND(F352="",G352=""),A352,"")</f>
        <v>Real-Time Integration</v>
      </c>
    </row>
    <row r="353" spans="1:10">
      <c r="A353" s="13"/>
    </row>
    <row r="354" spans="1:10">
      <c r="A354" s="13"/>
    </row>
    <row r="355" spans="1:10">
      <c r="A355" s="12" t="s">
        <v>25</v>
      </c>
      <c r="F355" t="s">
        <v>50</v>
      </c>
    </row>
    <row r="356" spans="1:10">
      <c r="A356" s="14" t="s">
        <v>331</v>
      </c>
      <c r="G356" t="s">
        <v>50</v>
      </c>
    </row>
    <row r="357" spans="1:10">
      <c r="A357" s="13" t="s">
        <v>332</v>
      </c>
      <c r="H357" t="s">
        <v>50</v>
      </c>
      <c r="J357" t="str">
        <f>IF(AND(F357="",G357=""),A357,"")</f>
        <v>Advanced Analytics</v>
      </c>
    </row>
    <row r="358" spans="1:10">
      <c r="A358" s="13"/>
    </row>
    <row r="359" spans="1:10">
      <c r="A359" s="13"/>
    </row>
    <row r="360" spans="1:10">
      <c r="A360" s="13"/>
    </row>
    <row r="361" spans="1:10">
      <c r="A361" s="13" t="s">
        <v>333</v>
      </c>
      <c r="H361" t="s">
        <v>50</v>
      </c>
      <c r="J361" t="str">
        <f>IF(AND(F361="",G361=""),A361,"")</f>
        <v>Predictive Analytics</v>
      </c>
    </row>
    <row r="362" spans="1:10">
      <c r="A362" s="13"/>
    </row>
    <row r="363" spans="1:10">
      <c r="A363" s="13" t="s">
        <v>143</v>
      </c>
      <c r="H363" t="s">
        <v>50</v>
      </c>
      <c r="J363" t="str">
        <f>IF(AND(F363="",G363=""),A363,"")</f>
        <v>Prescriptive Analytics</v>
      </c>
    </row>
    <row r="364" spans="1:10">
      <c r="A364" s="13"/>
    </row>
    <row r="365" spans="1:10">
      <c r="A365" s="13" t="s">
        <v>334</v>
      </c>
      <c r="H365" t="s">
        <v>50</v>
      </c>
      <c r="J365" t="str">
        <f>IF(AND(F365="",G365=""),A365,"")</f>
        <v>Permissive Analytics</v>
      </c>
    </row>
    <row r="366" spans="1:10">
      <c r="A366" s="13"/>
    </row>
    <row r="367" spans="1:10">
      <c r="A367" s="13" t="s">
        <v>163</v>
      </c>
      <c r="H367" t="s">
        <v>50</v>
      </c>
      <c r="J367" t="str">
        <f>IF(AND(F367="",G367=""),A367,"")</f>
        <v>Scorecards</v>
      </c>
    </row>
    <row r="368" spans="1:10">
      <c r="A368" s="13" t="s">
        <v>185</v>
      </c>
      <c r="H368" t="s">
        <v>50</v>
      </c>
      <c r="J368" t="str">
        <f>IF(AND(F368="",G368=""),A368,"")</f>
        <v>Template Library</v>
      </c>
    </row>
    <row r="369" spans="1:10">
      <c r="A369" s="13" t="s">
        <v>256</v>
      </c>
      <c r="H369" t="s">
        <v>50</v>
      </c>
      <c r="J369" t="str">
        <f>IF(AND(F369="",G369=""),A369,"")</f>
        <v>KPIs</v>
      </c>
    </row>
    <row r="370" spans="1:10">
      <c r="A370" s="13" t="s">
        <v>335</v>
      </c>
      <c r="H370" t="s">
        <v>50</v>
      </c>
      <c r="J370" t="str">
        <f>IF(AND(F370="",G370=""),A370,"")</f>
        <v>KPI Library</v>
      </c>
    </row>
    <row r="371" spans="1:10">
      <c r="A371" s="13"/>
      <c r="J371" s="30"/>
    </row>
    <row r="372" spans="1:10">
      <c r="A372" s="13" t="s">
        <v>147</v>
      </c>
      <c r="H372" t="s">
        <v>50</v>
      </c>
      <c r="J372" t="str">
        <f>IF(AND(F372="",G372=""),A372,"")</f>
        <v>Benchmarks</v>
      </c>
    </row>
    <row r="373" spans="1:10">
      <c r="A373" s="13" t="s">
        <v>336</v>
      </c>
      <c r="H373" t="s">
        <v>50</v>
      </c>
      <c r="J373" t="str">
        <f>IF(AND(F373="",G373=""),A373,"")</f>
        <v>Internal</v>
      </c>
    </row>
    <row r="374" spans="1:10">
      <c r="A374" s="13" t="s">
        <v>337</v>
      </c>
      <c r="H374" t="s">
        <v>50</v>
      </c>
      <c r="J374" t="str">
        <f>IF(AND(F374="",G374=""),A374,"")</f>
        <v>External</v>
      </c>
    </row>
    <row r="375" spans="1:10">
      <c r="A375" s="13"/>
    </row>
    <row r="376" spans="1:10">
      <c r="A376" s="13" t="s">
        <v>338</v>
      </c>
      <c r="H376" t="s">
        <v>50</v>
      </c>
      <c r="J376" t="str">
        <f>IF(AND(F376="",G376=""),A376,"")</f>
        <v>Cost Avoidance / Opportunity Program Management</v>
      </c>
    </row>
    <row r="377" spans="1:10">
      <c r="A377" s="14" t="s">
        <v>255</v>
      </c>
      <c r="G377" t="s">
        <v>50</v>
      </c>
    </row>
    <row r="378" spans="1:10">
      <c r="A378" s="13" t="s">
        <v>339</v>
      </c>
      <c r="H378" t="s">
        <v>50</v>
      </c>
      <c r="J378" t="str">
        <f>IF(AND(F378="",G378=""),A378,"")</f>
        <v>Out-of-the-Box Sourcing Support</v>
      </c>
    </row>
    <row r="379" spans="1:10">
      <c r="A379" s="13"/>
    </row>
    <row r="380" spans="1:10">
      <c r="A380" s="13" t="s">
        <v>340</v>
      </c>
      <c r="H380" t="s">
        <v>50</v>
      </c>
      <c r="J380" t="str">
        <f>IF(AND(F380="",G380=""),A380,"")</f>
        <v>Out-of-the-Box Procurement Support</v>
      </c>
    </row>
    <row r="381" spans="1:10">
      <c r="A381" s="13"/>
    </row>
    <row r="382" spans="1:10">
      <c r="A382" s="13" t="s">
        <v>341</v>
      </c>
      <c r="H382" t="s">
        <v>50</v>
      </c>
      <c r="J382" t="str">
        <f>IF(AND(F382="",G382=""),A382,"")</f>
        <v>Out-of-the-Box Travel &amp; Expense Support</v>
      </c>
    </row>
    <row r="383" spans="1:10">
      <c r="A383" s="13"/>
    </row>
    <row r="384" spans="1:10">
      <c r="A384" s="13" t="s">
        <v>342</v>
      </c>
      <c r="H384" t="s">
        <v>50</v>
      </c>
      <c r="J384" t="str">
        <f>IF(AND(F384="",G384=""),A384,"")</f>
        <v>Out-of-the-Box Finance Support</v>
      </c>
    </row>
    <row r="385" spans="1:10">
      <c r="A385" s="13"/>
    </row>
    <row r="386" spans="1:10">
      <c r="A386" s="13" t="s">
        <v>343</v>
      </c>
      <c r="H386" t="s">
        <v>50</v>
      </c>
      <c r="J386" t="str">
        <f>IF(AND(F386="",G386=""),A386,"")</f>
        <v>Out-of-the-Box Product (Lifecycle) Support</v>
      </c>
    </row>
    <row r="387" spans="1:10">
      <c r="A387" s="13"/>
    </row>
    <row r="388" spans="1:10">
      <c r="A388" s="13" t="s">
        <v>344</v>
      </c>
      <c r="H388" t="s">
        <v>50</v>
      </c>
      <c r="J388" t="str">
        <f>IF(AND(F388="",G388=""),A388,"")</f>
        <v>Out-of-the-Box Services Support</v>
      </c>
    </row>
    <row r="389" spans="1:10">
      <c r="A389" s="13"/>
    </row>
    <row r="390" spans="1:10">
      <c r="A390" s="13" t="s">
        <v>345</v>
      </c>
      <c r="H390" t="s">
        <v>50</v>
      </c>
      <c r="J390" t="str">
        <f>IF(AND(F390="",G390=""),A390,"")</f>
        <v>Out-of-the-Box CWM Support</v>
      </c>
    </row>
    <row r="391" spans="1:10">
      <c r="A391" s="13"/>
    </row>
    <row r="392" spans="1:10">
      <c r="A392" s="13" t="s">
        <v>346</v>
      </c>
      <c r="H392" t="s">
        <v>50</v>
      </c>
      <c r="J392" t="str">
        <f>IF(AND(F392="",G392=""),A392,"")</f>
        <v>Out-of-the-Box Logistics Support</v>
      </c>
    </row>
    <row r="393" spans="1:10">
      <c r="A393" s="13"/>
    </row>
    <row r="394" spans="1:10">
      <c r="A394" s="13" t="s">
        <v>347</v>
      </c>
      <c r="H394" t="s">
        <v>50</v>
      </c>
      <c r="J394" t="str">
        <f>IF(AND(F394="",G394=""),A394,"")</f>
        <v>Out-of-the-Box Inventory/MRO Support</v>
      </c>
    </row>
    <row r="395" spans="1:10">
      <c r="A395" s="13"/>
    </row>
    <row r="396" spans="1:10">
      <c r="A396" s="13" t="s">
        <v>348</v>
      </c>
      <c r="H396" t="s">
        <v>50</v>
      </c>
      <c r="J396" t="str">
        <f>IF(AND(F396="",G396=""),A396,"")</f>
        <v>Out-of-the-Box Supplier Analysis Support</v>
      </c>
    </row>
    <row r="397" spans="1:10">
      <c r="A397" s="13"/>
    </row>
    <row r="398" spans="1:10">
      <c r="A398" s="13" t="s">
        <v>349</v>
      </c>
      <c r="H398" t="s">
        <v>50</v>
      </c>
      <c r="J398" t="str">
        <f>IF(AND(F398="",G398=""),A398,"")</f>
        <v>Out-of-the-Box Risk Management Support</v>
      </c>
    </row>
    <row r="399" spans="1:10">
      <c r="A399" s="13"/>
    </row>
    <row r="400" spans="1:10">
      <c r="A400" s="13"/>
    </row>
    <row r="401" spans="1:10">
      <c r="A401" s="12" t="s">
        <v>11</v>
      </c>
      <c r="F401" t="s">
        <v>50</v>
      </c>
    </row>
    <row r="402" spans="1:10">
      <c r="A402" s="13"/>
    </row>
    <row r="403" spans="1:10">
      <c r="A403" s="13" t="s">
        <v>350</v>
      </c>
      <c r="J403" t="str">
        <f>IF(AND(F403="",G403=""),A403,"")</f>
        <v>3rd Party BI Integration</v>
      </c>
    </row>
    <row r="404" spans="1:10">
      <c r="A404" s="13"/>
    </row>
    <row r="405" spans="1:10">
      <c r="A405" s="13" t="s">
        <v>351</v>
      </c>
      <c r="J405" t="str">
        <f>IF(AND(F405="",G405=""),A405,"")</f>
        <v>SaaS / Cloud</v>
      </c>
    </row>
    <row r="406" spans="1:10">
      <c r="A406" s="13"/>
    </row>
    <row r="407" spans="1:10">
      <c r="A407" s="13" t="s">
        <v>47</v>
      </c>
      <c r="J407" t="str">
        <f>IF(AND(F407="",G407=""),A407,"")</f>
        <v>On-Premise Software Option</v>
      </c>
    </row>
    <row r="408" spans="1:10">
      <c r="A408" s="13"/>
    </row>
    <row r="409" spans="1:10">
      <c r="A409" s="13" t="s">
        <v>352</v>
      </c>
      <c r="J409" t="str">
        <f>IF(AND(F409="",G409=""),A409,"")</f>
        <v>AI / Machine Learning</v>
      </c>
    </row>
    <row r="410" spans="1:10">
      <c r="A410" s="13"/>
    </row>
    <row r="411" spans="1:10">
      <c r="A411" s="13" t="s">
        <v>353</v>
      </c>
      <c r="J411" t="str">
        <f>IF(AND(F411="",G411=""),A411,"")</f>
        <v>Big Data</v>
      </c>
    </row>
    <row r="412" spans="1:10">
      <c r="A412" s="13"/>
    </row>
    <row r="413" spans="1:10">
      <c r="A413" s="13" t="s">
        <v>354</v>
      </c>
      <c r="J413" t="str">
        <f>IF(AND(F413="",G413=""),A413,"")</f>
        <v>Block Chain</v>
      </c>
    </row>
    <row r="414" spans="1:10">
      <c r="A414" s="13"/>
    </row>
    <row r="415" spans="1:10">
      <c r="A415" s="13" t="s">
        <v>355</v>
      </c>
      <c r="J415" t="str">
        <f>IF(AND(F415="",G415=""),A415,"")</f>
        <v>Mobile</v>
      </c>
    </row>
    <row r="416" spans="1:10">
      <c r="A416" s="13"/>
    </row>
    <row r="417" spans="1:10">
      <c r="A417" s="13" t="s">
        <v>356</v>
      </c>
      <c r="J417" t="str">
        <f>IF(AND(F417="",G417=""),A417,"")</f>
        <v>Semi-Structured / Unstructured Data</v>
      </c>
    </row>
    <row r="418" spans="1:10">
      <c r="A418" s="13"/>
    </row>
    <row r="419" spans="1:10">
      <c r="A419" s="13" t="s">
        <v>357</v>
      </c>
      <c r="J419" t="str">
        <f>IF(AND(F419="",G419=""),A419,"")</f>
        <v>OCR</v>
      </c>
    </row>
    <row r="420" spans="1:10">
      <c r="A420" s="13"/>
    </row>
    <row r="421" spans="1:10">
      <c r="A421" s="13" t="s">
        <v>112</v>
      </c>
      <c r="J421" t="str">
        <f>IF(AND(F421="",G421=""),A421,"")</f>
        <v>Intelligent Apps</v>
      </c>
    </row>
    <row r="422" spans="1:10">
      <c r="A422" s="13"/>
    </row>
    <row r="423" spans="1:10">
      <c r="A423" s="13" t="s">
        <v>114</v>
      </c>
      <c r="J423" t="str">
        <f>IF(AND(F423="",G423=""),A423,"")</f>
        <v>Personalization</v>
      </c>
    </row>
    <row r="424" spans="1:10">
      <c r="A424" s="13"/>
    </row>
    <row r="425" spans="1:10">
      <c r="A425" s="13" t="s">
        <v>115</v>
      </c>
      <c r="J425" t="str">
        <f>IF(AND(F425="",G425=""),A425,"")</f>
        <v>Open Standards</v>
      </c>
    </row>
    <row r="426" spans="1:10">
      <c r="A426" s="13"/>
    </row>
    <row r="427" spans="1:10">
      <c r="A427" s="13" t="s">
        <v>116</v>
      </c>
      <c r="J427" t="str">
        <f>IF(AND(F427="",G427=""),A427,"")</f>
        <v>Integrations</v>
      </c>
    </row>
    <row r="428" spans="1:10">
      <c r="A428" s="13"/>
    </row>
    <row r="429" spans="1:10">
      <c r="A429" s="13" t="s">
        <v>358</v>
      </c>
      <c r="J429" t="str">
        <f>IF(AND(F429="",G429=""),A429,"")</f>
        <v>Fine-Grained Role/Data/Action Based Security</v>
      </c>
    </row>
    <row r="430" spans="1:10">
      <c r="A430" s="13"/>
    </row>
    <row r="431" spans="1:10">
      <c r="A431" s="13"/>
    </row>
    <row r="432" spans="1:10">
      <c r="A432" s="12" t="s">
        <v>10</v>
      </c>
      <c r="F432" t="s">
        <v>50</v>
      </c>
    </row>
    <row r="433" spans="1:10">
      <c r="A433" s="13"/>
    </row>
    <row r="434" spans="1:10">
      <c r="A434" s="13" t="s">
        <v>359</v>
      </c>
      <c r="J434" t="str">
        <f>IF(AND(F434="",G434=""),A434,"")</f>
        <v>Company/Function/Group Configuration</v>
      </c>
    </row>
    <row r="435" spans="1:10">
      <c r="A435" s="13"/>
    </row>
    <row r="436" spans="1:10">
      <c r="A436" s="13" t="s">
        <v>360</v>
      </c>
      <c r="J436" t="str">
        <f>IF(AND(F436="",G436=""),A436,"")</f>
        <v>Private vs. Public Workspaces</v>
      </c>
    </row>
    <row r="437" spans="1:10">
      <c r="A437" s="13"/>
    </row>
    <row r="438" spans="1:10">
      <c r="A438" s="13" t="s">
        <v>361</v>
      </c>
      <c r="J438" t="str">
        <f>IF(AND(F438="",G438=""),A438,"")</f>
        <v>Built in vs. External Visualization</v>
      </c>
    </row>
    <row r="439" spans="1:10">
      <c r="A439" s="13"/>
    </row>
    <row r="440" spans="1:10">
      <c r="A440" s="13" t="s">
        <v>362</v>
      </c>
      <c r="J440" t="str">
        <f>IF(AND(F440="",G440=""),A440,"")</f>
        <v>Business Rules / Workflow</v>
      </c>
    </row>
    <row r="441" spans="1:10">
      <c r="A441" s="13"/>
    </row>
    <row r="442" spans="1:10">
      <c r="A442" s="13" t="s">
        <v>285</v>
      </c>
      <c r="J442" t="str">
        <f>IF(AND(F442="",G442=""),A442,"")</f>
        <v>Globalization</v>
      </c>
    </row>
    <row r="443" spans="1:10">
      <c r="A443" s="13" t="s">
        <v>286</v>
      </c>
      <c r="J443" t="str">
        <f>IF(AND(F443="",G443=""),A443,"")</f>
        <v>Multi-Currency</v>
      </c>
    </row>
    <row r="444" spans="1:10">
      <c r="A444" s="13" t="s">
        <v>363</v>
      </c>
      <c r="J444" t="str">
        <f>IF(AND(F444="",G444=""),A444,"")</f>
        <v>Multi-Language</v>
      </c>
    </row>
    <row r="445" spans="1:10">
      <c r="A445" s="13"/>
    </row>
    <row r="446" spans="1:10">
      <c r="A446" s="13"/>
    </row>
    <row r="447" spans="1:10">
      <c r="A447" s="12" t="s">
        <v>12</v>
      </c>
      <c r="F447" t="s">
        <v>50</v>
      </c>
    </row>
    <row r="448" spans="1:10">
      <c r="A448" s="13"/>
    </row>
    <row r="449" spans="1:10">
      <c r="A449" s="13" t="s">
        <v>364</v>
      </c>
      <c r="J449" t="str">
        <f>IF(AND(F449="",G449=""),A449,"")</f>
        <v>Implementation / Integration / Maintenance Services</v>
      </c>
    </row>
    <row r="450" spans="1:10">
      <c r="A450" s="13"/>
    </row>
    <row r="451" spans="1:10">
      <c r="A451" s="13" t="s">
        <v>365</v>
      </c>
      <c r="J451" t="str">
        <f>IF(AND(F451="",G451=""),A451,"")</f>
        <v>ETL / Cleansing / Classification / Categorization</v>
      </c>
    </row>
    <row r="452" spans="1:10">
      <c r="A452" s="13"/>
    </row>
    <row r="453" spans="1:10">
      <c r="A453" s="13" t="s">
        <v>117</v>
      </c>
      <c r="J453" t="str">
        <f>IF(AND(F453="",G453=""),A453,"")</f>
        <v>Data Management Services</v>
      </c>
    </row>
    <row r="454" spans="1:10">
      <c r="A454" s="13"/>
    </row>
    <row r="455" spans="1:10">
      <c r="A455" s="13" t="s">
        <v>366</v>
      </c>
      <c r="J455" t="str">
        <f>IF(AND(F455="",G455=""),A455,"")</f>
        <v>Analytics / Data Science</v>
      </c>
    </row>
    <row r="456" spans="1:10">
      <c r="A456" s="13"/>
    </row>
    <row r="457" spans="1:10">
      <c r="A457" s="13" t="s">
        <v>367</v>
      </c>
      <c r="J457" t="str">
        <f>IF(AND(F457="",G457=""),A457,"")</f>
        <v>Category / Project Management</v>
      </c>
    </row>
    <row r="458" spans="1:10">
      <c r="A458" s="13"/>
    </row>
    <row r="459" spans="1:10">
      <c r="A459" s="13" t="s">
        <v>119</v>
      </c>
      <c r="J459" t="str">
        <f>IF(AND(F459="",G459=""),A459,"")</f>
        <v>Consulting / Change Management</v>
      </c>
    </row>
    <row r="460" spans="1:10">
      <c r="A460" s="13"/>
    </row>
    <row r="461" spans="1:10">
      <c r="A461" s="12" t="s">
        <v>26</v>
      </c>
      <c r="F461" t="s">
        <v>50</v>
      </c>
    </row>
    <row r="462" spans="1:10">
      <c r="A462" s="13" t="s">
        <v>368</v>
      </c>
      <c r="J462" t="str">
        <f t="shared" ref="J462:J471" si="23">IF(AND(F462="",G462=""),A462,"")</f>
        <v>Schema Support</v>
      </c>
    </row>
    <row r="463" spans="1:10">
      <c r="A463" s="13" t="s">
        <v>369</v>
      </c>
      <c r="J463" t="str">
        <f t="shared" si="23"/>
        <v>Supplier Information (industry codes)</v>
      </c>
    </row>
    <row r="464" spans="1:10">
      <c r="A464" s="13" t="s">
        <v>370</v>
      </c>
      <c r="J464" t="str">
        <f t="shared" si="23"/>
        <v>Product / Service Information (e.g., UNSPSC)</v>
      </c>
    </row>
    <row r="465" spans="1:10">
      <c r="A465" s="13" t="s">
        <v>371</v>
      </c>
      <c r="J465" t="str">
        <f t="shared" si="23"/>
        <v>Multi-Source Integration</v>
      </c>
    </row>
    <row r="466" spans="1:10">
      <c r="A466" s="13" t="s">
        <v>372</v>
      </c>
      <c r="J466" t="str">
        <f t="shared" si="23"/>
        <v>Multi-Source Federation Control</v>
      </c>
    </row>
    <row r="467" spans="1:10">
      <c r="A467" s="13" t="s">
        <v>373</v>
      </c>
      <c r="J467" t="str">
        <f t="shared" si="23"/>
        <v>Fine Grained Access / Permission Control</v>
      </c>
    </row>
    <row r="468" spans="1:10">
      <c r="A468" s="13" t="s">
        <v>374</v>
      </c>
      <c r="J468" t="str">
        <f t="shared" si="23"/>
        <v>Form Support</v>
      </c>
    </row>
    <row r="469" spans="1:10">
      <c r="A469" s="13" t="s">
        <v>375</v>
      </c>
      <c r="J469" t="str">
        <f t="shared" si="23"/>
        <v>Data Archival and Auditing</v>
      </c>
    </row>
    <row r="470" spans="1:10">
      <c r="A470" s="13" t="s">
        <v>376</v>
      </c>
      <c r="J470" t="str">
        <f t="shared" si="23"/>
        <v>Document and Version Management</v>
      </c>
    </row>
    <row r="471" spans="1:10">
      <c r="A471" s="13" t="s">
        <v>377</v>
      </c>
      <c r="J471" t="str">
        <f t="shared" si="23"/>
        <v>OCR and Automatic (meta-data) Indexing</v>
      </c>
    </row>
    <row r="472" spans="1:10">
      <c r="A472" s="13" t="s">
        <v>298</v>
      </c>
    </row>
    <row r="473" spans="1:10">
      <c r="A473" s="13" t="s">
        <v>298</v>
      </c>
    </row>
    <row r="474" spans="1:10">
      <c r="A474" s="12" t="s">
        <v>27</v>
      </c>
      <c r="F474" t="s">
        <v>50</v>
      </c>
    </row>
    <row r="475" spans="1:10">
      <c r="A475" s="13" t="s">
        <v>378</v>
      </c>
      <c r="J475" t="str">
        <f>IF(AND(F475="",G475=""),A475,"")</f>
        <v>Supplier (Pre) Registration</v>
      </c>
    </row>
    <row r="476" spans="1:10">
      <c r="A476" s="13" t="s">
        <v>165</v>
      </c>
      <c r="J476" t="str">
        <f>IF(AND(F476="",G476=""),A476,"")</f>
        <v>Invitation Management</v>
      </c>
    </row>
    <row r="477" spans="1:10">
      <c r="A477" s="13" t="s">
        <v>379</v>
      </c>
      <c r="J477" t="str">
        <f>IF(AND(F477="",G477=""),A477,"")</f>
        <v>Self-Registration</v>
      </c>
    </row>
    <row r="478" spans="1:10">
      <c r="A478" s="13" t="s">
        <v>380</v>
      </c>
      <c r="J478" t="str">
        <f>IF(AND(F478="",G478=""),A478,"")</f>
        <v>SIC Support</v>
      </c>
    </row>
    <row r="479" spans="1:10">
      <c r="A479" s="13"/>
    </row>
    <row r="480" spans="1:10">
      <c r="A480" s="13" t="s">
        <v>381</v>
      </c>
      <c r="J480" t="str">
        <f>IF(AND(F480="",G480=""),A480,"")</f>
        <v>Supplier On-Boarding</v>
      </c>
    </row>
    <row r="481" spans="1:10">
      <c r="A481" s="13" t="s">
        <v>382</v>
      </c>
      <c r="J481" t="str">
        <f>IF(AND(F481="",G481=""),A481,"")</f>
        <v>On-Boarding Templates</v>
      </c>
    </row>
    <row r="482" spans="1:10">
      <c r="A482" s="13" t="s">
        <v>383</v>
      </c>
      <c r="J482" t="str">
        <f>IF(AND(F482="",G482=""),A482,"")</f>
        <v>Integrated Off-Line Reach Out (phone, fax)</v>
      </c>
    </row>
    <row r="483" spans="1:10">
      <c r="A483" s="13" t="s">
        <v>384</v>
      </c>
      <c r="J483" t="str">
        <f>IF(AND(F483="",G483=""),A483,"")</f>
        <v>Supplier Network Integration</v>
      </c>
    </row>
    <row r="484" spans="1:10">
      <c r="A484" s="13" t="s">
        <v>385</v>
      </c>
      <c r="J484" t="str">
        <f>IF(AND(F484="",G484=""),A484,"")</f>
        <v>Auto Data Verification</v>
      </c>
    </row>
    <row r="485" spans="1:10">
      <c r="A485" s="13"/>
    </row>
    <row r="486" spans="1:10">
      <c r="A486" s="13" t="s">
        <v>386</v>
      </c>
      <c r="J486" t="str">
        <f>IF(AND(F486="",G486=""),A486,"")</f>
        <v>Supplier Qualification</v>
      </c>
    </row>
    <row r="487" spans="1:10">
      <c r="A487" s="13" t="s">
        <v>387</v>
      </c>
      <c r="J487" t="str">
        <f>IF(AND(F487="",G487=""),A487,"")</f>
        <v>Data Collection / Branching Workflow</v>
      </c>
    </row>
    <row r="488" spans="1:10">
      <c r="A488" s="13" t="s">
        <v>388</v>
      </c>
      <c r="J488" t="str">
        <f>IF(AND(F488="",G488=""),A488,"")</f>
        <v>Delegation of Control</v>
      </c>
    </row>
    <row r="489" spans="1:10">
      <c r="A489" s="13" t="s">
        <v>389</v>
      </c>
      <c r="J489" t="str">
        <f>IF(AND(F489="",G489=""),A489,"")</f>
        <v>Auto Document Identification &amp; Verification</v>
      </c>
    </row>
    <row r="490" spans="1:10">
      <c r="A490" s="13"/>
    </row>
    <row r="491" spans="1:10">
      <c r="A491" s="13" t="s">
        <v>390</v>
      </c>
      <c r="J491" t="str">
        <f t="shared" ref="J491:J498" si="24">IF(AND(F491="",G491=""),A491,"")</f>
        <v>Supplier Data Management</v>
      </c>
    </row>
    <row r="492" spans="1:10">
      <c r="A492" s="13" t="s">
        <v>391</v>
      </c>
      <c r="J492" t="str">
        <f t="shared" si="24"/>
        <v>Entity Core Data</v>
      </c>
    </row>
    <row r="493" spans="1:10">
      <c r="A493" s="13" t="s">
        <v>392</v>
      </c>
      <c r="J493" t="str">
        <f t="shared" si="24"/>
        <v>Financial Data / ACH Integration</v>
      </c>
    </row>
    <row r="494" spans="1:10">
      <c r="A494" s="13" t="s">
        <v>393</v>
      </c>
      <c r="J494" t="str">
        <f t="shared" si="24"/>
        <v>3P Data Integration (scores/audits/etc.)</v>
      </c>
    </row>
    <row r="495" spans="1:10">
      <c r="A495" s="13" t="s">
        <v>394</v>
      </c>
      <c r="J495" t="str">
        <f t="shared" si="24"/>
        <v>Document Management</v>
      </c>
    </row>
    <row r="496" spans="1:10">
      <c r="A496" s="13" t="s">
        <v>395</v>
      </c>
      <c r="J496" t="str">
        <f t="shared" si="24"/>
        <v>Certificates / Insurance</v>
      </c>
    </row>
    <row r="497" spans="1:10">
      <c r="A497" s="13" t="s">
        <v>396</v>
      </c>
      <c r="J497" t="str">
        <f t="shared" si="24"/>
        <v>Product / Catalog Management</v>
      </c>
    </row>
    <row r="498" spans="1:10">
      <c r="A498" s="13" t="s">
        <v>397</v>
      </c>
      <c r="J498" t="str">
        <f t="shared" si="24"/>
        <v>Ratings, Approvals, &amp; Preferred Suppliers</v>
      </c>
    </row>
    <row r="499" spans="1:10">
      <c r="A499" s="13"/>
    </row>
    <row r="500" spans="1:10">
      <c r="A500" s="13" t="s">
        <v>398</v>
      </c>
      <c r="J500" t="str">
        <f>IF(AND(F500="",G500=""),A500,"")</f>
        <v>Supplier Collaboration</v>
      </c>
    </row>
    <row r="501" spans="1:10">
      <c r="A501" s="13" t="s">
        <v>399</v>
      </c>
      <c r="J501" t="str">
        <f>IF(AND(F501="",G501=""),A501,"")</f>
        <v>Real-Time Messaging</v>
      </c>
    </row>
    <row r="502" spans="1:10">
      <c r="A502" s="13" t="s">
        <v>400</v>
      </c>
      <c r="J502" t="str">
        <f>IF(AND(F502="",G502=""),A502,"")</f>
        <v>Collaborative Whiteboards</v>
      </c>
    </row>
    <row r="503" spans="1:10">
      <c r="A503" s="13"/>
    </row>
    <row r="504" spans="1:10">
      <c r="A504" s="13"/>
    </row>
    <row r="505" spans="1:10">
      <c r="A505" s="12" t="s">
        <v>28</v>
      </c>
      <c r="F505" t="s">
        <v>50</v>
      </c>
    </row>
    <row r="506" spans="1:10">
      <c r="A506" s="15" t="s">
        <v>401</v>
      </c>
      <c r="G506" t="s">
        <v>50</v>
      </c>
    </row>
    <row r="507" spans="1:10">
      <c r="A507" s="16" t="s">
        <v>402</v>
      </c>
      <c r="G507" t="s">
        <v>50</v>
      </c>
    </row>
    <row r="508" spans="1:10">
      <c r="A508" s="17" t="s">
        <v>403</v>
      </c>
      <c r="G508" t="s">
        <v>50</v>
      </c>
    </row>
    <row r="509" spans="1:10">
      <c r="A509" s="18" t="s">
        <v>404</v>
      </c>
      <c r="G509" t="s">
        <v>50</v>
      </c>
    </row>
    <row r="510" spans="1:10">
      <c r="A510" s="19" t="s">
        <v>298</v>
      </c>
    </row>
    <row r="511" spans="1:10">
      <c r="A511" s="20" t="s">
        <v>405</v>
      </c>
      <c r="H511" t="s">
        <v>50</v>
      </c>
      <c r="J511" t="str">
        <f>IF(AND(F511="",G511=""),A511,"")</f>
        <v>Conflict Resolution CAR/CAM</v>
      </c>
    </row>
    <row r="512" spans="1:10">
      <c r="A512" s="20" t="s">
        <v>406</v>
      </c>
      <c r="H512" t="s">
        <v>50</v>
      </c>
      <c r="J512" t="str">
        <f>IF(AND(F512="",G512=""),A512,"")</f>
        <v>Issue Identification and Tracking</v>
      </c>
    </row>
    <row r="513" spans="1:10" ht="32">
      <c r="A513" s="20" t="s">
        <v>407</v>
      </c>
      <c r="H513" t="s">
        <v>50</v>
      </c>
      <c r="J513" t="str">
        <f>IF(AND(F513="",G513=""),A513,"")</f>
        <v>Plan Development &amp; Milestone Definition</v>
      </c>
    </row>
    <row r="514" spans="1:10">
      <c r="A514" s="20" t="s">
        <v>408</v>
      </c>
      <c r="H514" t="s">
        <v>50</v>
      </c>
      <c r="J514" t="str">
        <f>IF(AND(F514="",G514=""),A514,"")</f>
        <v>Status Updates</v>
      </c>
    </row>
    <row r="515" spans="1:10">
      <c r="A515" s="20" t="s">
        <v>409</v>
      </c>
      <c r="H515" t="s">
        <v>50</v>
      </c>
      <c r="J515" t="str">
        <f>IF(AND(F515="",G515=""),A515,"")</f>
        <v>Resolution Mechanisms</v>
      </c>
    </row>
    <row r="516" spans="1:10">
      <c r="A516" s="19"/>
    </row>
    <row r="517" spans="1:10">
      <c r="A517" s="21" t="s">
        <v>410</v>
      </c>
      <c r="H517" t="s">
        <v>50</v>
      </c>
      <c r="J517" t="str">
        <f>IF(AND(F517="",G517=""),A517,"")</f>
        <v>Measurement</v>
      </c>
    </row>
    <row r="518" spans="1:10">
      <c r="A518" s="21" t="s">
        <v>411</v>
      </c>
      <c r="H518" t="s">
        <v>50</v>
      </c>
      <c r="J518" t="str">
        <f>IF(AND(F518="",G518=""),A518,"")</f>
        <v>Survey Integration</v>
      </c>
    </row>
    <row r="519" spans="1:10" ht="32">
      <c r="A519" s="21" t="s">
        <v>412</v>
      </c>
      <c r="H519" t="s">
        <v>50</v>
      </c>
      <c r="J519" t="str">
        <f>IF(AND(F519="",G519=""),A519,"")</f>
        <v>Formulaic Metric Definition on Raw Data</v>
      </c>
    </row>
    <row r="520" spans="1:10">
      <c r="A520" s="21" t="s">
        <v>262</v>
      </c>
      <c r="H520" t="s">
        <v>50</v>
      </c>
      <c r="J520" t="str">
        <f>IF(AND(F520="",G520=""),A520,"")</f>
        <v>3rd Party Data Integration</v>
      </c>
    </row>
    <row r="521" spans="1:10">
      <c r="A521" s="21" t="s">
        <v>413</v>
      </c>
      <c r="H521" t="s">
        <v>50</v>
      </c>
      <c r="J521" t="str">
        <f>IF(AND(F521="",G521=""),A521,"")</f>
        <v>Scorecards w/ Automatic Updates</v>
      </c>
    </row>
    <row r="522" spans="1:10">
      <c r="A522" s="19"/>
    </row>
    <row r="523" spans="1:10" ht="32">
      <c r="A523" s="22" t="s">
        <v>414</v>
      </c>
      <c r="H523" t="s">
        <v>50</v>
      </c>
      <c r="J523" t="str">
        <f>IF(AND(F523="",G523=""),A523,"")</f>
        <v>Development &amp; Innovation Management</v>
      </c>
    </row>
    <row r="524" spans="1:10">
      <c r="A524" s="22" t="s">
        <v>415</v>
      </c>
      <c r="H524" t="s">
        <v>50</v>
      </c>
      <c r="J524" t="str">
        <f>IF(AND(F524="",G524=""),A524,"")</f>
        <v>Challenge Definition</v>
      </c>
    </row>
    <row r="525" spans="1:10">
      <c r="A525" s="22" t="s">
        <v>416</v>
      </c>
      <c r="H525" t="s">
        <v>50</v>
      </c>
      <c r="J525" t="str">
        <f>IF(AND(F525="",G525=""),A525,"")</f>
        <v>Unsolicited Idea Management</v>
      </c>
    </row>
    <row r="526" spans="1:10">
      <c r="A526" s="22" t="s">
        <v>417</v>
      </c>
      <c r="H526" t="s">
        <v>50</v>
      </c>
      <c r="J526" t="str">
        <f>IF(AND(F526="",G526=""),A526,"")</f>
        <v>Review and Decision Support</v>
      </c>
    </row>
    <row r="527" spans="1:10">
      <c r="A527" s="19"/>
    </row>
    <row r="528" spans="1:10">
      <c r="A528" s="21" t="s">
        <v>418</v>
      </c>
      <c r="H528" t="s">
        <v>50</v>
      </c>
      <c r="J528" t="str">
        <f>IF(AND(F528="",G528=""),A528,"")</f>
        <v>Monitoring</v>
      </c>
    </row>
    <row r="529" spans="1:10">
      <c r="A529" s="21" t="s">
        <v>419</v>
      </c>
      <c r="H529" t="s">
        <v>50</v>
      </c>
      <c r="J529" t="str">
        <f>IF(AND(F529="",G529=""),A529,"")</f>
        <v>Automatic Data / Scorecard Updates</v>
      </c>
    </row>
    <row r="530" spans="1:10">
      <c r="A530" s="21" t="s">
        <v>420</v>
      </c>
      <c r="H530" t="s">
        <v>50</v>
      </c>
      <c r="J530" t="str">
        <f>IF(AND(F530="",G530=""),A530,"")</f>
        <v>Alerts &amp; Notification</v>
      </c>
    </row>
    <row r="531" spans="1:10">
      <c r="A531" s="20" t="s">
        <v>421</v>
      </c>
      <c r="H531" t="s">
        <v>50</v>
      </c>
      <c r="J531" t="str">
        <f>IF(AND(F531="",G531=""),A531,"")</f>
        <v>Integration with CAR/CAM</v>
      </c>
    </row>
    <row r="532" spans="1:10">
      <c r="A532" s="19"/>
    </row>
    <row r="533" spans="1:10">
      <c r="A533" s="23" t="s">
        <v>261</v>
      </c>
      <c r="H533" t="s">
        <v>50</v>
      </c>
      <c r="J533" t="str">
        <f>IF(AND(F533="",G533=""),A533,"")</f>
        <v>Risk Management</v>
      </c>
    </row>
    <row r="534" spans="1:10">
      <c r="A534" s="23" t="s">
        <v>422</v>
      </c>
      <c r="H534" t="s">
        <v>50</v>
      </c>
      <c r="J534" t="str">
        <f>IF(AND(F534="",G534=""),A534,"")</f>
        <v>Risk Identification</v>
      </c>
    </row>
    <row r="535" spans="1:10">
      <c r="A535" s="23" t="s">
        <v>423</v>
      </c>
      <c r="H535" t="s">
        <v>50</v>
      </c>
      <c r="J535" t="str">
        <f>IF(AND(F535="",G535=""),A535,"")</f>
        <v>Mitigation Plan</v>
      </c>
    </row>
    <row r="536" spans="1:10">
      <c r="A536" s="23" t="s">
        <v>424</v>
      </c>
      <c r="H536" t="s">
        <v>50</v>
      </c>
      <c r="J536" t="str">
        <f>IF(AND(F536="",G536=""),A536,"")</f>
        <v>Trend Monitoring</v>
      </c>
    </row>
    <row r="537" spans="1:10">
      <c r="A537" s="23" t="s">
        <v>265</v>
      </c>
      <c r="H537" t="s">
        <v>50</v>
      </c>
      <c r="J537" t="str">
        <f>IF(AND(F537="",G537=""),A537,"")</f>
        <v>Event Monitoring</v>
      </c>
    </row>
    <row r="538" spans="1:10">
      <c r="A538" s="19"/>
    </row>
    <row r="539" spans="1:10">
      <c r="A539" s="22" t="s">
        <v>425</v>
      </c>
      <c r="H539" t="s">
        <v>50</v>
      </c>
      <c r="J539" t="str">
        <f>IF(AND(F539="",G539=""),A539,"")</f>
        <v>NPD / NPI</v>
      </c>
    </row>
    <row r="540" spans="1:10">
      <c r="A540" s="22" t="s">
        <v>426</v>
      </c>
      <c r="H540" t="s">
        <v>50</v>
      </c>
      <c r="J540" t="str">
        <f>IF(AND(F540="",G540=""),A540,"")</f>
        <v>Product Management</v>
      </c>
    </row>
    <row r="541" spans="1:10">
      <c r="A541" s="22" t="s">
        <v>427</v>
      </c>
      <c r="H541" t="s">
        <v>50</v>
      </c>
      <c r="J541" t="str">
        <f>IF(AND(F541="",G541=""),A541,"")</f>
        <v>BoM Management</v>
      </c>
    </row>
    <row r="542" spans="1:10">
      <c r="A542" s="22" t="s">
        <v>428</v>
      </c>
      <c r="H542" t="s">
        <v>50</v>
      </c>
      <c r="J542" t="str">
        <f>IF(AND(F542="",G542=""),A542,"")</f>
        <v>Innovation Integration</v>
      </c>
    </row>
    <row r="543" spans="1:10">
      <c r="A543" s="22" t="s">
        <v>429</v>
      </c>
      <c r="H543" t="s">
        <v>50</v>
      </c>
      <c r="J543" t="str">
        <f>IF(AND(F543="",G543=""),A543,"")</f>
        <v>Process Management</v>
      </c>
    </row>
    <row r="544" spans="1:10">
      <c r="A544" s="19"/>
    </row>
    <row r="545" spans="1:10">
      <c r="A545" s="21" t="s">
        <v>32</v>
      </c>
      <c r="H545" t="s">
        <v>50</v>
      </c>
      <c r="J545" t="str">
        <f t="shared" ref="J545:J550" si="25">IF(AND(F545="",G545=""),A545,"")</f>
        <v>Analytics</v>
      </c>
    </row>
    <row r="546" spans="1:10">
      <c r="A546" s="21" t="s">
        <v>181</v>
      </c>
      <c r="H546" t="s">
        <v>50</v>
      </c>
      <c r="J546" t="str">
        <f t="shared" si="25"/>
        <v>Report Builder</v>
      </c>
    </row>
    <row r="547" spans="1:10">
      <c r="A547" s="21" t="s">
        <v>430</v>
      </c>
      <c r="H547" t="s">
        <v>50</v>
      </c>
      <c r="J547" t="str">
        <f t="shared" si="25"/>
        <v>Out-of-the-Box Scorecards</v>
      </c>
    </row>
    <row r="548" spans="1:10">
      <c r="A548" s="21" t="s">
        <v>431</v>
      </c>
      <c r="H548" t="s">
        <v>50</v>
      </c>
      <c r="J548" t="str">
        <f t="shared" si="25"/>
        <v>Out-of-the-Box Metric Reports</v>
      </c>
    </row>
    <row r="549" spans="1:10">
      <c r="A549" s="21" t="s">
        <v>432</v>
      </c>
      <c r="H549" t="s">
        <v>50</v>
      </c>
      <c r="J549" t="str">
        <f t="shared" si="25"/>
        <v>Out-of-the-Box Trend Reports</v>
      </c>
    </row>
    <row r="550" spans="1:10">
      <c r="A550" s="23" t="s">
        <v>433</v>
      </c>
      <c r="H550" t="s">
        <v>50</v>
      </c>
      <c r="J550" t="str">
        <f t="shared" si="25"/>
        <v>Out-of-the-Box Risk Reports</v>
      </c>
    </row>
    <row r="551" spans="1:10">
      <c r="A551" s="13"/>
    </row>
    <row r="552" spans="1:10">
      <c r="A552" s="13"/>
    </row>
    <row r="553" spans="1:10">
      <c r="A553" s="12" t="s">
        <v>29</v>
      </c>
      <c r="F553" t="s">
        <v>50</v>
      </c>
    </row>
    <row r="554" spans="1:10">
      <c r="A554" s="13"/>
    </row>
    <row r="555" spans="1:10">
      <c r="A555" s="13" t="s">
        <v>434</v>
      </c>
      <c r="J555" t="str">
        <f>IF(AND(F555="",G555=""),A555,"")</f>
        <v>Single View &amp; Sign-On</v>
      </c>
    </row>
    <row r="556" spans="1:10">
      <c r="A556" s="13"/>
    </row>
    <row r="557" spans="1:10">
      <c r="A557" s="13" t="s">
        <v>435</v>
      </c>
      <c r="J557" t="str">
        <f>IF(AND(F557="",G557=""),A557,"")</f>
        <v>Deep Onboarding Support</v>
      </c>
    </row>
    <row r="558" spans="1:10">
      <c r="A558" s="13"/>
    </row>
    <row r="559" spans="1:10">
      <c r="A559" s="13" t="s">
        <v>135</v>
      </c>
      <c r="J559" t="str">
        <f>IF(AND(F559="",G559=""),A559,"")</f>
        <v>Collaboration</v>
      </c>
    </row>
    <row r="560" spans="1:10">
      <c r="A560" s="13"/>
    </row>
    <row r="561" spans="1:10">
      <c r="A561" s="13" t="s">
        <v>436</v>
      </c>
      <c r="J561" t="str">
        <f>IF(AND(F561="",G561=""),A561,"")</f>
        <v>SPM/SRM Data Review</v>
      </c>
    </row>
    <row r="562" spans="1:10">
      <c r="A562" s="13" t="s">
        <v>437</v>
      </c>
      <c r="J562" t="str">
        <f>IF(AND(F562="",G562=""),A562,"")</f>
        <v>360-Degree Scorecards</v>
      </c>
    </row>
    <row r="563" spans="1:10">
      <c r="A563" s="13"/>
    </row>
    <row r="564" spans="1:10">
      <c r="A564" s="13" t="s">
        <v>438</v>
      </c>
      <c r="J564" t="str">
        <f>IF(AND(F564="",G564=""),A564,"")</f>
        <v>Document Management &amp; Updates</v>
      </c>
    </row>
    <row r="565" spans="1:10">
      <c r="A565" s="13"/>
    </row>
    <row r="566" spans="1:10">
      <c r="A566" s="13" t="s">
        <v>439</v>
      </c>
      <c r="J566" t="str">
        <f>IF(AND(F566="",G566=""),A566,"")</f>
        <v>VMI</v>
      </c>
    </row>
    <row r="567" spans="1:10">
      <c r="A567" s="13"/>
    </row>
    <row r="568" spans="1:10">
      <c r="A568" s="13" t="s">
        <v>440</v>
      </c>
      <c r="J568" t="str">
        <f>IF(AND(F568="",G568=""),A568,"")</f>
        <v>PO/Invoice/Payment Support</v>
      </c>
    </row>
    <row r="569" spans="1:10">
      <c r="A569" s="13"/>
    </row>
    <row r="570" spans="1:10">
      <c r="A570" s="13"/>
    </row>
    <row r="571" spans="1:10">
      <c r="A571" s="12" t="s">
        <v>11</v>
      </c>
      <c r="F571" t="s">
        <v>50</v>
      </c>
    </row>
    <row r="572" spans="1:10">
      <c r="A572" s="13"/>
    </row>
    <row r="573" spans="1:10">
      <c r="A573" s="13" t="s">
        <v>270</v>
      </c>
      <c r="J573" t="str">
        <f>IF(AND(F573="",G573=""),A573,"")</f>
        <v>Core Tech Platform</v>
      </c>
    </row>
    <row r="574" spans="1:10">
      <c r="A574" s="13"/>
    </row>
    <row r="575" spans="1:10">
      <c r="A575" s="13" t="s">
        <v>351</v>
      </c>
      <c r="J575" t="str">
        <f>IF(AND(F575="",G575=""),A575,"")</f>
        <v>SaaS / Cloud</v>
      </c>
    </row>
    <row r="576" spans="1:10">
      <c r="A576" s="13"/>
    </row>
    <row r="577" spans="1:10">
      <c r="A577" s="13" t="s">
        <v>47</v>
      </c>
      <c r="J577" t="str">
        <f>IF(AND(F577="",G577=""),A577,"")</f>
        <v>On-Premise Software Option</v>
      </c>
    </row>
    <row r="578" spans="1:10">
      <c r="A578" s="13"/>
    </row>
    <row r="579" spans="1:10">
      <c r="A579" s="13" t="s">
        <v>441</v>
      </c>
      <c r="J579" t="str">
        <f>IF(AND(F579="",G579=""),A579,"")</f>
        <v>AR/Auto Detection of Missing / Needed / Erroneous Data</v>
      </c>
    </row>
    <row r="580" spans="1:10">
      <c r="A580" s="13"/>
    </row>
    <row r="581" spans="1:10">
      <c r="A581" s="13" t="s">
        <v>353</v>
      </c>
      <c r="J581" t="str">
        <f>IF(AND(F581="",G581=""),A581,"")</f>
        <v>Big Data</v>
      </c>
    </row>
    <row r="582" spans="1:10">
      <c r="A582" s="13"/>
    </row>
    <row r="583" spans="1:10">
      <c r="A583" s="13" t="s">
        <v>354</v>
      </c>
      <c r="J583" t="str">
        <f>IF(AND(F583="",G583=""),A583,"")</f>
        <v>Block Chain</v>
      </c>
    </row>
    <row r="584" spans="1:10">
      <c r="A584" s="13"/>
    </row>
    <row r="585" spans="1:10">
      <c r="A585" s="13" t="s">
        <v>355</v>
      </c>
      <c r="J585" t="str">
        <f>IF(AND(F585="",G585=""),A585,"")</f>
        <v>Mobile</v>
      </c>
    </row>
    <row r="586" spans="1:10">
      <c r="A586" s="13"/>
    </row>
    <row r="587" spans="1:10">
      <c r="A587" s="13" t="s">
        <v>357</v>
      </c>
      <c r="J587" t="str">
        <f>IF(AND(F587="",G587=""),A587,"")</f>
        <v>OCR</v>
      </c>
    </row>
    <row r="588" spans="1:10">
      <c r="A588" s="13"/>
    </row>
    <row r="589" spans="1:10">
      <c r="A589" s="13" t="s">
        <v>112</v>
      </c>
      <c r="J589" t="str">
        <f>IF(AND(F589="",G589=""),A589,"")</f>
        <v>Intelligent Apps</v>
      </c>
    </row>
    <row r="590" spans="1:10">
      <c r="A590" s="13"/>
    </row>
    <row r="591" spans="1:10">
      <c r="A591" s="13" t="s">
        <v>114</v>
      </c>
      <c r="J591" t="str">
        <f>IF(AND(F591="",G591=""),A591,"")</f>
        <v>Personalization</v>
      </c>
    </row>
    <row r="592" spans="1:10">
      <c r="A592" s="13"/>
    </row>
    <row r="593" spans="1:10">
      <c r="A593" s="13" t="s">
        <v>115</v>
      </c>
      <c r="J593" t="str">
        <f>IF(AND(F593="",G593=""),A593,"")</f>
        <v>Open Standards</v>
      </c>
    </row>
    <row r="594" spans="1:10">
      <c r="A594" s="13"/>
    </row>
    <row r="595" spans="1:10">
      <c r="A595" s="13" t="s">
        <v>116</v>
      </c>
      <c r="J595" t="str">
        <f>IF(AND(F595="",G595=""),A595,"")</f>
        <v>Integrations</v>
      </c>
    </row>
    <row r="596" spans="1:10">
      <c r="A596" s="13"/>
    </row>
    <row r="597" spans="1:10">
      <c r="A597" s="13" t="s">
        <v>279</v>
      </c>
      <c r="J597" t="str">
        <f>IF(AND(F597="",G597=""),A597,"")</f>
        <v>Fine Grained Role/Data/Action Based Security</v>
      </c>
    </row>
    <row r="598" spans="1:10">
      <c r="A598" s="13"/>
    </row>
    <row r="599" spans="1:10">
      <c r="A599" s="13"/>
    </row>
    <row r="600" spans="1:10">
      <c r="A600" s="12" t="s">
        <v>10</v>
      </c>
      <c r="F600" t="s">
        <v>50</v>
      </c>
    </row>
    <row r="601" spans="1:10">
      <c r="A601" s="13"/>
    </row>
    <row r="602" spans="1:10">
      <c r="A602" s="13" t="s">
        <v>442</v>
      </c>
      <c r="J602" t="str">
        <f>IF(AND(F602="",G602=""),A602,"")</f>
        <v>SIM / SPM / SRM Configurability</v>
      </c>
    </row>
    <row r="603" spans="1:10">
      <c r="A603" s="13"/>
    </row>
    <row r="604" spans="1:10">
      <c r="A604" s="13" t="s">
        <v>443</v>
      </c>
      <c r="J604" t="str">
        <f>IF(AND(F604="",G604=""),A604,"")</f>
        <v>Network Data Model</v>
      </c>
    </row>
    <row r="605" spans="1:10">
      <c r="A605" s="13"/>
    </row>
    <row r="606" spans="1:10">
      <c r="A606" s="13" t="s">
        <v>444</v>
      </c>
      <c r="J606" t="str">
        <f>IF(AND(F606="",G606=""),A606,"")</f>
        <v>Multi-Tier</v>
      </c>
    </row>
    <row r="607" spans="1:10">
      <c r="A607" s="13"/>
    </row>
    <row r="608" spans="1:10">
      <c r="A608" s="13" t="s">
        <v>445</v>
      </c>
      <c r="J608" t="str">
        <f>IF(AND(F608="",G608=""),A608,"")</f>
        <v>Supplier Portal Configurability</v>
      </c>
    </row>
    <row r="609" spans="1:10">
      <c r="A609" s="13"/>
    </row>
    <row r="610" spans="1:10">
      <c r="A610" s="13" t="s">
        <v>362</v>
      </c>
      <c r="J610" t="str">
        <f>IF(AND(F610="",G610=""),A610,"")</f>
        <v>Business Rules / Workflow</v>
      </c>
    </row>
    <row r="611" spans="1:10">
      <c r="A611" s="13"/>
    </row>
    <row r="612" spans="1:10">
      <c r="A612" s="13" t="s">
        <v>285</v>
      </c>
      <c r="J612" t="str">
        <f>IF(AND(F612="",G612=""),A612,"")</f>
        <v>Globalization</v>
      </c>
    </row>
    <row r="613" spans="1:10">
      <c r="A613" s="13" t="s">
        <v>286</v>
      </c>
      <c r="J613" t="str">
        <f>IF(AND(F613="",G613=""),A613,"")</f>
        <v>Multi-Currency</v>
      </c>
    </row>
    <row r="614" spans="1:10">
      <c r="A614" s="13" t="s">
        <v>287</v>
      </c>
      <c r="J614" t="str">
        <f>IF(AND(F614="",G614=""),A614,"")</f>
        <v>Multi-Lingual</v>
      </c>
    </row>
    <row r="615" spans="1:10">
      <c r="A615" s="13"/>
    </row>
    <row r="616" spans="1:10">
      <c r="A616" s="13"/>
    </row>
    <row r="617" spans="1:10">
      <c r="A617" s="12" t="s">
        <v>12</v>
      </c>
      <c r="F617" t="s">
        <v>50</v>
      </c>
    </row>
    <row r="618" spans="1:10">
      <c r="A618" s="13"/>
    </row>
    <row r="619" spans="1:10">
      <c r="A619" s="13" t="s">
        <v>93</v>
      </c>
      <c r="J619" t="str">
        <f>IF(AND(F619="",G619=""),A619,"")</f>
        <v>Supplier Onboarding</v>
      </c>
    </row>
    <row r="620" spans="1:10">
      <c r="A620" s="13"/>
    </row>
    <row r="621" spans="1:10">
      <c r="A621" s="13" t="s">
        <v>446</v>
      </c>
      <c r="J621" t="str">
        <f>IF(AND(F621="",G621=""),A621,"")</f>
        <v>Data/Document Management Services</v>
      </c>
    </row>
    <row r="622" spans="1:10">
      <c r="A622" s="13"/>
    </row>
    <row r="623" spans="1:10">
      <c r="A623" s="13" t="s">
        <v>447</v>
      </c>
      <c r="J623" t="str">
        <f>IF(AND(F623="",G623=""),A623,"")</f>
        <v>Supplier Management Services</v>
      </c>
    </row>
    <row r="624" spans="1:10">
      <c r="A624" s="13"/>
    </row>
    <row r="625" spans="1:10">
      <c r="A625" s="13" t="s">
        <v>448</v>
      </c>
      <c r="J625" t="str">
        <f>IF(AND(F625="",G625=""),A625,"")</f>
        <v>Supplier Development / Innovation Management</v>
      </c>
    </row>
    <row r="627" spans="1:10">
      <c r="A627" s="24" t="s">
        <v>30</v>
      </c>
      <c r="F627" t="s">
        <v>50</v>
      </c>
    </row>
    <row r="628" spans="1:10">
      <c r="A628" s="25" t="s">
        <v>449</v>
      </c>
      <c r="G628" t="s">
        <v>50</v>
      </c>
    </row>
    <row r="629" spans="1:10">
      <c r="A629" s="26" t="s">
        <v>450</v>
      </c>
      <c r="H629" t="s">
        <v>50</v>
      </c>
      <c r="J629" t="str">
        <f>IF(AND(F629="",G629=""),A629,"")</f>
        <v>Enterprise Contracts Support (beyond buy-side)</v>
      </c>
    </row>
    <row r="630" spans="1:10">
      <c r="A630" s="26" t="s">
        <v>451</v>
      </c>
      <c r="H630" t="s">
        <v>50</v>
      </c>
      <c r="J630" t="str">
        <f>IF(AND(F630="",G630=""),A630,"")</f>
        <v>Richness of Contract Level Data Modeled</v>
      </c>
    </row>
    <row r="631" spans="1:10">
      <c r="A631" s="27"/>
    </row>
    <row r="632" spans="1:10">
      <c r="A632" s="25" t="s">
        <v>452</v>
      </c>
      <c r="G632" t="s">
        <v>50</v>
      </c>
    </row>
    <row r="633" spans="1:10">
      <c r="A633" s="28" t="s">
        <v>453</v>
      </c>
      <c r="H633" t="s">
        <v>50</v>
      </c>
      <c r="J633" t="str">
        <f t="shared" ref="J633:J641" si="26">IF(AND(F633="",G633=""),A633,"")</f>
        <v>Pricing</v>
      </c>
    </row>
    <row r="634" spans="1:10">
      <c r="A634" s="28" t="s">
        <v>454</v>
      </c>
      <c r="H634" t="s">
        <v>50</v>
      </c>
      <c r="J634" t="str">
        <f t="shared" si="26"/>
        <v>"Categories"</v>
      </c>
    </row>
    <row r="635" spans="1:10">
      <c r="A635" s="28" t="s">
        <v>455</v>
      </c>
      <c r="H635" t="s">
        <v>50</v>
      </c>
      <c r="J635" t="str">
        <f t="shared" si="26"/>
        <v>General Risk</v>
      </c>
    </row>
    <row r="636" spans="1:10">
      <c r="A636" s="28" t="s">
        <v>456</v>
      </c>
      <c r="H636" t="s">
        <v>50</v>
      </c>
      <c r="J636" t="str">
        <f t="shared" si="26"/>
        <v>Commodity Risk</v>
      </c>
    </row>
    <row r="637" spans="1:10">
      <c r="A637" s="28" t="s">
        <v>457</v>
      </c>
      <c r="H637" t="s">
        <v>50</v>
      </c>
      <c r="J637" t="str">
        <f t="shared" si="26"/>
        <v>Supplier / Partner</v>
      </c>
    </row>
    <row r="638" spans="1:10">
      <c r="A638" s="28" t="s">
        <v>458</v>
      </c>
      <c r="H638" t="s">
        <v>50</v>
      </c>
      <c r="J638" t="str">
        <f t="shared" si="26"/>
        <v>Regulatory Compliance</v>
      </c>
    </row>
    <row r="639" spans="1:10">
      <c r="A639" s="28" t="s">
        <v>459</v>
      </c>
      <c r="H639" t="s">
        <v>50</v>
      </c>
      <c r="J639" t="str">
        <f t="shared" si="26"/>
        <v>"Financials"</v>
      </c>
    </row>
    <row r="640" spans="1:10">
      <c r="A640" s="28" t="s">
        <v>460</v>
      </c>
      <c r="H640" t="s">
        <v>50</v>
      </c>
      <c r="J640" t="str">
        <f t="shared" si="26"/>
        <v>Projects</v>
      </c>
    </row>
    <row r="641" spans="1:10">
      <c r="A641" s="28" t="s">
        <v>461</v>
      </c>
      <c r="H641" t="s">
        <v>50</v>
      </c>
      <c r="J641" t="str">
        <f t="shared" si="26"/>
        <v>Assets (e.g., software licenses)</v>
      </c>
    </row>
    <row r="642" spans="1:10">
      <c r="A642" s="27"/>
    </row>
    <row r="643" spans="1:10">
      <c r="A643" s="27" t="s">
        <v>462</v>
      </c>
      <c r="G643" t="s">
        <v>50</v>
      </c>
    </row>
    <row r="644" spans="1:10">
      <c r="A644" s="26" t="s">
        <v>150</v>
      </c>
      <c r="H644" t="s">
        <v>50</v>
      </c>
      <c r="J644" t="str">
        <f>IF(AND(F644="",G644=""),A644,"")</f>
        <v>Templates</v>
      </c>
    </row>
    <row r="645" spans="1:10">
      <c r="A645" s="26" t="s">
        <v>246</v>
      </c>
      <c r="H645" t="s">
        <v>50</v>
      </c>
      <c r="J645" t="str">
        <f>IF(AND(F645="",G645=""),A645,"")</f>
        <v>Clauses</v>
      </c>
    </row>
    <row r="646" spans="1:10">
      <c r="A646" s="27"/>
    </row>
    <row r="647" spans="1:10">
      <c r="A647" s="26" t="s">
        <v>463</v>
      </c>
      <c r="H647" t="s">
        <v>50</v>
      </c>
      <c r="J647" t="str">
        <f>IF(AND(F647="",G647=""),A647,"")</f>
        <v>Performance Specifications and Deliverables</v>
      </c>
    </row>
    <row r="648" spans="1:10">
      <c r="A648" s="26" t="s">
        <v>464</v>
      </c>
      <c r="H648" t="s">
        <v>50</v>
      </c>
      <c r="J648" t="str">
        <f>IF(AND(F648="",G648=""),A648,"")</f>
        <v>Obligations</v>
      </c>
    </row>
    <row r="649" spans="1:10">
      <c r="A649" s="26" t="s">
        <v>465</v>
      </c>
      <c r="H649" t="s">
        <v>50</v>
      </c>
      <c r="J649" t="str">
        <f>IF(AND(F649="",G649=""),A649,"")</f>
        <v>File Attachments</v>
      </c>
    </row>
    <row r="650" spans="1:10">
      <c r="A650" s="27" t="s">
        <v>466</v>
      </c>
      <c r="H650" t="s">
        <v>50</v>
      </c>
      <c r="J650" t="str">
        <f>IF(AND(F650="",G650=""),A650,"")</f>
        <v>Document Linking and Integration</v>
      </c>
    </row>
    <row r="651" spans="1:10">
      <c r="A651" s="27"/>
    </row>
    <row r="652" spans="1:10">
      <c r="A652" s="27"/>
    </row>
    <row r="653" spans="1:10">
      <c r="A653" s="24" t="s">
        <v>31</v>
      </c>
      <c r="F653" t="s">
        <v>50</v>
      </c>
    </row>
    <row r="654" spans="1:10">
      <c r="A654" s="27"/>
    </row>
    <row r="655" spans="1:10">
      <c r="A655" s="25" t="s">
        <v>467</v>
      </c>
      <c r="G655" t="s">
        <v>50</v>
      </c>
    </row>
    <row r="656" spans="1:10">
      <c r="A656" s="26" t="s">
        <v>468</v>
      </c>
      <c r="H656" t="s">
        <v>50</v>
      </c>
      <c r="J656" t="str">
        <f>IF(AND(F656="",G656=""),A656,"")</f>
        <v>Contract Action, Renewals</v>
      </c>
    </row>
    <row r="657" spans="1:10">
      <c r="A657" s="26" t="s">
        <v>469</v>
      </c>
      <c r="H657" t="s">
        <v>50</v>
      </c>
      <c r="J657" t="str">
        <f>IF(AND(F657="",G657=""),A657,"")</f>
        <v>Contract Expiration (non-renewal)</v>
      </c>
    </row>
    <row r="658" spans="1:10">
      <c r="A658" s="26" t="s">
        <v>408</v>
      </c>
      <c r="H658" t="s">
        <v>50</v>
      </c>
      <c r="J658" t="str">
        <f>IF(AND(F658="",G658=""),A658,"")</f>
        <v>Status Updates</v>
      </c>
    </row>
    <row r="659" spans="1:10">
      <c r="A659" s="27"/>
    </row>
    <row r="660" spans="1:10">
      <c r="A660" s="25" t="s">
        <v>470</v>
      </c>
      <c r="G660" t="s">
        <v>50</v>
      </c>
    </row>
    <row r="661" spans="1:10">
      <c r="A661" s="26" t="s">
        <v>471</v>
      </c>
      <c r="H661" t="s">
        <v>50</v>
      </c>
      <c r="J661" t="str">
        <f>IF(AND(F661="",G661=""),A661,"")</f>
        <v>Search / Discovery</v>
      </c>
    </row>
    <row r="662" spans="1:10">
      <c r="A662" s="26" t="s">
        <v>472</v>
      </c>
      <c r="H662" t="s">
        <v>50</v>
      </c>
      <c r="J662" t="str">
        <f>IF(AND(F662="",G662=""),A662,"")</f>
        <v>Legacy Contract Upload / Conversion</v>
      </c>
    </row>
    <row r="663" spans="1:10">
      <c r="A663" s="26" t="s">
        <v>473</v>
      </c>
      <c r="H663" t="s">
        <v>50</v>
      </c>
      <c r="J663" t="str">
        <f>IF(AND(F663="",G663=""),A663,"")</f>
        <v xml:space="preserve">Clause Extraction, Classification, and Harmonization </v>
      </c>
    </row>
    <row r="664" spans="1:10">
      <c r="A664" s="26"/>
    </row>
    <row r="665" spans="1:10">
      <c r="A665" s="29"/>
    </row>
    <row r="666" spans="1:10">
      <c r="A666" s="26" t="s">
        <v>474</v>
      </c>
      <c r="H666" t="s">
        <v>50</v>
      </c>
      <c r="J666" t="str">
        <f>IF(AND(F666="",G666=""),A666,"")</f>
        <v>Survey integration</v>
      </c>
    </row>
    <row r="667" spans="1:10">
      <c r="A667" s="26" t="s">
        <v>475</v>
      </c>
      <c r="H667" t="s">
        <v>50</v>
      </c>
      <c r="J667" t="str">
        <f>IF(AND(F667="",G667=""),A667,"")</f>
        <v>Contract Import from E-Sourcing</v>
      </c>
    </row>
    <row r="668" spans="1:10">
      <c r="A668" s="26" t="s">
        <v>476</v>
      </c>
      <c r="H668" t="s">
        <v>50</v>
      </c>
      <c r="J668" t="str">
        <f>IF(AND(F668="",G668=""),A668,"")</f>
        <v>Ability to Manage Counter-Party Originated Contracts</v>
      </c>
    </row>
    <row r="669" spans="1:10">
      <c r="A669" s="26" t="s">
        <v>477</v>
      </c>
      <c r="H669" t="s">
        <v>50</v>
      </c>
      <c r="J669" t="str">
        <f>IF(AND(F669="",G669=""),A669,"")</f>
        <v>Amendment Creation</v>
      </c>
    </row>
    <row r="670" spans="1:10">
      <c r="A670" s="25" t="s">
        <v>478</v>
      </c>
      <c r="G670" t="s">
        <v>50</v>
      </c>
    </row>
    <row r="671" spans="1:10">
      <c r="A671" s="26" t="s">
        <v>248</v>
      </c>
      <c r="H671" t="s">
        <v>50</v>
      </c>
      <c r="J671" t="str">
        <f t="shared" ref="J671:J676" si="27">IF(AND(F671="",G671=""),A671,"")</f>
        <v>Word Integration</v>
      </c>
    </row>
    <row r="672" spans="1:10">
      <c r="A672" s="26" t="s">
        <v>479</v>
      </c>
      <c r="H672" t="s">
        <v>50</v>
      </c>
      <c r="J672" t="str">
        <f t="shared" si="27"/>
        <v>Core Workflow and Approvals</v>
      </c>
    </row>
    <row r="673" spans="1:10">
      <c r="A673" s="26" t="s">
        <v>480</v>
      </c>
      <c r="H673" t="s">
        <v>50</v>
      </c>
      <c r="J673" t="str">
        <f t="shared" si="27"/>
        <v>Contract Negotiation</v>
      </c>
    </row>
    <row r="674" spans="1:10">
      <c r="A674" s="26" t="s">
        <v>481</v>
      </c>
      <c r="H674" t="s">
        <v>50</v>
      </c>
      <c r="J674" t="str">
        <f t="shared" si="27"/>
        <v>"Collaboration" Support (which extends across contract lifecycle)</v>
      </c>
    </row>
    <row r="675" spans="1:10">
      <c r="A675" s="26" t="s">
        <v>482</v>
      </c>
      <c r="H675" t="s">
        <v>50</v>
      </c>
      <c r="J675" t="str">
        <f t="shared" si="27"/>
        <v>Sub-Contracting Support</v>
      </c>
    </row>
    <row r="676" spans="1:10">
      <c r="A676" s="26" t="s">
        <v>483</v>
      </c>
      <c r="H676" t="s">
        <v>50</v>
      </c>
      <c r="J676" t="str">
        <f t="shared" si="27"/>
        <v>"Guided Contracting" (e.g., user questionnaires)</v>
      </c>
    </row>
    <row r="677" spans="1:10">
      <c r="A677" s="27"/>
    </row>
    <row r="678" spans="1:10">
      <c r="A678" s="27" t="s">
        <v>484</v>
      </c>
      <c r="J678" t="str">
        <f>IF(AND(F678="",G678=""),A678,"")</f>
        <v>Contract Implementation</v>
      </c>
    </row>
    <row r="679" spans="1:10">
      <c r="A679" s="26"/>
    </row>
    <row r="680" spans="1:10">
      <c r="A680" s="25" t="s">
        <v>485</v>
      </c>
      <c r="G680" t="s">
        <v>50</v>
      </c>
    </row>
    <row r="681" spans="1:10">
      <c r="A681" s="26" t="s">
        <v>486</v>
      </c>
      <c r="H681" t="s">
        <v>50</v>
      </c>
      <c r="J681" t="str">
        <f>IF(AND(F681="",G681=""),A681,"")</f>
        <v>Compliance Management</v>
      </c>
    </row>
    <row r="682" spans="1:10">
      <c r="A682" s="26" t="s">
        <v>487</v>
      </c>
      <c r="H682" t="s">
        <v>50</v>
      </c>
      <c r="J682" t="str">
        <f>IF(AND(F682="",G682=""),A682,"")</f>
        <v>Financial Management</v>
      </c>
    </row>
    <row r="683" spans="1:10">
      <c r="A683" s="26" t="s">
        <v>488</v>
      </c>
      <c r="H683" t="s">
        <v>50</v>
      </c>
      <c r="J683" t="str">
        <f>IF(AND(F683="",G683=""),A683,"")</f>
        <v>Corrective Action &amp; Conflict Resolution</v>
      </c>
    </row>
    <row r="684" spans="1:10">
      <c r="A684" s="27"/>
    </row>
    <row r="685" spans="1:10">
      <c r="A685" s="27"/>
    </row>
    <row r="686" spans="1:10">
      <c r="A686" s="27"/>
    </row>
    <row r="687" spans="1:10">
      <c r="A687" s="24" t="s">
        <v>32</v>
      </c>
      <c r="F687" t="s">
        <v>50</v>
      </c>
    </row>
    <row r="688" spans="1:10">
      <c r="A688" s="27"/>
    </row>
    <row r="689" spans="1:10">
      <c r="A689" s="52" t="s">
        <v>489</v>
      </c>
      <c r="G689" t="s">
        <v>50</v>
      </c>
      <c r="J689" t="str">
        <f>IF(AND(F689="",G689=""),A689,"")</f>
        <v/>
      </c>
    </row>
    <row r="690" spans="1:10">
      <c r="A690" s="27" t="s">
        <v>490</v>
      </c>
      <c r="H690" t="s">
        <v>50</v>
      </c>
      <c r="J690" t="str">
        <f>IF(AND(F690="",G690=""),A690,"")</f>
        <v>Contracting Reports and Analytics</v>
      </c>
    </row>
    <row r="691" spans="1:10">
      <c r="A691" s="27" t="s">
        <v>491</v>
      </c>
      <c r="H691" t="s">
        <v>50</v>
      </c>
      <c r="J691" t="str">
        <f>IF(AND(F691="",G691=""),A691,"")</f>
        <v>Contract / Cmmercial Performance Analysis</v>
      </c>
    </row>
    <row r="692" spans="1:10">
      <c r="A692" s="27"/>
    </row>
    <row r="693" spans="1:10">
      <c r="A693" s="52" t="s">
        <v>492</v>
      </c>
      <c r="G693" t="s">
        <v>50</v>
      </c>
      <c r="J693" t="str">
        <f>IF(AND(F693="",G693=""),A693,"")</f>
        <v/>
      </c>
    </row>
    <row r="694" spans="1:10">
      <c r="A694" s="27" t="s">
        <v>493</v>
      </c>
      <c r="H694" t="s">
        <v>50</v>
      </c>
      <c r="J694" t="str">
        <f>IF(AND(F694="",G694=""),A694,"")</f>
        <v>Knowledge Beyond Technology Applications</v>
      </c>
    </row>
    <row r="695" spans="1:10">
      <c r="A695" s="27" t="s">
        <v>494</v>
      </c>
      <c r="H695" t="s">
        <v>50</v>
      </c>
      <c r="J695" t="str">
        <f>IF(AND(F695="",G695=""),A695,"")</f>
        <v>Community Knowledge</v>
      </c>
    </row>
    <row r="696" spans="1:10">
      <c r="A696" s="27" t="s">
        <v>495</v>
      </c>
      <c r="H696" t="s">
        <v>50</v>
      </c>
      <c r="J696" t="str">
        <f>IF(AND(F696="",G696=""),A696,"")</f>
        <v>Value Creation Methodology and Approach</v>
      </c>
    </row>
    <row r="697" spans="1:10">
      <c r="A697" s="27"/>
    </row>
    <row r="698" spans="1:10">
      <c r="A698" s="27"/>
    </row>
    <row r="699" spans="1:10">
      <c r="A699" s="24" t="s">
        <v>11</v>
      </c>
      <c r="F699" t="s">
        <v>50</v>
      </c>
    </row>
    <row r="700" spans="1:10">
      <c r="A700" s="27"/>
    </row>
    <row r="701" spans="1:10">
      <c r="A701" s="52" t="s">
        <v>496</v>
      </c>
      <c r="G701" t="s">
        <v>50</v>
      </c>
      <c r="J701" t="str">
        <f>IF(AND(F701="",G701=""),A701,"")</f>
        <v/>
      </c>
    </row>
    <row r="702" spans="1:10">
      <c r="A702" s="27" t="s">
        <v>497</v>
      </c>
      <c r="H702" t="s">
        <v>50</v>
      </c>
      <c r="J702" t="str">
        <f>IF(AND(F702="",G702=""),A702,"")</f>
        <v>Core Technology Platform</v>
      </c>
    </row>
    <row r="703" spans="1:10">
      <c r="A703" s="27"/>
    </row>
    <row r="704" spans="1:10">
      <c r="A704" s="27" t="s">
        <v>498</v>
      </c>
      <c r="H704" t="s">
        <v>50</v>
      </c>
      <c r="J704" t="str">
        <f>IF(AND(F704="",G704=""),A704,"")</f>
        <v>Security</v>
      </c>
    </row>
    <row r="705" spans="1:10">
      <c r="A705" s="27"/>
    </row>
    <row r="706" spans="1:10">
      <c r="A706" s="27" t="s">
        <v>499</v>
      </c>
      <c r="H706" t="s">
        <v>50</v>
      </c>
      <c r="J706" t="str">
        <f>IF(AND(F706="",G706=""),A706,"")</f>
        <v>Fine Grained Role / Data / Action Based Security</v>
      </c>
    </row>
    <row r="707" spans="1:10">
      <c r="A707" s="27"/>
    </row>
    <row r="708" spans="1:10">
      <c r="A708" s="27" t="s">
        <v>500</v>
      </c>
      <c r="H708" t="s">
        <v>50</v>
      </c>
      <c r="J708" t="str">
        <f>IF(AND(F708="",G708=""),A708,"")</f>
        <v>User Experience</v>
      </c>
    </row>
    <row r="709" spans="1:10">
      <c r="A709" s="27"/>
    </row>
    <row r="710" spans="1:10">
      <c r="A710" s="27" t="s">
        <v>351</v>
      </c>
      <c r="H710" t="s">
        <v>50</v>
      </c>
      <c r="J710" t="str">
        <f>IF(AND(F710="",G710=""),A710,"")</f>
        <v>SaaS / Cloud</v>
      </c>
    </row>
    <row r="711" spans="1:10">
      <c r="A711" s="27"/>
    </row>
    <row r="712" spans="1:10">
      <c r="A712" s="27" t="s">
        <v>501</v>
      </c>
      <c r="H712" t="s">
        <v>50</v>
      </c>
      <c r="J712" t="str">
        <f>IF(AND(F712="",G712=""),A712,"")</f>
        <v>IaaS</v>
      </c>
    </row>
    <row r="713" spans="1:10">
      <c r="A713" s="27"/>
    </row>
    <row r="714" spans="1:10">
      <c r="A714" s="27" t="s">
        <v>47</v>
      </c>
      <c r="H714" t="s">
        <v>50</v>
      </c>
      <c r="J714" t="str">
        <f>IF(AND(F714="",G714=""),A714,"")</f>
        <v>On-Premise Software Option</v>
      </c>
    </row>
    <row r="715" spans="1:10">
      <c r="A715" s="27"/>
    </row>
    <row r="716" spans="1:10">
      <c r="A716" s="27" t="s">
        <v>502</v>
      </c>
      <c r="H716" t="s">
        <v>50</v>
      </c>
      <c r="J716" t="str">
        <f>IF(AND(F716="",G716=""),A716,"")</f>
        <v>AR / Auto Detection of Missing / Needed / Erroneous Data</v>
      </c>
    </row>
    <row r="717" spans="1:10">
      <c r="A717" s="27"/>
    </row>
    <row r="718" spans="1:10">
      <c r="A718" s="27" t="s">
        <v>353</v>
      </c>
      <c r="H718" t="s">
        <v>50</v>
      </c>
      <c r="J718" t="str">
        <f>IF(AND(F718="",G718=""),A718,"")</f>
        <v>Big Data</v>
      </c>
    </row>
    <row r="719" spans="1:10">
      <c r="A719" s="27"/>
    </row>
    <row r="720" spans="1:10">
      <c r="A720" s="27" t="s">
        <v>354</v>
      </c>
      <c r="H720" t="s">
        <v>50</v>
      </c>
      <c r="J720" t="str">
        <f>IF(AND(F720="",G720=""),A720,"")</f>
        <v>Block Chain</v>
      </c>
    </row>
    <row r="721" spans="1:10">
      <c r="A721" s="27"/>
    </row>
    <row r="722" spans="1:10">
      <c r="A722" s="27" t="s">
        <v>355</v>
      </c>
      <c r="H722" t="s">
        <v>50</v>
      </c>
      <c r="J722" t="str">
        <f>IF(AND(F722="",G722=""),A722,"")</f>
        <v>Mobile</v>
      </c>
    </row>
    <row r="723" spans="1:10">
      <c r="A723" s="27"/>
    </row>
    <row r="724" spans="1:10">
      <c r="A724" s="27" t="s">
        <v>102</v>
      </c>
      <c r="H724" t="s">
        <v>50</v>
      </c>
      <c r="J724" t="str">
        <f>IF(AND(F724="",G724=""),A724,"")</f>
        <v xml:space="preserve">Multi-Currency </v>
      </c>
    </row>
    <row r="725" spans="1:10">
      <c r="A725" s="27"/>
    </row>
    <row r="726" spans="1:10">
      <c r="A726" s="27" t="s">
        <v>112</v>
      </c>
      <c r="H726" t="s">
        <v>50</v>
      </c>
      <c r="J726" t="str">
        <f>IF(AND(F726="",G726=""),A726,"")</f>
        <v>Intelligent Apps</v>
      </c>
    </row>
    <row r="727" spans="1:10">
      <c r="A727" s="27"/>
    </row>
    <row r="728" spans="1:10">
      <c r="A728" s="27" t="s">
        <v>503</v>
      </c>
      <c r="H728" t="s">
        <v>50</v>
      </c>
      <c r="J728" t="str">
        <f>IF(AND(F728="",G728=""),A728,"")</f>
        <v>Machine Learning</v>
      </c>
    </row>
    <row r="729" spans="1:10">
      <c r="A729" s="27"/>
    </row>
    <row r="730" spans="1:10">
      <c r="A730" s="27" t="s">
        <v>504</v>
      </c>
      <c r="H730" t="s">
        <v>50</v>
      </c>
      <c r="J730" t="str">
        <f>IF(AND(F730="",G730=""),A730,"")</f>
        <v>"Bots"</v>
      </c>
    </row>
    <row r="731" spans="1:10">
      <c r="A731" s="27"/>
    </row>
    <row r="732" spans="1:10">
      <c r="A732" s="27" t="s">
        <v>114</v>
      </c>
      <c r="H732" t="s">
        <v>50</v>
      </c>
      <c r="J732" t="str">
        <f>IF(AND(F732="",G732=""),A732,"")</f>
        <v>Personalization</v>
      </c>
    </row>
    <row r="733" spans="1:10">
      <c r="A733" s="27"/>
    </row>
    <row r="734" spans="1:10">
      <c r="A734" s="27" t="s">
        <v>115</v>
      </c>
      <c r="H734" t="s">
        <v>50</v>
      </c>
      <c r="J734" t="str">
        <f>IF(AND(F734="",G734=""),A734,"")</f>
        <v>Open Standards</v>
      </c>
    </row>
    <row r="735" spans="1:10">
      <c r="A735" s="27"/>
    </row>
    <row r="736" spans="1:10">
      <c r="A736" s="52" t="s">
        <v>116</v>
      </c>
      <c r="J736" t="str">
        <f t="shared" ref="J736:J741" si="28">IF(AND(F736="",G736=""),A736,"")</f>
        <v>Integrations</v>
      </c>
    </row>
    <row r="737" spans="1:10">
      <c r="A737" s="27" t="s">
        <v>505</v>
      </c>
      <c r="J737" t="str">
        <f t="shared" si="28"/>
        <v>Approach</v>
      </c>
    </row>
    <row r="738" spans="1:10">
      <c r="A738" s="27" t="s">
        <v>506</v>
      </c>
      <c r="J738" t="str">
        <f t="shared" si="28"/>
        <v>APIs</v>
      </c>
    </row>
    <row r="739" spans="1:10">
      <c r="A739" s="27" t="s">
        <v>276</v>
      </c>
      <c r="J739" t="str">
        <f t="shared" si="28"/>
        <v>ERP</v>
      </c>
    </row>
    <row r="740" spans="1:10">
      <c r="A740" s="27" t="s">
        <v>277</v>
      </c>
      <c r="J740" t="str">
        <f t="shared" si="28"/>
        <v>P2P</v>
      </c>
    </row>
    <row r="741" spans="1:10">
      <c r="A741" s="27" t="s">
        <v>278</v>
      </c>
      <c r="J741" t="str">
        <f t="shared" si="28"/>
        <v>Other</v>
      </c>
    </row>
    <row r="742" spans="1:10">
      <c r="A742" s="27"/>
    </row>
    <row r="743" spans="1:10">
      <c r="A743" s="27"/>
    </row>
    <row r="744" spans="1:10">
      <c r="A744" s="24" t="s">
        <v>10</v>
      </c>
      <c r="F744" t="s">
        <v>50</v>
      </c>
    </row>
    <row r="745" spans="1:10">
      <c r="A745" s="27"/>
    </row>
    <row r="746" spans="1:10">
      <c r="A746" s="27" t="s">
        <v>507</v>
      </c>
      <c r="J746" t="str">
        <f>IF(AND(F746="",G746=""),A746,"")</f>
        <v xml:space="preserve">CLM Configuration </v>
      </c>
    </row>
    <row r="747" spans="1:10">
      <c r="A747" s="27" t="s">
        <v>362</v>
      </c>
      <c r="J747" t="str">
        <f>IF(AND(F747="",G747=""),A747,"")</f>
        <v>Business Rules / Workflow</v>
      </c>
    </row>
    <row r="748" spans="1:10">
      <c r="A748" s="27" t="s">
        <v>285</v>
      </c>
      <c r="J748" t="str">
        <f>IF(AND(F748="",G748=""),A748,"")</f>
        <v>Globalization</v>
      </c>
    </row>
    <row r="749" spans="1:10">
      <c r="A749" s="27" t="s">
        <v>287</v>
      </c>
      <c r="J749" t="str">
        <f>IF(AND(F749="",G749=""),A749,"")</f>
        <v>Multi-Lingual</v>
      </c>
    </row>
    <row r="750" spans="1:10">
      <c r="A750" s="27"/>
    </row>
    <row r="751" spans="1:10">
      <c r="A751" s="27"/>
    </row>
    <row r="752" spans="1:10">
      <c r="A752" s="24" t="s">
        <v>33</v>
      </c>
      <c r="F752" t="s">
        <v>50</v>
      </c>
    </row>
    <row r="753" spans="1:10">
      <c r="A753" s="27"/>
    </row>
    <row r="754" spans="1:10">
      <c r="A754" s="27" t="s">
        <v>12</v>
      </c>
      <c r="J754" t="str">
        <f>IF(AND(F754="",G754=""),A754,"")</f>
        <v>General Services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0ABE-307E-4E48-BEFB-6633745F9C39}">
  <sheetPr codeName="Sheet9"/>
  <dimension ref="A1:H59"/>
  <sheetViews>
    <sheetView workbookViewId="0">
      <selection activeCell="A16" sqref="A16"/>
    </sheetView>
  </sheetViews>
  <sheetFormatPr baseColWidth="10" defaultRowHeight="16"/>
  <sheetData>
    <row r="1" spans="1:7" s="47" customFormat="1">
      <c r="A1" s="46" t="s">
        <v>96</v>
      </c>
      <c r="G1" s="47" t="s">
        <v>550</v>
      </c>
    </row>
    <row r="3" spans="1:7" s="49" customFormat="1">
      <c r="A3" s="48" t="s">
        <v>100</v>
      </c>
      <c r="B3" s="49">
        <v>1</v>
      </c>
      <c r="C3" s="49">
        <v>2</v>
      </c>
      <c r="D3" s="49">
        <v>5</v>
      </c>
      <c r="E3" s="49">
        <f>VLOOKUP(A3,Elements!$A$2:$B$435,2,0)</f>
        <v>63</v>
      </c>
      <c r="F3" s="49">
        <v>97</v>
      </c>
      <c r="G3" s="49" t="s">
        <v>551</v>
      </c>
    </row>
    <row r="5" spans="1:7">
      <c r="A5" t="s">
        <v>552</v>
      </c>
    </row>
    <row r="7" spans="1:7">
      <c r="A7" t="s">
        <v>688</v>
      </c>
    </row>
    <row r="9" spans="1:7">
      <c r="A9" t="s">
        <v>890</v>
      </c>
    </row>
    <row r="11" spans="1:7">
      <c r="A11" t="s">
        <v>1041</v>
      </c>
    </row>
    <row r="13" spans="1:7">
      <c r="A13" t="s">
        <v>1233</v>
      </c>
    </row>
    <row r="15" spans="1:7">
      <c r="A15" t="s">
        <v>1365</v>
      </c>
    </row>
    <row r="16" spans="1:7">
      <c r="A16" t="s">
        <v>1234</v>
      </c>
      <c r="B16" t="s">
        <v>1377</v>
      </c>
      <c r="C16" t="s">
        <v>1378</v>
      </c>
    </row>
    <row r="17" spans="1:3">
      <c r="A17">
        <v>643</v>
      </c>
      <c r="B17">
        <v>10</v>
      </c>
      <c r="C17">
        <v>436</v>
      </c>
    </row>
    <row r="18" spans="1:3">
      <c r="A18">
        <v>556</v>
      </c>
      <c r="B18">
        <v>32</v>
      </c>
      <c r="C18">
        <v>437</v>
      </c>
    </row>
    <row r="19" spans="1:3">
      <c r="A19" t="s">
        <v>1362</v>
      </c>
      <c r="B19">
        <v>33</v>
      </c>
      <c r="C19">
        <v>438</v>
      </c>
    </row>
    <row r="20" spans="1:3">
      <c r="A20" t="s">
        <v>1363</v>
      </c>
      <c r="B20">
        <v>55</v>
      </c>
      <c r="C20">
        <v>439</v>
      </c>
    </row>
    <row r="21" spans="1:3">
      <c r="A21">
        <v>269</v>
      </c>
      <c r="B21">
        <v>56</v>
      </c>
      <c r="C21">
        <v>440</v>
      </c>
    </row>
    <row r="22" spans="1:3">
      <c r="A22">
        <v>484</v>
      </c>
      <c r="B22">
        <v>65</v>
      </c>
      <c r="C22">
        <v>441</v>
      </c>
    </row>
    <row r="23" spans="1:3">
      <c r="A23">
        <v>648</v>
      </c>
      <c r="B23">
        <v>66</v>
      </c>
      <c r="C23">
        <v>442</v>
      </c>
    </row>
    <row r="24" spans="1:3">
      <c r="A24">
        <v>398</v>
      </c>
      <c r="B24">
        <v>67</v>
      </c>
      <c r="C24">
        <v>443</v>
      </c>
    </row>
    <row r="25" spans="1:3">
      <c r="A25">
        <v>401</v>
      </c>
      <c r="B25">
        <v>69</v>
      </c>
      <c r="C25">
        <v>444</v>
      </c>
    </row>
    <row r="26" spans="1:3">
      <c r="A26" t="s">
        <v>1366</v>
      </c>
      <c r="B26">
        <v>73</v>
      </c>
      <c r="C26">
        <v>445</v>
      </c>
    </row>
    <row r="27" spans="1:3">
      <c r="A27">
        <v>476</v>
      </c>
      <c r="B27">
        <v>78</v>
      </c>
      <c r="C27">
        <v>446</v>
      </c>
    </row>
    <row r="28" spans="1:3">
      <c r="A28">
        <v>490</v>
      </c>
      <c r="B28">
        <v>83</v>
      </c>
      <c r="C28">
        <v>447</v>
      </c>
    </row>
    <row r="29" spans="1:3">
      <c r="A29">
        <v>305</v>
      </c>
      <c r="B29">
        <v>101</v>
      </c>
      <c r="C29">
        <v>448</v>
      </c>
    </row>
    <row r="30" spans="1:3">
      <c r="A30">
        <v>428</v>
      </c>
      <c r="B30">
        <v>101</v>
      </c>
      <c r="C30">
        <v>449</v>
      </c>
    </row>
    <row r="31" spans="1:3">
      <c r="A31">
        <v>564</v>
      </c>
      <c r="B31">
        <v>101</v>
      </c>
      <c r="C31">
        <v>450</v>
      </c>
    </row>
    <row r="32" spans="1:3">
      <c r="A32">
        <v>310</v>
      </c>
      <c r="B32">
        <v>113</v>
      </c>
      <c r="C32">
        <v>451</v>
      </c>
    </row>
    <row r="33" spans="1:8">
      <c r="A33">
        <v>415</v>
      </c>
      <c r="B33">
        <v>114</v>
      </c>
      <c r="C33">
        <v>452</v>
      </c>
    </row>
    <row r="34" spans="1:8">
      <c r="A34">
        <v>292</v>
      </c>
      <c r="B34">
        <v>115</v>
      </c>
      <c r="C34">
        <v>453</v>
      </c>
    </row>
    <row r="35" spans="1:8">
      <c r="A35" t="s">
        <v>1369</v>
      </c>
      <c r="B35">
        <v>115</v>
      </c>
      <c r="C35">
        <v>454</v>
      </c>
    </row>
    <row r="36" spans="1:8">
      <c r="A36">
        <v>361</v>
      </c>
      <c r="B36">
        <v>128</v>
      </c>
      <c r="C36">
        <v>455</v>
      </c>
    </row>
    <row r="37" spans="1:8">
      <c r="A37">
        <v>448</v>
      </c>
      <c r="B37">
        <v>128</v>
      </c>
      <c r="C37">
        <v>456</v>
      </c>
    </row>
    <row r="38" spans="1:8">
      <c r="A38">
        <v>430</v>
      </c>
      <c r="B38">
        <v>142</v>
      </c>
      <c r="C38">
        <v>457</v>
      </c>
    </row>
    <row r="39" spans="1:8">
      <c r="A39">
        <v>449</v>
      </c>
      <c r="B39">
        <v>149</v>
      </c>
      <c r="C39">
        <v>458</v>
      </c>
    </row>
    <row r="40" spans="1:8">
      <c r="A40">
        <v>364</v>
      </c>
      <c r="B40">
        <v>194</v>
      </c>
      <c r="C40">
        <v>248</v>
      </c>
    </row>
    <row r="41" spans="1:8">
      <c r="A41">
        <v>450</v>
      </c>
      <c r="B41">
        <v>213</v>
      </c>
      <c r="C41">
        <v>459</v>
      </c>
    </row>
    <row r="42" spans="1:8">
      <c r="A42" t="s">
        <v>1383</v>
      </c>
    </row>
    <row r="43" spans="1:8">
      <c r="A43" s="31">
        <v>407</v>
      </c>
      <c r="B43" s="31">
        <v>248</v>
      </c>
      <c r="C43" s="31">
        <v>84</v>
      </c>
      <c r="D43" s="31" t="s">
        <v>1386</v>
      </c>
    </row>
    <row r="45" spans="1:8">
      <c r="A45" t="s">
        <v>1384</v>
      </c>
    </row>
    <row r="47" spans="1:8">
      <c r="A47" t="s">
        <v>1300</v>
      </c>
      <c r="B47" t="s">
        <v>535</v>
      </c>
      <c r="C47" t="s">
        <v>537</v>
      </c>
      <c r="D47" t="s">
        <v>1289</v>
      </c>
      <c r="E47" t="s">
        <v>541</v>
      </c>
      <c r="F47" t="s">
        <v>1290</v>
      </c>
      <c r="G47" t="s">
        <v>540</v>
      </c>
      <c r="H47" t="s">
        <v>1291</v>
      </c>
    </row>
    <row r="48" spans="1:8">
      <c r="A48" t="s">
        <v>1237</v>
      </c>
    </row>
    <row r="50" spans="1:1">
      <c r="A50" t="s">
        <v>1301</v>
      </c>
    </row>
    <row r="51" spans="1:1">
      <c r="A51" t="s">
        <v>1302</v>
      </c>
    </row>
    <row r="55" spans="1:1">
      <c r="A55" t="s">
        <v>1353</v>
      </c>
    </row>
    <row r="58" spans="1:1">
      <c r="A58" t="s">
        <v>1359</v>
      </c>
    </row>
    <row r="59" spans="1:1">
      <c r="A59" t="s">
        <v>1360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31BE0-D61E-744E-B2CB-9B3F54D6425F}">
  <sheetPr codeName="Sheet14"/>
  <dimension ref="A1:M178"/>
  <sheetViews>
    <sheetView workbookViewId="0"/>
  </sheetViews>
  <sheetFormatPr baseColWidth="10" defaultRowHeight="66" customHeight="1"/>
  <cols>
    <col min="1" max="1" width="4.5" style="57" customWidth="1"/>
    <col min="2" max="2" width="11" style="56" customWidth="1"/>
    <col min="3" max="3" width="4" style="57" customWidth="1"/>
    <col min="4" max="4" width="10.83203125" style="56"/>
    <col min="5" max="5" width="10.83203125" style="57"/>
    <col min="6" max="6" width="26.33203125" style="56" customWidth="1"/>
    <col min="7" max="7" width="6.33203125" style="57" customWidth="1"/>
    <col min="8" max="8" width="7" style="57" customWidth="1"/>
    <col min="9" max="9" width="76.5" style="56" customWidth="1"/>
    <col min="10" max="10" width="48.5" style="56" customWidth="1"/>
    <col min="11" max="11" width="10.83203125" style="56"/>
    <col min="12" max="12" width="40.6640625" style="56" customWidth="1"/>
    <col min="13" max="13" width="52.33203125" style="56" customWidth="1"/>
    <col min="14" max="16384" width="10.83203125" style="56"/>
  </cols>
  <sheetData>
    <row r="1" spans="1:13" ht="48">
      <c r="A1" s="58" t="s">
        <v>1218</v>
      </c>
      <c r="B1" s="58" t="s">
        <v>186</v>
      </c>
      <c r="C1" s="58" t="s">
        <v>1232</v>
      </c>
      <c r="D1" s="58" t="s">
        <v>548</v>
      </c>
      <c r="E1" s="58" t="s">
        <v>34</v>
      </c>
      <c r="F1" s="58" t="s">
        <v>36</v>
      </c>
      <c r="G1" s="58" t="s">
        <v>535</v>
      </c>
      <c r="H1" s="58" t="s">
        <v>538</v>
      </c>
      <c r="I1" s="58" t="s">
        <v>547</v>
      </c>
      <c r="J1" s="58" t="s">
        <v>546</v>
      </c>
      <c r="L1" s="56" t="s">
        <v>1235</v>
      </c>
      <c r="M1" s="56" t="s">
        <v>1236</v>
      </c>
    </row>
    <row r="2" spans="1:13" ht="64">
      <c r="A2" s="57">
        <v>1</v>
      </c>
      <c r="B2" s="56" t="s">
        <v>1221</v>
      </c>
      <c r="C2" s="57">
        <v>1</v>
      </c>
      <c r="D2" s="56" t="s">
        <v>5</v>
      </c>
      <c r="E2" s="57">
        <v>10</v>
      </c>
      <c r="F2" s="56" t="s">
        <v>47</v>
      </c>
      <c r="G2" s="57">
        <v>10</v>
      </c>
      <c r="H2" s="57">
        <v>10</v>
      </c>
      <c r="I2" s="56" t="s">
        <v>915</v>
      </c>
      <c r="J2" s="56" t="s">
        <v>298</v>
      </c>
    </row>
    <row r="3" spans="1:13" ht="64">
      <c r="A3" s="57">
        <v>1</v>
      </c>
      <c r="B3" s="56" t="s">
        <v>1221</v>
      </c>
      <c r="C3" s="57">
        <v>2</v>
      </c>
      <c r="D3" s="56" t="s">
        <v>6</v>
      </c>
      <c r="E3" s="57">
        <v>10</v>
      </c>
      <c r="F3" s="56" t="s">
        <v>47</v>
      </c>
      <c r="G3" s="57">
        <v>35</v>
      </c>
      <c r="H3" s="57">
        <v>10</v>
      </c>
      <c r="I3" s="56" t="s">
        <v>915</v>
      </c>
      <c r="J3" s="56" t="s">
        <v>298</v>
      </c>
    </row>
    <row r="4" spans="1:13" ht="64">
      <c r="A4" s="57">
        <v>1</v>
      </c>
      <c r="B4" s="56" t="s">
        <v>1221</v>
      </c>
      <c r="C4" s="57">
        <v>7</v>
      </c>
      <c r="D4" s="56" t="s">
        <v>11</v>
      </c>
      <c r="E4" s="57">
        <v>10</v>
      </c>
      <c r="F4" s="56" t="s">
        <v>47</v>
      </c>
      <c r="G4" s="57">
        <v>75</v>
      </c>
      <c r="H4" s="57">
        <v>10</v>
      </c>
      <c r="I4" s="56" t="s">
        <v>915</v>
      </c>
      <c r="J4" s="56" t="s">
        <v>298</v>
      </c>
    </row>
    <row r="5" spans="1:13" ht="64">
      <c r="A5" s="57">
        <v>2</v>
      </c>
      <c r="B5" s="56" t="s">
        <v>1223</v>
      </c>
      <c r="C5" s="57">
        <v>7</v>
      </c>
      <c r="D5" s="56" t="s">
        <v>11</v>
      </c>
      <c r="E5" s="57">
        <v>10</v>
      </c>
      <c r="F5" s="56" t="s">
        <v>47</v>
      </c>
      <c r="G5" s="57">
        <v>106</v>
      </c>
      <c r="H5" s="57">
        <v>10</v>
      </c>
      <c r="I5" s="56" t="s">
        <v>915</v>
      </c>
      <c r="J5" s="56" t="s">
        <v>298</v>
      </c>
    </row>
    <row r="6" spans="1:13" ht="64">
      <c r="A6" s="57">
        <v>3</v>
      </c>
      <c r="B6" s="56" t="s">
        <v>277</v>
      </c>
      <c r="C6" s="57">
        <v>1</v>
      </c>
      <c r="D6" s="56" t="s">
        <v>5</v>
      </c>
      <c r="E6" s="57">
        <v>10</v>
      </c>
      <c r="F6" s="56" t="s">
        <v>47</v>
      </c>
      <c r="G6" s="57">
        <v>147</v>
      </c>
      <c r="H6" s="57">
        <v>10</v>
      </c>
      <c r="I6" s="56" t="s">
        <v>915</v>
      </c>
      <c r="J6" s="56" t="s">
        <v>298</v>
      </c>
    </row>
    <row r="7" spans="1:13" ht="64">
      <c r="A7" s="57">
        <v>3</v>
      </c>
      <c r="B7" s="56" t="s">
        <v>277</v>
      </c>
      <c r="C7" s="57">
        <v>2</v>
      </c>
      <c r="D7" s="56" t="s">
        <v>6</v>
      </c>
      <c r="E7" s="57">
        <v>10</v>
      </c>
      <c r="F7" s="56" t="s">
        <v>47</v>
      </c>
      <c r="G7" s="57">
        <v>172</v>
      </c>
      <c r="H7" s="57">
        <v>10</v>
      </c>
      <c r="I7" s="56" t="s">
        <v>915</v>
      </c>
      <c r="J7" s="56" t="s">
        <v>298</v>
      </c>
    </row>
    <row r="8" spans="1:13" ht="64">
      <c r="A8" s="57">
        <v>3</v>
      </c>
      <c r="B8" s="56" t="s">
        <v>277</v>
      </c>
      <c r="C8" s="57">
        <v>7</v>
      </c>
      <c r="D8" s="56" t="s">
        <v>11</v>
      </c>
      <c r="E8" s="57">
        <v>10</v>
      </c>
      <c r="F8" s="56" t="s">
        <v>47</v>
      </c>
      <c r="G8" s="57">
        <v>212</v>
      </c>
      <c r="H8" s="57">
        <v>10</v>
      </c>
      <c r="I8" s="56" t="s">
        <v>915</v>
      </c>
      <c r="J8" s="56" t="s">
        <v>298</v>
      </c>
    </row>
    <row r="9" spans="1:13" ht="112">
      <c r="A9" s="57">
        <v>4</v>
      </c>
      <c r="B9" s="56" t="s">
        <v>1226</v>
      </c>
      <c r="C9" s="57">
        <v>7</v>
      </c>
      <c r="D9" s="56" t="s">
        <v>11</v>
      </c>
      <c r="E9" s="57">
        <v>10</v>
      </c>
      <c r="F9" s="56" t="s">
        <v>47</v>
      </c>
      <c r="G9" s="57">
        <v>378</v>
      </c>
      <c r="H9" s="57">
        <v>10</v>
      </c>
      <c r="I9" s="56" t="s">
        <v>805</v>
      </c>
      <c r="J9" s="56" t="s">
        <v>806</v>
      </c>
    </row>
    <row r="10" spans="1:13" ht="64">
      <c r="A10" s="57">
        <v>5</v>
      </c>
      <c r="B10" s="56" t="s">
        <v>1227</v>
      </c>
      <c r="C10" s="57">
        <v>7</v>
      </c>
      <c r="D10" s="56" t="s">
        <v>11</v>
      </c>
      <c r="E10" s="57">
        <v>10</v>
      </c>
      <c r="F10" s="56" t="s">
        <v>47</v>
      </c>
      <c r="G10" s="57">
        <v>469</v>
      </c>
      <c r="H10" s="57">
        <v>10</v>
      </c>
      <c r="I10" s="56" t="s">
        <v>915</v>
      </c>
      <c r="J10" s="56" t="s">
        <v>298</v>
      </c>
    </row>
    <row r="11" spans="1:13" ht="64">
      <c r="A11" s="57">
        <v>6</v>
      </c>
      <c r="B11" s="56" t="s">
        <v>28</v>
      </c>
      <c r="C11" s="57">
        <v>7</v>
      </c>
      <c r="D11" s="56" t="s">
        <v>11</v>
      </c>
      <c r="E11" s="57">
        <v>10</v>
      </c>
      <c r="F11" s="56" t="s">
        <v>47</v>
      </c>
      <c r="G11" s="57">
        <v>572</v>
      </c>
      <c r="H11" s="57">
        <v>10</v>
      </c>
      <c r="I11" s="56" t="s">
        <v>915</v>
      </c>
      <c r="J11" s="56" t="s">
        <v>298</v>
      </c>
    </row>
    <row r="12" spans="1:13" ht="128">
      <c r="A12" s="57">
        <v>7</v>
      </c>
      <c r="B12" s="56" t="s">
        <v>1230</v>
      </c>
      <c r="C12" s="57">
        <v>7</v>
      </c>
      <c r="D12" s="56" t="s">
        <v>11</v>
      </c>
      <c r="E12" s="57">
        <v>10</v>
      </c>
      <c r="F12" s="56" t="s">
        <v>47</v>
      </c>
      <c r="G12" s="57">
        <v>643</v>
      </c>
      <c r="H12" s="57">
        <v>10</v>
      </c>
      <c r="I12" s="56" t="s">
        <v>1071</v>
      </c>
      <c r="J12" s="56" t="s">
        <v>1072</v>
      </c>
    </row>
    <row r="13" spans="1:13" ht="80">
      <c r="A13" s="57">
        <v>1</v>
      </c>
      <c r="B13" s="56" t="s">
        <v>1221</v>
      </c>
      <c r="C13" s="57">
        <v>2</v>
      </c>
      <c r="D13" s="56" t="s">
        <v>6</v>
      </c>
      <c r="E13" s="57">
        <v>32</v>
      </c>
      <c r="F13" s="56" t="s">
        <v>32</v>
      </c>
      <c r="G13" s="57">
        <v>32</v>
      </c>
      <c r="H13" s="57">
        <v>32</v>
      </c>
      <c r="I13" s="56" t="s">
        <v>1123</v>
      </c>
      <c r="J13" s="56" t="s">
        <v>298</v>
      </c>
    </row>
    <row r="14" spans="1:13" ht="80">
      <c r="A14" s="57">
        <v>3</v>
      </c>
      <c r="B14" s="56" t="s">
        <v>277</v>
      </c>
      <c r="C14" s="57">
        <v>2</v>
      </c>
      <c r="D14" s="56" t="s">
        <v>6</v>
      </c>
      <c r="E14" s="57">
        <v>32</v>
      </c>
      <c r="F14" s="56" t="s">
        <v>32</v>
      </c>
      <c r="G14" s="57">
        <v>169</v>
      </c>
      <c r="H14" s="57">
        <v>32</v>
      </c>
      <c r="I14" s="56" t="s">
        <v>1123</v>
      </c>
      <c r="J14" s="56" t="s">
        <v>298</v>
      </c>
    </row>
    <row r="15" spans="1:13" ht="16">
      <c r="A15" s="57">
        <v>6</v>
      </c>
      <c r="B15" s="56" t="s">
        <v>28</v>
      </c>
      <c r="C15" s="57">
        <v>24</v>
      </c>
      <c r="D15" s="56" t="s">
        <v>28</v>
      </c>
      <c r="E15" s="57">
        <v>32</v>
      </c>
      <c r="F15" s="56" t="s">
        <v>32</v>
      </c>
      <c r="G15" s="57">
        <v>556</v>
      </c>
      <c r="H15" s="57">
        <v>32</v>
      </c>
      <c r="I15" s="56" t="s">
        <v>994</v>
      </c>
      <c r="J15" s="56" t="s">
        <v>298</v>
      </c>
    </row>
    <row r="16" spans="1:13" ht="48">
      <c r="A16" s="57">
        <v>1</v>
      </c>
      <c r="B16" s="56" t="s">
        <v>1221</v>
      </c>
      <c r="C16" s="57">
        <v>2</v>
      </c>
      <c r="D16" s="56" t="s">
        <v>6</v>
      </c>
      <c r="E16" s="57">
        <v>33</v>
      </c>
      <c r="F16" s="56" t="s">
        <v>70</v>
      </c>
      <c r="G16" s="57">
        <v>33</v>
      </c>
      <c r="H16" s="57">
        <v>33</v>
      </c>
      <c r="I16" s="56" t="s">
        <v>1124</v>
      </c>
      <c r="J16" s="56" t="s">
        <v>298</v>
      </c>
    </row>
    <row r="17" spans="1:10" ht="48">
      <c r="A17" s="57">
        <v>1</v>
      </c>
      <c r="B17" s="56" t="s">
        <v>1221</v>
      </c>
      <c r="C17" s="57">
        <v>3</v>
      </c>
      <c r="D17" s="56" t="s">
        <v>7</v>
      </c>
      <c r="E17" s="57">
        <v>33</v>
      </c>
      <c r="F17" s="56" t="s">
        <v>70</v>
      </c>
      <c r="G17" s="57">
        <v>48</v>
      </c>
      <c r="H17" s="57">
        <v>33</v>
      </c>
      <c r="I17" s="56" t="s">
        <v>1125</v>
      </c>
      <c r="J17" s="56" t="s">
        <v>298</v>
      </c>
    </row>
    <row r="18" spans="1:10" ht="48">
      <c r="A18" s="57">
        <v>3</v>
      </c>
      <c r="B18" s="56" t="s">
        <v>277</v>
      </c>
      <c r="C18" s="57">
        <v>2</v>
      </c>
      <c r="D18" s="56" t="s">
        <v>6</v>
      </c>
      <c r="E18" s="57">
        <v>33</v>
      </c>
      <c r="F18" s="56" t="s">
        <v>70</v>
      </c>
      <c r="G18" s="57">
        <v>170</v>
      </c>
      <c r="H18" s="57">
        <v>33</v>
      </c>
      <c r="I18" s="56" t="s">
        <v>1124</v>
      </c>
      <c r="J18" s="56" t="s">
        <v>298</v>
      </c>
    </row>
    <row r="19" spans="1:10" ht="48">
      <c r="A19" s="57">
        <v>3</v>
      </c>
      <c r="B19" s="56" t="s">
        <v>277</v>
      </c>
      <c r="C19" s="57">
        <v>3</v>
      </c>
      <c r="D19" s="56" t="s">
        <v>7</v>
      </c>
      <c r="E19" s="57">
        <v>33</v>
      </c>
      <c r="F19" s="56" t="s">
        <v>70</v>
      </c>
      <c r="G19" s="57">
        <v>185</v>
      </c>
      <c r="H19" s="57">
        <v>33</v>
      </c>
      <c r="I19" s="56" t="s">
        <v>1125</v>
      </c>
      <c r="J19" s="56" t="s">
        <v>298</v>
      </c>
    </row>
    <row r="20" spans="1:10" ht="320">
      <c r="A20" s="57">
        <v>1</v>
      </c>
      <c r="B20" s="56" t="s">
        <v>1221</v>
      </c>
      <c r="C20" s="57">
        <v>5</v>
      </c>
      <c r="D20" s="56" t="s">
        <v>9</v>
      </c>
      <c r="E20" s="57">
        <v>55</v>
      </c>
      <c r="F20" s="56" t="s">
        <v>93</v>
      </c>
      <c r="G20" s="57">
        <v>58</v>
      </c>
      <c r="H20" s="57">
        <v>55</v>
      </c>
      <c r="I20" s="56" t="s">
        <v>1147</v>
      </c>
      <c r="J20" s="56" t="s">
        <v>298</v>
      </c>
    </row>
    <row r="21" spans="1:10" ht="320">
      <c r="A21" s="57">
        <v>2</v>
      </c>
      <c r="B21" s="56" t="s">
        <v>1223</v>
      </c>
      <c r="C21" s="57">
        <v>5</v>
      </c>
      <c r="D21" s="56" t="s">
        <v>9</v>
      </c>
      <c r="E21" s="57">
        <v>55</v>
      </c>
      <c r="F21" s="56" t="s">
        <v>93</v>
      </c>
      <c r="G21" s="57">
        <v>90</v>
      </c>
      <c r="H21" s="57">
        <v>55</v>
      </c>
      <c r="I21" s="56" t="s">
        <v>1147</v>
      </c>
      <c r="J21" s="56" t="s">
        <v>298</v>
      </c>
    </row>
    <row r="22" spans="1:10" ht="320">
      <c r="A22" s="57">
        <v>3</v>
      </c>
      <c r="B22" s="56" t="s">
        <v>277</v>
      </c>
      <c r="C22" s="57">
        <v>5</v>
      </c>
      <c r="D22" s="56" t="s">
        <v>9</v>
      </c>
      <c r="E22" s="57">
        <v>55</v>
      </c>
      <c r="F22" s="56" t="s">
        <v>93</v>
      </c>
      <c r="G22" s="57">
        <v>195</v>
      </c>
      <c r="H22" s="57">
        <v>55</v>
      </c>
      <c r="I22" s="56" t="s">
        <v>1147</v>
      </c>
      <c r="J22" s="56" t="s">
        <v>298</v>
      </c>
    </row>
    <row r="23" spans="1:10" ht="80">
      <c r="A23" s="57">
        <v>4</v>
      </c>
      <c r="B23" s="56" t="s">
        <v>1226</v>
      </c>
      <c r="C23" s="57">
        <v>13</v>
      </c>
      <c r="D23" s="56" t="s">
        <v>17</v>
      </c>
      <c r="E23" s="57">
        <v>55</v>
      </c>
      <c r="F23" s="56" t="s">
        <v>93</v>
      </c>
      <c r="G23" s="57">
        <v>272</v>
      </c>
      <c r="H23" s="57">
        <v>55</v>
      </c>
      <c r="I23" s="56" t="s">
        <v>609</v>
      </c>
      <c r="J23" s="56" t="s">
        <v>610</v>
      </c>
    </row>
    <row r="24" spans="1:10" ht="32">
      <c r="A24" s="57">
        <v>6</v>
      </c>
      <c r="B24" s="56" t="s">
        <v>28</v>
      </c>
      <c r="C24" s="57">
        <v>8</v>
      </c>
      <c r="D24" s="56" t="s">
        <v>12</v>
      </c>
      <c r="E24" s="57">
        <v>55</v>
      </c>
      <c r="F24" s="56" t="s">
        <v>93</v>
      </c>
      <c r="G24" s="57">
        <v>591</v>
      </c>
      <c r="H24" s="57">
        <v>55</v>
      </c>
      <c r="I24" s="56" t="s">
        <v>1018</v>
      </c>
      <c r="J24" s="56" t="s">
        <v>298</v>
      </c>
    </row>
    <row r="25" spans="1:10" ht="160">
      <c r="A25" s="57">
        <v>1</v>
      </c>
      <c r="B25" s="56" t="s">
        <v>1221</v>
      </c>
      <c r="C25" s="57">
        <v>5</v>
      </c>
      <c r="D25" s="56" t="s">
        <v>9</v>
      </c>
      <c r="E25" s="57">
        <v>56</v>
      </c>
      <c r="F25" s="56" t="s">
        <v>94</v>
      </c>
      <c r="G25" s="57">
        <v>59</v>
      </c>
      <c r="H25" s="57">
        <v>56</v>
      </c>
      <c r="I25" s="56" t="s">
        <v>1148</v>
      </c>
      <c r="J25" s="56" t="s">
        <v>298</v>
      </c>
    </row>
    <row r="26" spans="1:10" ht="160">
      <c r="A26" s="57">
        <v>2</v>
      </c>
      <c r="B26" s="56" t="s">
        <v>1223</v>
      </c>
      <c r="C26" s="57">
        <v>5</v>
      </c>
      <c r="D26" s="56" t="s">
        <v>9</v>
      </c>
      <c r="E26" s="57">
        <v>56</v>
      </c>
      <c r="F26" s="56" t="s">
        <v>94</v>
      </c>
      <c r="G26" s="57">
        <v>91</v>
      </c>
      <c r="H26" s="57">
        <v>56</v>
      </c>
      <c r="I26" s="56" t="s">
        <v>1148</v>
      </c>
      <c r="J26" s="56" t="s">
        <v>298</v>
      </c>
    </row>
    <row r="27" spans="1:10" ht="160">
      <c r="A27" s="57">
        <v>3</v>
      </c>
      <c r="B27" s="56" t="s">
        <v>277</v>
      </c>
      <c r="C27" s="57">
        <v>5</v>
      </c>
      <c r="D27" s="56" t="s">
        <v>9</v>
      </c>
      <c r="E27" s="57">
        <v>56</v>
      </c>
      <c r="F27" s="56" t="s">
        <v>94</v>
      </c>
      <c r="G27" s="57">
        <v>196</v>
      </c>
      <c r="H27" s="57">
        <v>56</v>
      </c>
      <c r="I27" s="56" t="s">
        <v>1148</v>
      </c>
      <c r="J27" s="56" t="s">
        <v>298</v>
      </c>
    </row>
    <row r="28" spans="1:10" ht="128">
      <c r="A28" s="57">
        <v>4</v>
      </c>
      <c r="B28" s="56" t="s">
        <v>1226</v>
      </c>
      <c r="C28" s="57">
        <v>13</v>
      </c>
      <c r="D28" s="56" t="s">
        <v>17</v>
      </c>
      <c r="E28" s="57">
        <v>56</v>
      </c>
      <c r="F28" s="56" t="s">
        <v>94</v>
      </c>
      <c r="G28" s="57">
        <v>269</v>
      </c>
      <c r="H28" s="57">
        <v>56</v>
      </c>
      <c r="I28" s="56" t="s">
        <v>603</v>
      </c>
      <c r="J28" s="56" t="s">
        <v>604</v>
      </c>
    </row>
    <row r="29" spans="1:10" ht="64">
      <c r="A29" s="57">
        <v>1</v>
      </c>
      <c r="B29" s="56" t="s">
        <v>1221</v>
      </c>
      <c r="C29" s="57">
        <v>6</v>
      </c>
      <c r="D29" s="56" t="s">
        <v>10</v>
      </c>
      <c r="E29" s="57">
        <v>65</v>
      </c>
      <c r="F29" s="56" t="s">
        <v>362</v>
      </c>
      <c r="G29" s="57">
        <v>68</v>
      </c>
      <c r="H29" s="57">
        <v>65</v>
      </c>
      <c r="I29" s="56" t="s">
        <v>1157</v>
      </c>
      <c r="J29" s="56" t="s">
        <v>298</v>
      </c>
    </row>
    <row r="30" spans="1:10" ht="64">
      <c r="A30" s="57">
        <v>2</v>
      </c>
      <c r="B30" s="56" t="s">
        <v>1223</v>
      </c>
      <c r="C30" s="57">
        <v>6</v>
      </c>
      <c r="D30" s="56" t="s">
        <v>10</v>
      </c>
      <c r="E30" s="57">
        <v>65</v>
      </c>
      <c r="F30" s="56" t="s">
        <v>362</v>
      </c>
      <c r="G30" s="57">
        <v>99</v>
      </c>
      <c r="H30" s="57">
        <v>65</v>
      </c>
      <c r="I30" s="56" t="s">
        <v>1157</v>
      </c>
      <c r="J30" s="56" t="s">
        <v>298</v>
      </c>
    </row>
    <row r="31" spans="1:10" ht="64">
      <c r="A31" s="57">
        <v>3</v>
      </c>
      <c r="B31" s="56" t="s">
        <v>277</v>
      </c>
      <c r="C31" s="57">
        <v>6</v>
      </c>
      <c r="D31" s="56" t="s">
        <v>10</v>
      </c>
      <c r="E31" s="57">
        <v>65</v>
      </c>
      <c r="F31" s="56" t="s">
        <v>362</v>
      </c>
      <c r="G31" s="57">
        <v>205</v>
      </c>
      <c r="H31" s="57">
        <v>65</v>
      </c>
      <c r="I31" s="56" t="s">
        <v>1157</v>
      </c>
      <c r="J31" s="56" t="s">
        <v>298</v>
      </c>
    </row>
    <row r="32" spans="1:10" ht="80">
      <c r="A32" s="57">
        <v>5</v>
      </c>
      <c r="B32" s="56" t="s">
        <v>1227</v>
      </c>
      <c r="C32" s="57">
        <v>6</v>
      </c>
      <c r="D32" s="56" t="s">
        <v>10</v>
      </c>
      <c r="E32" s="57">
        <v>65</v>
      </c>
      <c r="F32" s="56" t="s">
        <v>362</v>
      </c>
      <c r="G32" s="57">
        <v>484</v>
      </c>
      <c r="H32" s="57">
        <v>65</v>
      </c>
      <c r="I32" s="56" t="s">
        <v>926</v>
      </c>
      <c r="J32" s="56" t="s">
        <v>298</v>
      </c>
    </row>
    <row r="33" spans="1:10" ht="32">
      <c r="A33" s="57">
        <v>6</v>
      </c>
      <c r="B33" s="56" t="s">
        <v>28</v>
      </c>
      <c r="C33" s="57">
        <v>6</v>
      </c>
      <c r="D33" s="56" t="s">
        <v>10</v>
      </c>
      <c r="E33" s="57">
        <v>65</v>
      </c>
      <c r="F33" s="56" t="s">
        <v>362</v>
      </c>
      <c r="G33" s="57">
        <v>587</v>
      </c>
      <c r="H33" s="57">
        <v>65</v>
      </c>
      <c r="I33" s="56" t="s">
        <v>1015</v>
      </c>
      <c r="J33" s="56" t="s">
        <v>298</v>
      </c>
    </row>
    <row r="34" spans="1:10" ht="32">
      <c r="A34" s="57">
        <v>7</v>
      </c>
      <c r="B34" s="56" t="s">
        <v>1230</v>
      </c>
      <c r="C34" s="57">
        <v>6</v>
      </c>
      <c r="D34" s="56" t="s">
        <v>10</v>
      </c>
      <c r="E34" s="57">
        <v>65</v>
      </c>
      <c r="F34" s="56" t="s">
        <v>362</v>
      </c>
      <c r="G34" s="57">
        <v>661</v>
      </c>
      <c r="H34" s="57">
        <v>65</v>
      </c>
      <c r="I34" s="56" t="s">
        <v>1089</v>
      </c>
      <c r="J34" s="56" t="s">
        <v>298</v>
      </c>
    </row>
    <row r="35" spans="1:10" ht="64">
      <c r="A35" s="57">
        <v>1</v>
      </c>
      <c r="B35" s="56" t="s">
        <v>1221</v>
      </c>
      <c r="C35" s="57">
        <v>6</v>
      </c>
      <c r="D35" s="56" t="s">
        <v>10</v>
      </c>
      <c r="E35" s="57">
        <v>66</v>
      </c>
      <c r="F35" s="56" t="s">
        <v>286</v>
      </c>
      <c r="G35" s="57">
        <v>69</v>
      </c>
      <c r="H35" s="57">
        <v>66</v>
      </c>
      <c r="I35" s="56" t="s">
        <v>841</v>
      </c>
      <c r="J35" s="56" t="s">
        <v>298</v>
      </c>
    </row>
    <row r="36" spans="1:10" ht="64">
      <c r="A36" s="57">
        <v>2</v>
      </c>
      <c r="B36" s="56" t="s">
        <v>1223</v>
      </c>
      <c r="C36" s="57">
        <v>6</v>
      </c>
      <c r="D36" s="56" t="s">
        <v>10</v>
      </c>
      <c r="E36" s="57">
        <v>66</v>
      </c>
      <c r="F36" s="56" t="s">
        <v>286</v>
      </c>
      <c r="G36" s="57">
        <v>100</v>
      </c>
      <c r="H36" s="57">
        <v>66</v>
      </c>
      <c r="I36" s="56" t="s">
        <v>841</v>
      </c>
      <c r="J36" s="56" t="s">
        <v>298</v>
      </c>
    </row>
    <row r="37" spans="1:10" ht="64">
      <c r="A37" s="57">
        <v>3</v>
      </c>
      <c r="B37" s="56" t="s">
        <v>277</v>
      </c>
      <c r="C37" s="57">
        <v>6</v>
      </c>
      <c r="D37" s="56" t="s">
        <v>10</v>
      </c>
      <c r="E37" s="57">
        <v>66</v>
      </c>
      <c r="F37" s="56" t="s">
        <v>286</v>
      </c>
      <c r="G37" s="57">
        <v>206</v>
      </c>
      <c r="H37" s="57">
        <v>66</v>
      </c>
      <c r="I37" s="56" t="s">
        <v>841</v>
      </c>
      <c r="J37" s="56" t="s">
        <v>298</v>
      </c>
    </row>
    <row r="38" spans="1:10" ht="96">
      <c r="A38" s="57">
        <v>4</v>
      </c>
      <c r="B38" s="56" t="s">
        <v>1226</v>
      </c>
      <c r="C38" s="57">
        <v>6</v>
      </c>
      <c r="D38" s="56" t="s">
        <v>10</v>
      </c>
      <c r="E38" s="57">
        <v>66</v>
      </c>
      <c r="F38" s="56" t="s">
        <v>286</v>
      </c>
      <c r="G38" s="57">
        <v>396</v>
      </c>
      <c r="H38" s="57">
        <v>66</v>
      </c>
      <c r="I38" s="56" t="s">
        <v>841</v>
      </c>
      <c r="J38" s="56" t="s">
        <v>842</v>
      </c>
    </row>
    <row r="39" spans="1:10" ht="64">
      <c r="A39" s="57">
        <v>5</v>
      </c>
      <c r="B39" s="56" t="s">
        <v>1227</v>
      </c>
      <c r="C39" s="57">
        <v>6</v>
      </c>
      <c r="D39" s="56" t="s">
        <v>10</v>
      </c>
      <c r="E39" s="57">
        <v>66</v>
      </c>
      <c r="F39" s="56" t="s">
        <v>286</v>
      </c>
      <c r="G39" s="57">
        <v>486</v>
      </c>
      <c r="H39" s="57">
        <v>66</v>
      </c>
      <c r="I39" s="56" t="s">
        <v>841</v>
      </c>
      <c r="J39" s="56" t="s">
        <v>298</v>
      </c>
    </row>
    <row r="40" spans="1:10" ht="64">
      <c r="A40" s="57">
        <v>6</v>
      </c>
      <c r="B40" s="56" t="s">
        <v>28</v>
      </c>
      <c r="C40" s="57">
        <v>6</v>
      </c>
      <c r="D40" s="56" t="s">
        <v>10</v>
      </c>
      <c r="E40" s="57">
        <v>66</v>
      </c>
      <c r="F40" s="56" t="s">
        <v>286</v>
      </c>
      <c r="G40" s="57">
        <v>589</v>
      </c>
      <c r="H40" s="57">
        <v>66</v>
      </c>
      <c r="I40" s="56" t="s">
        <v>841</v>
      </c>
      <c r="J40" s="56" t="s">
        <v>298</v>
      </c>
    </row>
    <row r="41" spans="1:10" ht="48">
      <c r="A41" s="57">
        <v>7</v>
      </c>
      <c r="B41" s="56" t="s">
        <v>1230</v>
      </c>
      <c r="C41" s="57">
        <v>7</v>
      </c>
      <c r="D41" s="56" t="s">
        <v>11</v>
      </c>
      <c r="E41" s="57">
        <v>66</v>
      </c>
      <c r="F41" s="56" t="s">
        <v>286</v>
      </c>
      <c r="G41" s="57">
        <v>648</v>
      </c>
      <c r="H41" s="57">
        <v>66</v>
      </c>
      <c r="I41" s="56" t="s">
        <v>1075</v>
      </c>
      <c r="J41" s="56" t="s">
        <v>1158</v>
      </c>
    </row>
    <row r="42" spans="1:10" ht="64">
      <c r="A42" s="57">
        <v>1</v>
      </c>
      <c r="B42" s="56" t="s">
        <v>1221</v>
      </c>
      <c r="C42" s="57">
        <v>6</v>
      </c>
      <c r="D42" s="56" t="s">
        <v>10</v>
      </c>
      <c r="E42" s="57">
        <v>67</v>
      </c>
      <c r="F42" s="56" t="s">
        <v>288</v>
      </c>
      <c r="G42" s="57">
        <v>70</v>
      </c>
      <c r="H42" s="57">
        <v>67</v>
      </c>
      <c r="I42" s="56" t="s">
        <v>1159</v>
      </c>
      <c r="J42" s="56" t="s">
        <v>298</v>
      </c>
    </row>
    <row r="43" spans="1:10" ht="64">
      <c r="A43" s="57">
        <v>2</v>
      </c>
      <c r="B43" s="56" t="s">
        <v>1223</v>
      </c>
      <c r="C43" s="57">
        <v>6</v>
      </c>
      <c r="D43" s="56" t="s">
        <v>10</v>
      </c>
      <c r="E43" s="57">
        <v>67</v>
      </c>
      <c r="F43" s="56" t="s">
        <v>288</v>
      </c>
      <c r="G43" s="57">
        <v>101</v>
      </c>
      <c r="H43" s="57">
        <v>67</v>
      </c>
      <c r="I43" s="56" t="s">
        <v>1159</v>
      </c>
      <c r="J43" s="56" t="s">
        <v>298</v>
      </c>
    </row>
    <row r="44" spans="1:10" ht="64">
      <c r="A44" s="57">
        <v>3</v>
      </c>
      <c r="B44" s="56" t="s">
        <v>277</v>
      </c>
      <c r="C44" s="57">
        <v>6</v>
      </c>
      <c r="D44" s="56" t="s">
        <v>10</v>
      </c>
      <c r="E44" s="57">
        <v>67</v>
      </c>
      <c r="F44" s="56" t="s">
        <v>288</v>
      </c>
      <c r="G44" s="57">
        <v>207</v>
      </c>
      <c r="H44" s="57">
        <v>67</v>
      </c>
      <c r="I44" s="56" t="s">
        <v>1159</v>
      </c>
      <c r="J44" s="56" t="s">
        <v>298</v>
      </c>
    </row>
    <row r="45" spans="1:10" ht="32">
      <c r="A45" s="57">
        <v>4</v>
      </c>
      <c r="B45" s="56" t="s">
        <v>1226</v>
      </c>
      <c r="C45" s="57">
        <v>6</v>
      </c>
      <c r="D45" s="56" t="s">
        <v>10</v>
      </c>
      <c r="E45" s="57">
        <v>67</v>
      </c>
      <c r="F45" s="56" t="s">
        <v>288</v>
      </c>
      <c r="G45" s="57">
        <v>398</v>
      </c>
      <c r="H45" s="57">
        <v>67</v>
      </c>
      <c r="I45" s="56" t="s">
        <v>845</v>
      </c>
      <c r="J45" s="56" t="s">
        <v>846</v>
      </c>
    </row>
    <row r="46" spans="1:10" ht="32">
      <c r="A46" s="57">
        <v>1</v>
      </c>
      <c r="B46" s="56" t="s">
        <v>1221</v>
      </c>
      <c r="C46" s="57">
        <v>6</v>
      </c>
      <c r="D46" s="56" t="s">
        <v>10</v>
      </c>
      <c r="E46" s="57">
        <v>69</v>
      </c>
      <c r="F46" s="56" t="s">
        <v>105</v>
      </c>
      <c r="G46" s="57">
        <v>72</v>
      </c>
      <c r="H46" s="57">
        <v>69</v>
      </c>
      <c r="I46" s="56" t="s">
        <v>1161</v>
      </c>
      <c r="J46" s="56" t="s">
        <v>298</v>
      </c>
    </row>
    <row r="47" spans="1:10" ht="32">
      <c r="A47" s="57">
        <v>2</v>
      </c>
      <c r="B47" s="56" t="s">
        <v>1223</v>
      </c>
      <c r="C47" s="57">
        <v>6</v>
      </c>
      <c r="D47" s="56" t="s">
        <v>10</v>
      </c>
      <c r="E47" s="57">
        <v>69</v>
      </c>
      <c r="F47" s="56" t="s">
        <v>105</v>
      </c>
      <c r="G47" s="57">
        <v>103</v>
      </c>
      <c r="H47" s="57">
        <v>69</v>
      </c>
      <c r="I47" s="56" t="s">
        <v>1161</v>
      </c>
      <c r="J47" s="56" t="s">
        <v>298</v>
      </c>
    </row>
    <row r="48" spans="1:10" ht="32">
      <c r="A48" s="57">
        <v>3</v>
      </c>
      <c r="B48" s="56" t="s">
        <v>277</v>
      </c>
      <c r="C48" s="57">
        <v>6</v>
      </c>
      <c r="D48" s="56" t="s">
        <v>10</v>
      </c>
      <c r="E48" s="57">
        <v>69</v>
      </c>
      <c r="F48" s="56" t="s">
        <v>105</v>
      </c>
      <c r="G48" s="57">
        <v>209</v>
      </c>
      <c r="H48" s="57">
        <v>69</v>
      </c>
      <c r="I48" s="56" t="s">
        <v>1161</v>
      </c>
      <c r="J48" s="56" t="s">
        <v>298</v>
      </c>
    </row>
    <row r="49" spans="1:10" ht="32">
      <c r="A49" s="57">
        <v>4</v>
      </c>
      <c r="B49" s="56" t="s">
        <v>1226</v>
      </c>
      <c r="C49" s="57">
        <v>6</v>
      </c>
      <c r="D49" s="56" t="s">
        <v>10</v>
      </c>
      <c r="E49" s="57">
        <v>69</v>
      </c>
      <c r="F49" s="56" t="s">
        <v>105</v>
      </c>
      <c r="G49" s="57">
        <v>401</v>
      </c>
      <c r="H49" s="57">
        <v>69</v>
      </c>
      <c r="I49" s="56" t="s">
        <v>849</v>
      </c>
      <c r="J49" s="56" t="s">
        <v>846</v>
      </c>
    </row>
    <row r="50" spans="1:10" ht="48">
      <c r="A50" s="57">
        <v>1</v>
      </c>
      <c r="B50" s="56" t="s">
        <v>1221</v>
      </c>
      <c r="C50" s="57">
        <v>7</v>
      </c>
      <c r="D50" s="56" t="s">
        <v>11</v>
      </c>
      <c r="E50" s="57">
        <v>73</v>
      </c>
      <c r="F50" s="56" t="s">
        <v>353</v>
      </c>
      <c r="G50" s="57">
        <v>77</v>
      </c>
      <c r="H50" s="57">
        <v>73</v>
      </c>
      <c r="I50" s="56" t="s">
        <v>1165</v>
      </c>
      <c r="J50" s="56" t="s">
        <v>298</v>
      </c>
    </row>
    <row r="51" spans="1:10" ht="48">
      <c r="A51" s="57">
        <v>2</v>
      </c>
      <c r="B51" s="56" t="s">
        <v>1223</v>
      </c>
      <c r="C51" s="57">
        <v>7</v>
      </c>
      <c r="D51" s="56" t="s">
        <v>11</v>
      </c>
      <c r="E51" s="57">
        <v>73</v>
      </c>
      <c r="F51" s="56" t="s">
        <v>353</v>
      </c>
      <c r="G51" s="57">
        <v>108</v>
      </c>
      <c r="H51" s="57">
        <v>73</v>
      </c>
      <c r="I51" s="56" t="s">
        <v>1165</v>
      </c>
      <c r="J51" s="56" t="s">
        <v>298</v>
      </c>
    </row>
    <row r="52" spans="1:10" ht="48">
      <c r="A52" s="57">
        <v>3</v>
      </c>
      <c r="B52" s="56" t="s">
        <v>277</v>
      </c>
      <c r="C52" s="57">
        <v>7</v>
      </c>
      <c r="D52" s="56" t="s">
        <v>11</v>
      </c>
      <c r="E52" s="57">
        <v>73</v>
      </c>
      <c r="F52" s="56" t="s">
        <v>353</v>
      </c>
      <c r="G52" s="57">
        <v>214</v>
      </c>
      <c r="H52" s="57">
        <v>73</v>
      </c>
      <c r="I52" s="56" t="s">
        <v>1165</v>
      </c>
      <c r="J52" s="56" t="s">
        <v>298</v>
      </c>
    </row>
    <row r="53" spans="1:10" ht="32">
      <c r="A53" s="57">
        <v>5</v>
      </c>
      <c r="B53" s="56" t="s">
        <v>1227</v>
      </c>
      <c r="C53" s="57">
        <v>7</v>
      </c>
      <c r="D53" s="56" t="s">
        <v>11</v>
      </c>
      <c r="E53" s="57">
        <v>73</v>
      </c>
      <c r="F53" s="56" t="s">
        <v>353</v>
      </c>
      <c r="G53" s="57">
        <v>471</v>
      </c>
      <c r="H53" s="57">
        <v>73</v>
      </c>
      <c r="I53" s="56" t="s">
        <v>917</v>
      </c>
      <c r="J53" s="56" t="s">
        <v>298</v>
      </c>
    </row>
    <row r="54" spans="1:10" ht="32">
      <c r="A54" s="57">
        <v>6</v>
      </c>
      <c r="B54" s="56" t="s">
        <v>28</v>
      </c>
      <c r="C54" s="57">
        <v>7</v>
      </c>
      <c r="D54" s="56" t="s">
        <v>11</v>
      </c>
      <c r="E54" s="57">
        <v>73</v>
      </c>
      <c r="F54" s="56" t="s">
        <v>353</v>
      </c>
      <c r="G54" s="57">
        <v>574</v>
      </c>
      <c r="H54" s="57">
        <v>73</v>
      </c>
      <c r="I54" s="56" t="s">
        <v>917</v>
      </c>
      <c r="J54" s="56" t="s">
        <v>298</v>
      </c>
    </row>
    <row r="55" spans="1:10" ht="32">
      <c r="A55" s="57">
        <v>7</v>
      </c>
      <c r="B55" s="56" t="s">
        <v>1230</v>
      </c>
      <c r="C55" s="57">
        <v>7</v>
      </c>
      <c r="D55" s="56" t="s">
        <v>11</v>
      </c>
      <c r="E55" s="57">
        <v>73</v>
      </c>
      <c r="F55" s="56" t="s">
        <v>353</v>
      </c>
      <c r="G55" s="57">
        <v>645</v>
      </c>
      <c r="H55" s="57">
        <v>73</v>
      </c>
      <c r="I55" s="56" t="s">
        <v>917</v>
      </c>
      <c r="J55" s="56" t="s">
        <v>1158</v>
      </c>
    </row>
    <row r="56" spans="1:10" ht="48">
      <c r="A56" s="57">
        <v>1</v>
      </c>
      <c r="B56" s="56" t="s">
        <v>1221</v>
      </c>
      <c r="C56" s="57">
        <v>7</v>
      </c>
      <c r="D56" s="56" t="s">
        <v>11</v>
      </c>
      <c r="E56" s="57">
        <v>74</v>
      </c>
      <c r="F56" s="56" t="s">
        <v>109</v>
      </c>
      <c r="G56" s="57">
        <v>78</v>
      </c>
      <c r="H56" s="57">
        <v>74</v>
      </c>
      <c r="I56" s="56" t="s">
        <v>809</v>
      </c>
      <c r="J56" s="56" t="s">
        <v>298</v>
      </c>
    </row>
    <row r="57" spans="1:10" ht="48">
      <c r="A57" s="57">
        <v>2</v>
      </c>
      <c r="B57" s="56" t="s">
        <v>1223</v>
      </c>
      <c r="C57" s="57">
        <v>7</v>
      </c>
      <c r="D57" s="56" t="s">
        <v>11</v>
      </c>
      <c r="E57" s="57">
        <v>74</v>
      </c>
      <c r="F57" s="56" t="s">
        <v>109</v>
      </c>
      <c r="G57" s="57">
        <v>109</v>
      </c>
      <c r="H57" s="57">
        <v>74</v>
      </c>
      <c r="I57" s="56" t="s">
        <v>809</v>
      </c>
      <c r="J57" s="56" t="s">
        <v>298</v>
      </c>
    </row>
    <row r="58" spans="1:10" ht="48">
      <c r="A58" s="57">
        <v>3</v>
      </c>
      <c r="B58" s="56" t="s">
        <v>277</v>
      </c>
      <c r="C58" s="57">
        <v>7</v>
      </c>
      <c r="D58" s="56" t="s">
        <v>11</v>
      </c>
      <c r="E58" s="57">
        <v>74</v>
      </c>
      <c r="F58" s="56" t="s">
        <v>109</v>
      </c>
      <c r="G58" s="57">
        <v>215</v>
      </c>
      <c r="H58" s="57">
        <v>74</v>
      </c>
      <c r="I58" s="56" t="s">
        <v>809</v>
      </c>
      <c r="J58" s="56" t="s">
        <v>298</v>
      </c>
    </row>
    <row r="59" spans="1:10" ht="48">
      <c r="A59" s="57">
        <v>5</v>
      </c>
      <c r="B59" s="56" t="s">
        <v>1227</v>
      </c>
      <c r="C59" s="57">
        <v>7</v>
      </c>
      <c r="D59" s="56" t="s">
        <v>11</v>
      </c>
      <c r="E59" s="57">
        <v>74</v>
      </c>
      <c r="F59" s="56" t="s">
        <v>354</v>
      </c>
      <c r="G59" s="57">
        <v>472</v>
      </c>
      <c r="H59" s="57">
        <v>74</v>
      </c>
      <c r="I59" s="56" t="s">
        <v>809</v>
      </c>
      <c r="J59" s="56" t="s">
        <v>298</v>
      </c>
    </row>
    <row r="60" spans="1:10" ht="48">
      <c r="A60" s="57">
        <v>6</v>
      </c>
      <c r="B60" s="56" t="s">
        <v>28</v>
      </c>
      <c r="C60" s="57">
        <v>7</v>
      </c>
      <c r="D60" s="56" t="s">
        <v>11</v>
      </c>
      <c r="E60" s="57">
        <v>74</v>
      </c>
      <c r="F60" s="56" t="s">
        <v>354</v>
      </c>
      <c r="G60" s="57">
        <v>575</v>
      </c>
      <c r="H60" s="57">
        <v>74</v>
      </c>
      <c r="I60" s="56" t="s">
        <v>809</v>
      </c>
      <c r="J60" s="56" t="s">
        <v>298</v>
      </c>
    </row>
    <row r="61" spans="1:10" ht="80">
      <c r="A61" s="57">
        <v>7</v>
      </c>
      <c r="B61" s="56" t="s">
        <v>1230</v>
      </c>
      <c r="C61" s="57">
        <v>7</v>
      </c>
      <c r="D61" s="56" t="s">
        <v>11</v>
      </c>
      <c r="E61" s="57">
        <v>74</v>
      </c>
      <c r="F61" s="56" t="s">
        <v>354</v>
      </c>
      <c r="G61" s="57">
        <v>646</v>
      </c>
      <c r="H61" s="57">
        <v>74</v>
      </c>
      <c r="I61" s="56" t="s">
        <v>1073</v>
      </c>
      <c r="J61" s="56" t="s">
        <v>1158</v>
      </c>
    </row>
    <row r="62" spans="1:10" ht="48">
      <c r="A62" s="57">
        <v>1</v>
      </c>
      <c r="B62" s="56" t="s">
        <v>1221</v>
      </c>
      <c r="C62" s="57">
        <v>7</v>
      </c>
      <c r="D62" s="56" t="s">
        <v>11</v>
      </c>
      <c r="E62" s="57">
        <v>75</v>
      </c>
      <c r="F62" s="56" t="s">
        <v>355</v>
      </c>
      <c r="G62" s="57">
        <v>79</v>
      </c>
      <c r="H62" s="57">
        <v>75</v>
      </c>
      <c r="I62" s="56" t="s">
        <v>807</v>
      </c>
      <c r="J62" s="56" t="s">
        <v>298</v>
      </c>
    </row>
    <row r="63" spans="1:10" ht="48">
      <c r="A63" s="57">
        <v>2</v>
      </c>
      <c r="B63" s="56" t="s">
        <v>1223</v>
      </c>
      <c r="C63" s="57">
        <v>7</v>
      </c>
      <c r="D63" s="56" t="s">
        <v>11</v>
      </c>
      <c r="E63" s="57">
        <v>75</v>
      </c>
      <c r="F63" s="56" t="s">
        <v>355</v>
      </c>
      <c r="G63" s="57">
        <v>110</v>
      </c>
      <c r="H63" s="57">
        <v>75</v>
      </c>
      <c r="I63" s="56" t="s">
        <v>807</v>
      </c>
      <c r="J63" s="56" t="s">
        <v>298</v>
      </c>
    </row>
    <row r="64" spans="1:10" ht="48">
      <c r="A64" s="57">
        <v>3</v>
      </c>
      <c r="B64" s="56" t="s">
        <v>277</v>
      </c>
      <c r="C64" s="57">
        <v>7</v>
      </c>
      <c r="D64" s="56" t="s">
        <v>11</v>
      </c>
      <c r="E64" s="57">
        <v>75</v>
      </c>
      <c r="F64" s="56" t="s">
        <v>355</v>
      </c>
      <c r="G64" s="57">
        <v>216</v>
      </c>
      <c r="H64" s="57">
        <v>75</v>
      </c>
      <c r="I64" s="56" t="s">
        <v>807</v>
      </c>
      <c r="J64" s="56" t="s">
        <v>298</v>
      </c>
    </row>
    <row r="65" spans="1:10" ht="48">
      <c r="A65" s="57">
        <v>5</v>
      </c>
      <c r="B65" s="56" t="s">
        <v>1227</v>
      </c>
      <c r="C65" s="57">
        <v>7</v>
      </c>
      <c r="D65" s="56" t="s">
        <v>11</v>
      </c>
      <c r="E65" s="57">
        <v>75</v>
      </c>
      <c r="F65" s="56" t="s">
        <v>355</v>
      </c>
      <c r="G65" s="57">
        <v>473</v>
      </c>
      <c r="H65" s="57">
        <v>75</v>
      </c>
      <c r="I65" s="56" t="s">
        <v>807</v>
      </c>
      <c r="J65" s="56" t="s">
        <v>298</v>
      </c>
    </row>
    <row r="66" spans="1:10" ht="48">
      <c r="A66" s="57">
        <v>6</v>
      </c>
      <c r="B66" s="56" t="s">
        <v>28</v>
      </c>
      <c r="C66" s="57">
        <v>7</v>
      </c>
      <c r="D66" s="56" t="s">
        <v>11</v>
      </c>
      <c r="E66" s="57">
        <v>75</v>
      </c>
      <c r="F66" s="56" t="s">
        <v>355</v>
      </c>
      <c r="G66" s="57">
        <v>576</v>
      </c>
      <c r="H66" s="57">
        <v>75</v>
      </c>
      <c r="I66" s="56" t="s">
        <v>807</v>
      </c>
      <c r="J66" s="56" t="s">
        <v>298</v>
      </c>
    </row>
    <row r="67" spans="1:10" ht="160">
      <c r="A67" s="57">
        <v>7</v>
      </c>
      <c r="B67" s="56" t="s">
        <v>1230</v>
      </c>
      <c r="C67" s="57">
        <v>7</v>
      </c>
      <c r="D67" s="56" t="s">
        <v>11</v>
      </c>
      <c r="E67" s="57">
        <v>75</v>
      </c>
      <c r="F67" s="56" t="s">
        <v>355</v>
      </c>
      <c r="G67" s="57">
        <v>647</v>
      </c>
      <c r="H67" s="57">
        <v>75</v>
      </c>
      <c r="I67" s="56" t="s">
        <v>1074</v>
      </c>
      <c r="J67" s="56" t="s">
        <v>1166</v>
      </c>
    </row>
    <row r="68" spans="1:10" ht="32">
      <c r="A68" s="57">
        <v>1</v>
      </c>
      <c r="B68" s="56" t="s">
        <v>1221</v>
      </c>
      <c r="C68" s="57">
        <v>7</v>
      </c>
      <c r="D68" s="56" t="s">
        <v>11</v>
      </c>
      <c r="E68" s="57">
        <v>78</v>
      </c>
      <c r="F68" s="56" t="s">
        <v>112</v>
      </c>
      <c r="G68" s="57">
        <v>82</v>
      </c>
      <c r="H68" s="57">
        <v>78</v>
      </c>
      <c r="I68" s="56" t="s">
        <v>813</v>
      </c>
      <c r="J68" s="56" t="s">
        <v>298</v>
      </c>
    </row>
    <row r="69" spans="1:10" ht="32">
      <c r="A69" s="57">
        <v>2</v>
      </c>
      <c r="B69" s="56" t="s">
        <v>1223</v>
      </c>
      <c r="C69" s="57">
        <v>7</v>
      </c>
      <c r="D69" s="56" t="s">
        <v>11</v>
      </c>
      <c r="E69" s="57">
        <v>78</v>
      </c>
      <c r="F69" s="56" t="s">
        <v>112</v>
      </c>
      <c r="G69" s="57">
        <v>113</v>
      </c>
      <c r="H69" s="57">
        <v>78</v>
      </c>
      <c r="I69" s="56" t="s">
        <v>813</v>
      </c>
      <c r="J69" s="56" t="s">
        <v>298</v>
      </c>
    </row>
    <row r="70" spans="1:10" ht="32">
      <c r="A70" s="57">
        <v>3</v>
      </c>
      <c r="B70" s="56" t="s">
        <v>277</v>
      </c>
      <c r="C70" s="57">
        <v>7</v>
      </c>
      <c r="D70" s="56" t="s">
        <v>11</v>
      </c>
      <c r="E70" s="57">
        <v>78</v>
      </c>
      <c r="F70" s="56" t="s">
        <v>112</v>
      </c>
      <c r="G70" s="57">
        <v>219</v>
      </c>
      <c r="H70" s="57">
        <v>78</v>
      </c>
      <c r="I70" s="56" t="s">
        <v>813</v>
      </c>
      <c r="J70" s="56" t="s">
        <v>298</v>
      </c>
    </row>
    <row r="71" spans="1:10" ht="112">
      <c r="A71" s="57">
        <v>4</v>
      </c>
      <c r="B71" s="56" t="s">
        <v>1226</v>
      </c>
      <c r="C71" s="57">
        <v>7</v>
      </c>
      <c r="D71" s="56" t="s">
        <v>11</v>
      </c>
      <c r="E71" s="57">
        <v>78</v>
      </c>
      <c r="F71" s="56" t="s">
        <v>112</v>
      </c>
      <c r="G71" s="57">
        <v>382</v>
      </c>
      <c r="H71" s="57">
        <v>78</v>
      </c>
      <c r="I71" s="56" t="s">
        <v>813</v>
      </c>
      <c r="J71" s="56" t="s">
        <v>814</v>
      </c>
    </row>
    <row r="72" spans="1:10" ht="80">
      <c r="A72" s="57">
        <v>5</v>
      </c>
      <c r="B72" s="56" t="s">
        <v>1227</v>
      </c>
      <c r="C72" s="57">
        <v>7</v>
      </c>
      <c r="D72" s="56" t="s">
        <v>11</v>
      </c>
      <c r="E72" s="57">
        <v>78</v>
      </c>
      <c r="F72" s="56" t="s">
        <v>112</v>
      </c>
      <c r="G72" s="57">
        <v>476</v>
      </c>
      <c r="H72" s="57">
        <v>78</v>
      </c>
      <c r="I72" s="56" t="s">
        <v>920</v>
      </c>
      <c r="J72" s="56" t="s">
        <v>298</v>
      </c>
    </row>
    <row r="73" spans="1:10" ht="32">
      <c r="A73" s="57">
        <v>6</v>
      </c>
      <c r="B73" s="56" t="s">
        <v>28</v>
      </c>
      <c r="C73" s="57">
        <v>7</v>
      </c>
      <c r="D73" s="56" t="s">
        <v>11</v>
      </c>
      <c r="E73" s="57">
        <v>78</v>
      </c>
      <c r="F73" s="56" t="s">
        <v>112</v>
      </c>
      <c r="G73" s="57">
        <v>578</v>
      </c>
      <c r="H73" s="57">
        <v>78</v>
      </c>
      <c r="I73" s="56" t="s">
        <v>813</v>
      </c>
      <c r="J73" s="56" t="s">
        <v>298</v>
      </c>
    </row>
    <row r="74" spans="1:10" ht="112">
      <c r="A74" s="57">
        <v>7</v>
      </c>
      <c r="B74" s="56" t="s">
        <v>1230</v>
      </c>
      <c r="C74" s="57">
        <v>7</v>
      </c>
      <c r="D74" s="56" t="s">
        <v>11</v>
      </c>
      <c r="E74" s="57">
        <v>78</v>
      </c>
      <c r="F74" s="56" t="s">
        <v>112</v>
      </c>
      <c r="G74" s="57">
        <v>649</v>
      </c>
      <c r="H74" s="57">
        <v>78</v>
      </c>
      <c r="I74" s="56" t="s">
        <v>813</v>
      </c>
      <c r="J74" s="56" t="s">
        <v>1076</v>
      </c>
    </row>
    <row r="75" spans="1:10" ht="32">
      <c r="A75" s="57">
        <v>1</v>
      </c>
      <c r="B75" s="56" t="s">
        <v>1221</v>
      </c>
      <c r="C75" s="57">
        <v>7</v>
      </c>
      <c r="D75" s="56" t="s">
        <v>11</v>
      </c>
      <c r="E75" s="57">
        <v>80</v>
      </c>
      <c r="F75" s="56" t="s">
        <v>114</v>
      </c>
      <c r="G75" s="57">
        <v>84</v>
      </c>
      <c r="H75" s="57">
        <v>80</v>
      </c>
      <c r="I75" s="56" t="s">
        <v>815</v>
      </c>
      <c r="J75" s="56" t="s">
        <v>298</v>
      </c>
    </row>
    <row r="76" spans="1:10" ht="32">
      <c r="A76" s="57">
        <v>2</v>
      </c>
      <c r="B76" s="56" t="s">
        <v>1223</v>
      </c>
      <c r="C76" s="57">
        <v>7</v>
      </c>
      <c r="D76" s="56" t="s">
        <v>11</v>
      </c>
      <c r="E76" s="57">
        <v>80</v>
      </c>
      <c r="F76" s="56" t="s">
        <v>114</v>
      </c>
      <c r="G76" s="57">
        <v>115</v>
      </c>
      <c r="H76" s="57">
        <v>80</v>
      </c>
      <c r="I76" s="56" t="s">
        <v>815</v>
      </c>
      <c r="J76" s="56" t="s">
        <v>298</v>
      </c>
    </row>
    <row r="77" spans="1:10" ht="32">
      <c r="A77" s="57">
        <v>3</v>
      </c>
      <c r="B77" s="56" t="s">
        <v>277</v>
      </c>
      <c r="C77" s="57">
        <v>7</v>
      </c>
      <c r="D77" s="56" t="s">
        <v>11</v>
      </c>
      <c r="E77" s="57">
        <v>80</v>
      </c>
      <c r="F77" s="56" t="s">
        <v>114</v>
      </c>
      <c r="G77" s="57">
        <v>221</v>
      </c>
      <c r="H77" s="57">
        <v>80</v>
      </c>
      <c r="I77" s="56" t="s">
        <v>815</v>
      </c>
      <c r="J77" s="56" t="s">
        <v>298</v>
      </c>
    </row>
    <row r="78" spans="1:10" ht="32">
      <c r="A78" s="57">
        <v>5</v>
      </c>
      <c r="B78" s="56" t="s">
        <v>1227</v>
      </c>
      <c r="C78" s="57">
        <v>7</v>
      </c>
      <c r="D78" s="56" t="s">
        <v>11</v>
      </c>
      <c r="E78" s="57">
        <v>80</v>
      </c>
      <c r="F78" s="56" t="s">
        <v>114</v>
      </c>
      <c r="G78" s="57">
        <v>477</v>
      </c>
      <c r="H78" s="57">
        <v>80</v>
      </c>
      <c r="I78" s="56" t="s">
        <v>921</v>
      </c>
      <c r="J78" s="56" t="s">
        <v>298</v>
      </c>
    </row>
    <row r="79" spans="1:10" ht="32">
      <c r="A79" s="57">
        <v>6</v>
      </c>
      <c r="B79" s="56" t="s">
        <v>28</v>
      </c>
      <c r="C79" s="57">
        <v>7</v>
      </c>
      <c r="D79" s="56" t="s">
        <v>11</v>
      </c>
      <c r="E79" s="57">
        <v>80</v>
      </c>
      <c r="F79" s="56" t="s">
        <v>114</v>
      </c>
      <c r="G79" s="57">
        <v>579</v>
      </c>
      <c r="H79" s="57">
        <v>80</v>
      </c>
      <c r="I79" s="56" t="s">
        <v>815</v>
      </c>
      <c r="J79" s="56" t="s">
        <v>298</v>
      </c>
    </row>
    <row r="80" spans="1:10" ht="80">
      <c r="A80" s="57">
        <v>7</v>
      </c>
      <c r="B80" s="56" t="s">
        <v>1230</v>
      </c>
      <c r="C80" s="57">
        <v>7</v>
      </c>
      <c r="D80" s="56" t="s">
        <v>11</v>
      </c>
      <c r="E80" s="57">
        <v>80</v>
      </c>
      <c r="F80" s="56" t="s">
        <v>114</v>
      </c>
      <c r="G80" s="57">
        <v>652</v>
      </c>
      <c r="H80" s="57">
        <v>80</v>
      </c>
      <c r="I80" s="56" t="s">
        <v>815</v>
      </c>
      <c r="J80" s="56" t="s">
        <v>1079</v>
      </c>
    </row>
    <row r="81" spans="1:10" ht="80">
      <c r="A81" s="57">
        <v>1</v>
      </c>
      <c r="B81" s="56" t="s">
        <v>1221</v>
      </c>
      <c r="C81" s="57">
        <v>7</v>
      </c>
      <c r="D81" s="56" t="s">
        <v>11</v>
      </c>
      <c r="E81" s="57">
        <v>81</v>
      </c>
      <c r="F81" s="56" t="s">
        <v>115</v>
      </c>
      <c r="G81" s="57">
        <v>85</v>
      </c>
      <c r="H81" s="57">
        <v>81</v>
      </c>
      <c r="I81" s="56" t="s">
        <v>1169</v>
      </c>
      <c r="J81" s="56" t="s">
        <v>298</v>
      </c>
    </row>
    <row r="82" spans="1:10" ht="80">
      <c r="A82" s="57">
        <v>2</v>
      </c>
      <c r="B82" s="56" t="s">
        <v>1223</v>
      </c>
      <c r="C82" s="57">
        <v>7</v>
      </c>
      <c r="D82" s="56" t="s">
        <v>11</v>
      </c>
      <c r="E82" s="57">
        <v>81</v>
      </c>
      <c r="F82" s="56" t="s">
        <v>115</v>
      </c>
      <c r="G82" s="57">
        <v>116</v>
      </c>
      <c r="H82" s="57">
        <v>81</v>
      </c>
      <c r="I82" s="56" t="s">
        <v>1169</v>
      </c>
      <c r="J82" s="56" t="s">
        <v>298</v>
      </c>
    </row>
    <row r="83" spans="1:10" ht="80">
      <c r="A83" s="57">
        <v>3</v>
      </c>
      <c r="B83" s="56" t="s">
        <v>277</v>
      </c>
      <c r="C83" s="57">
        <v>7</v>
      </c>
      <c r="D83" s="56" t="s">
        <v>11</v>
      </c>
      <c r="E83" s="57">
        <v>81</v>
      </c>
      <c r="F83" s="56" t="s">
        <v>115</v>
      </c>
      <c r="G83" s="57">
        <v>222</v>
      </c>
      <c r="H83" s="57">
        <v>81</v>
      </c>
      <c r="I83" s="56" t="s">
        <v>1169</v>
      </c>
      <c r="J83" s="56" t="s">
        <v>298</v>
      </c>
    </row>
    <row r="84" spans="1:10" ht="112">
      <c r="A84" s="57">
        <v>4</v>
      </c>
      <c r="B84" s="56" t="s">
        <v>1226</v>
      </c>
      <c r="C84" s="57">
        <v>7</v>
      </c>
      <c r="D84" s="56" t="s">
        <v>11</v>
      </c>
      <c r="E84" s="57">
        <v>81</v>
      </c>
      <c r="F84" s="56" t="s">
        <v>115</v>
      </c>
      <c r="G84" s="57">
        <v>384</v>
      </c>
      <c r="H84" s="57">
        <v>81</v>
      </c>
      <c r="I84" s="56" t="s">
        <v>817</v>
      </c>
      <c r="J84" s="56" t="s">
        <v>818</v>
      </c>
    </row>
    <row r="85" spans="1:10" ht="16">
      <c r="A85" s="57">
        <v>5</v>
      </c>
      <c r="B85" s="56" t="s">
        <v>1227</v>
      </c>
      <c r="C85" s="57">
        <v>7</v>
      </c>
      <c r="D85" s="56" t="s">
        <v>11</v>
      </c>
      <c r="E85" s="57">
        <v>81</v>
      </c>
      <c r="F85" s="56" t="s">
        <v>115</v>
      </c>
      <c r="G85" s="57">
        <v>478</v>
      </c>
      <c r="H85" s="57">
        <v>81</v>
      </c>
      <c r="I85" s="56" t="s">
        <v>298</v>
      </c>
      <c r="J85" s="56" t="s">
        <v>298</v>
      </c>
    </row>
    <row r="86" spans="1:10" ht="80">
      <c r="A86" s="57">
        <v>6</v>
      </c>
      <c r="B86" s="56" t="s">
        <v>28</v>
      </c>
      <c r="C86" s="57">
        <v>7</v>
      </c>
      <c r="D86" s="56" t="s">
        <v>11</v>
      </c>
      <c r="E86" s="57">
        <v>81</v>
      </c>
      <c r="F86" s="56" t="s">
        <v>115</v>
      </c>
      <c r="G86" s="57">
        <v>580</v>
      </c>
      <c r="H86" s="57">
        <v>81</v>
      </c>
      <c r="I86" s="56" t="s">
        <v>817</v>
      </c>
      <c r="J86" s="56" t="s">
        <v>298</v>
      </c>
    </row>
    <row r="87" spans="1:10" ht="112">
      <c r="A87" s="57">
        <v>7</v>
      </c>
      <c r="B87" s="56" t="s">
        <v>1230</v>
      </c>
      <c r="C87" s="57">
        <v>7</v>
      </c>
      <c r="D87" s="56" t="s">
        <v>11</v>
      </c>
      <c r="E87" s="57">
        <v>81</v>
      </c>
      <c r="F87" s="56" t="s">
        <v>115</v>
      </c>
      <c r="G87" s="57">
        <v>653</v>
      </c>
      <c r="H87" s="57">
        <v>81</v>
      </c>
      <c r="I87" s="56" t="s">
        <v>817</v>
      </c>
      <c r="J87" s="56" t="s">
        <v>1080</v>
      </c>
    </row>
    <row r="88" spans="1:10" ht="64">
      <c r="A88" s="57">
        <v>1</v>
      </c>
      <c r="B88" s="56" t="s">
        <v>1221</v>
      </c>
      <c r="C88" s="57">
        <v>7</v>
      </c>
      <c r="D88" s="56" t="s">
        <v>11</v>
      </c>
      <c r="E88" s="57">
        <v>82</v>
      </c>
      <c r="F88" s="56" t="s">
        <v>116</v>
      </c>
      <c r="G88" s="57">
        <v>86</v>
      </c>
      <c r="H88" s="57">
        <v>82</v>
      </c>
      <c r="I88" s="56" t="s">
        <v>1170</v>
      </c>
      <c r="J88" s="56" t="s">
        <v>298</v>
      </c>
    </row>
    <row r="89" spans="1:10" ht="64">
      <c r="A89" s="57">
        <v>2</v>
      </c>
      <c r="B89" s="56" t="s">
        <v>1223</v>
      </c>
      <c r="C89" s="57">
        <v>7</v>
      </c>
      <c r="D89" s="56" t="s">
        <v>11</v>
      </c>
      <c r="E89" s="57">
        <v>82</v>
      </c>
      <c r="F89" s="56" t="s">
        <v>116</v>
      </c>
      <c r="G89" s="57">
        <v>117</v>
      </c>
      <c r="H89" s="57">
        <v>82</v>
      </c>
      <c r="I89" s="56" t="s">
        <v>1170</v>
      </c>
      <c r="J89" s="56" t="s">
        <v>298</v>
      </c>
    </row>
    <row r="90" spans="1:10" ht="64">
      <c r="A90" s="57">
        <v>3</v>
      </c>
      <c r="B90" s="56" t="s">
        <v>277</v>
      </c>
      <c r="C90" s="57">
        <v>7</v>
      </c>
      <c r="D90" s="56" t="s">
        <v>11</v>
      </c>
      <c r="E90" s="57">
        <v>82</v>
      </c>
      <c r="F90" s="56" t="s">
        <v>116</v>
      </c>
      <c r="G90" s="57">
        <v>223</v>
      </c>
      <c r="H90" s="57">
        <v>82</v>
      </c>
      <c r="I90" s="56" t="s">
        <v>1170</v>
      </c>
      <c r="J90" s="56" t="s">
        <v>298</v>
      </c>
    </row>
    <row r="91" spans="1:10" ht="80">
      <c r="A91" s="57">
        <v>4</v>
      </c>
      <c r="B91" s="56" t="s">
        <v>1226</v>
      </c>
      <c r="C91" s="57">
        <v>7</v>
      </c>
      <c r="D91" s="56" t="s">
        <v>11</v>
      </c>
      <c r="E91" s="57">
        <v>82</v>
      </c>
      <c r="F91" s="56" t="s">
        <v>116</v>
      </c>
      <c r="G91" s="57">
        <v>385</v>
      </c>
      <c r="H91" s="57">
        <v>82</v>
      </c>
      <c r="I91" s="56" t="s">
        <v>819</v>
      </c>
      <c r="J91" s="56" t="s">
        <v>820</v>
      </c>
    </row>
    <row r="92" spans="1:10" ht="48">
      <c r="A92" s="57">
        <v>5</v>
      </c>
      <c r="B92" s="56" t="s">
        <v>1227</v>
      </c>
      <c r="C92" s="57">
        <v>7</v>
      </c>
      <c r="D92" s="56" t="s">
        <v>11</v>
      </c>
      <c r="E92" s="57">
        <v>82</v>
      </c>
      <c r="F92" s="56" t="s">
        <v>116</v>
      </c>
      <c r="G92" s="57">
        <v>479</v>
      </c>
      <c r="H92" s="57">
        <v>82</v>
      </c>
      <c r="I92" s="56" t="s">
        <v>922</v>
      </c>
      <c r="J92" s="56" t="s">
        <v>298</v>
      </c>
    </row>
    <row r="93" spans="1:10" ht="48">
      <c r="A93" s="57">
        <v>6</v>
      </c>
      <c r="B93" s="56" t="s">
        <v>28</v>
      </c>
      <c r="C93" s="57">
        <v>7</v>
      </c>
      <c r="D93" s="56" t="s">
        <v>11</v>
      </c>
      <c r="E93" s="57">
        <v>82</v>
      </c>
      <c r="F93" s="56" t="s">
        <v>116</v>
      </c>
      <c r="G93" s="57">
        <v>581</v>
      </c>
      <c r="H93" s="57">
        <v>82</v>
      </c>
      <c r="I93" s="56" t="s">
        <v>1011</v>
      </c>
      <c r="J93" s="56" t="s">
        <v>298</v>
      </c>
    </row>
    <row r="94" spans="1:10" ht="16">
      <c r="A94" s="57">
        <v>7</v>
      </c>
      <c r="B94" s="56" t="s">
        <v>1230</v>
      </c>
      <c r="C94" s="57">
        <v>7</v>
      </c>
      <c r="D94" s="56" t="s">
        <v>11</v>
      </c>
      <c r="E94" s="57">
        <v>82</v>
      </c>
      <c r="F94" s="56" t="s">
        <v>116</v>
      </c>
      <c r="G94" s="57">
        <v>654</v>
      </c>
      <c r="H94" s="57">
        <v>82</v>
      </c>
      <c r="I94" s="56" t="s">
        <v>298</v>
      </c>
      <c r="J94" s="56" t="s">
        <v>298</v>
      </c>
    </row>
    <row r="95" spans="1:10" ht="80">
      <c r="A95" s="57">
        <v>1</v>
      </c>
      <c r="B95" s="56" t="s">
        <v>1221</v>
      </c>
      <c r="C95" s="57">
        <v>8</v>
      </c>
      <c r="D95" s="56" t="s">
        <v>12</v>
      </c>
      <c r="E95" s="57">
        <v>83</v>
      </c>
      <c r="F95" s="56" t="s">
        <v>117</v>
      </c>
      <c r="G95" s="57">
        <v>87</v>
      </c>
      <c r="H95" s="57">
        <v>83</v>
      </c>
      <c r="I95" s="56" t="s">
        <v>1171</v>
      </c>
      <c r="J95" s="56" t="s">
        <v>298</v>
      </c>
    </row>
    <row r="96" spans="1:10" ht="80">
      <c r="A96" s="57">
        <v>2</v>
      </c>
      <c r="B96" s="56" t="s">
        <v>1223</v>
      </c>
      <c r="C96" s="57">
        <v>8</v>
      </c>
      <c r="D96" s="56" t="s">
        <v>12</v>
      </c>
      <c r="E96" s="57">
        <v>83</v>
      </c>
      <c r="F96" s="56" t="s">
        <v>117</v>
      </c>
      <c r="G96" s="57">
        <v>118</v>
      </c>
      <c r="H96" s="57">
        <v>83</v>
      </c>
      <c r="I96" s="56" t="s">
        <v>1171</v>
      </c>
      <c r="J96" s="56" t="s">
        <v>298</v>
      </c>
    </row>
    <row r="97" spans="1:10" ht="80">
      <c r="A97" s="57">
        <v>3</v>
      </c>
      <c r="B97" s="56" t="s">
        <v>277</v>
      </c>
      <c r="C97" s="57">
        <v>8</v>
      </c>
      <c r="D97" s="56" t="s">
        <v>12</v>
      </c>
      <c r="E97" s="57">
        <v>83</v>
      </c>
      <c r="F97" s="56" t="s">
        <v>117</v>
      </c>
      <c r="G97" s="57">
        <v>224</v>
      </c>
      <c r="H97" s="57">
        <v>83</v>
      </c>
      <c r="I97" s="56" t="s">
        <v>1171</v>
      </c>
      <c r="J97" s="56" t="s">
        <v>298</v>
      </c>
    </row>
    <row r="98" spans="1:10" ht="80">
      <c r="A98" s="57">
        <v>4</v>
      </c>
      <c r="B98" s="56" t="s">
        <v>1226</v>
      </c>
      <c r="C98" s="57">
        <v>8</v>
      </c>
      <c r="D98" s="56" t="s">
        <v>12</v>
      </c>
      <c r="E98" s="57">
        <v>83</v>
      </c>
      <c r="F98" s="56" t="s">
        <v>117</v>
      </c>
      <c r="G98" s="57">
        <v>402</v>
      </c>
      <c r="H98" s="57">
        <v>83</v>
      </c>
      <c r="I98" s="56" t="s">
        <v>850</v>
      </c>
      <c r="J98" s="56" t="s">
        <v>298</v>
      </c>
    </row>
    <row r="99" spans="1:10" ht="32">
      <c r="A99" s="57">
        <v>5</v>
      </c>
      <c r="B99" s="56" t="s">
        <v>1227</v>
      </c>
      <c r="C99" s="57">
        <v>8</v>
      </c>
      <c r="D99" s="56" t="s">
        <v>12</v>
      </c>
      <c r="E99" s="57">
        <v>83</v>
      </c>
      <c r="F99" s="56" t="s">
        <v>117</v>
      </c>
      <c r="G99" s="57">
        <v>490</v>
      </c>
      <c r="H99" s="57">
        <v>83</v>
      </c>
      <c r="I99" s="56" t="s">
        <v>928</v>
      </c>
      <c r="J99" s="56" t="s">
        <v>298</v>
      </c>
    </row>
    <row r="100" spans="1:10" ht="96">
      <c r="A100" s="57">
        <v>1</v>
      </c>
      <c r="B100" s="56" t="s">
        <v>1221</v>
      </c>
      <c r="C100" s="57">
        <v>8</v>
      </c>
      <c r="D100" s="56" t="s">
        <v>12</v>
      </c>
      <c r="E100" s="57">
        <v>85</v>
      </c>
      <c r="F100" s="56" t="s">
        <v>119</v>
      </c>
      <c r="G100" s="57">
        <v>89</v>
      </c>
      <c r="H100" s="57">
        <v>85</v>
      </c>
      <c r="I100" s="56" t="s">
        <v>856</v>
      </c>
      <c r="J100" s="56" t="s">
        <v>298</v>
      </c>
    </row>
    <row r="101" spans="1:10" ht="96">
      <c r="A101" s="57">
        <v>2</v>
      </c>
      <c r="B101" s="56" t="s">
        <v>1223</v>
      </c>
      <c r="C101" s="57">
        <v>8</v>
      </c>
      <c r="D101" s="56" t="s">
        <v>12</v>
      </c>
      <c r="E101" s="57">
        <v>85</v>
      </c>
      <c r="F101" s="56" t="s">
        <v>119</v>
      </c>
      <c r="G101" s="57">
        <v>120</v>
      </c>
      <c r="H101" s="57">
        <v>85</v>
      </c>
      <c r="I101" s="56" t="s">
        <v>856</v>
      </c>
      <c r="J101" s="56" t="s">
        <v>298</v>
      </c>
    </row>
    <row r="102" spans="1:10" ht="96">
      <c r="A102" s="57">
        <v>3</v>
      </c>
      <c r="B102" s="56" t="s">
        <v>277</v>
      </c>
      <c r="C102" s="57">
        <v>8</v>
      </c>
      <c r="D102" s="56" t="s">
        <v>12</v>
      </c>
      <c r="E102" s="57">
        <v>85</v>
      </c>
      <c r="F102" s="56" t="s">
        <v>119</v>
      </c>
      <c r="G102" s="57">
        <v>226</v>
      </c>
      <c r="H102" s="57">
        <v>85</v>
      </c>
      <c r="I102" s="56" t="s">
        <v>856</v>
      </c>
      <c r="J102" s="56" t="s">
        <v>298</v>
      </c>
    </row>
    <row r="103" spans="1:10" ht="96">
      <c r="A103" s="57">
        <v>4</v>
      </c>
      <c r="B103" s="56" t="s">
        <v>1226</v>
      </c>
      <c r="C103" s="57">
        <v>8</v>
      </c>
      <c r="D103" s="56" t="s">
        <v>12</v>
      </c>
      <c r="E103" s="57">
        <v>85</v>
      </c>
      <c r="F103" s="56" t="s">
        <v>119</v>
      </c>
      <c r="G103" s="57">
        <v>408</v>
      </c>
      <c r="H103" s="57">
        <v>85</v>
      </c>
      <c r="I103" s="56" t="s">
        <v>856</v>
      </c>
      <c r="J103" s="56" t="s">
        <v>298</v>
      </c>
    </row>
    <row r="104" spans="1:10" ht="48">
      <c r="A104" s="57">
        <v>5</v>
      </c>
      <c r="B104" s="56" t="s">
        <v>1227</v>
      </c>
      <c r="C104" s="57">
        <v>8</v>
      </c>
      <c r="D104" s="56" t="s">
        <v>12</v>
      </c>
      <c r="E104" s="57">
        <v>85</v>
      </c>
      <c r="F104" s="56" t="s">
        <v>119</v>
      </c>
      <c r="G104" s="57">
        <v>493</v>
      </c>
      <c r="H104" s="57">
        <v>85</v>
      </c>
      <c r="I104" s="56" t="s">
        <v>931</v>
      </c>
      <c r="J104" s="56" t="s">
        <v>298</v>
      </c>
    </row>
    <row r="105" spans="1:10" ht="48">
      <c r="A105" s="57">
        <v>2</v>
      </c>
      <c r="B105" s="56" t="s">
        <v>1223</v>
      </c>
      <c r="C105" s="57">
        <v>10</v>
      </c>
      <c r="D105" s="56" t="s">
        <v>14</v>
      </c>
      <c r="E105" s="57">
        <v>101</v>
      </c>
      <c r="F105" s="56" t="s">
        <v>135</v>
      </c>
      <c r="G105" s="57">
        <v>136</v>
      </c>
      <c r="H105" s="57">
        <v>101</v>
      </c>
      <c r="I105" s="56" t="s">
        <v>1187</v>
      </c>
      <c r="J105" s="56" t="s">
        <v>298</v>
      </c>
    </row>
    <row r="106" spans="1:10" ht="48">
      <c r="A106" s="57">
        <v>3</v>
      </c>
      <c r="B106" s="56" t="s">
        <v>277</v>
      </c>
      <c r="C106" s="57">
        <v>10</v>
      </c>
      <c r="D106" s="56" t="s">
        <v>14</v>
      </c>
      <c r="E106" s="57">
        <v>101</v>
      </c>
      <c r="F106" s="56" t="s">
        <v>135</v>
      </c>
      <c r="G106" s="57">
        <v>242</v>
      </c>
      <c r="H106" s="57">
        <v>101</v>
      </c>
      <c r="I106" s="56" t="s">
        <v>1187</v>
      </c>
      <c r="J106" s="56" t="s">
        <v>298</v>
      </c>
    </row>
    <row r="107" spans="1:10" ht="64">
      <c r="A107" s="57">
        <v>4</v>
      </c>
      <c r="B107" s="56" t="s">
        <v>1226</v>
      </c>
      <c r="C107" s="57">
        <v>15</v>
      </c>
      <c r="D107" s="56" t="s">
        <v>19</v>
      </c>
      <c r="E107" s="57">
        <v>101</v>
      </c>
      <c r="F107" s="56" t="s">
        <v>135</v>
      </c>
      <c r="G107" s="57">
        <v>305</v>
      </c>
      <c r="H107" s="57">
        <v>101</v>
      </c>
      <c r="I107" s="56" t="s">
        <v>660</v>
      </c>
      <c r="J107" s="56" t="s">
        <v>661</v>
      </c>
    </row>
    <row r="108" spans="1:10" ht="64">
      <c r="A108" s="57">
        <v>5</v>
      </c>
      <c r="B108" s="56" t="s">
        <v>1227</v>
      </c>
      <c r="C108" s="57">
        <v>20</v>
      </c>
      <c r="D108" s="56" t="s">
        <v>24</v>
      </c>
      <c r="E108" s="57">
        <v>101</v>
      </c>
      <c r="F108" s="56" t="s">
        <v>135</v>
      </c>
      <c r="G108" s="57">
        <v>428</v>
      </c>
      <c r="H108" s="57">
        <v>101</v>
      </c>
      <c r="I108" s="56" t="s">
        <v>875</v>
      </c>
      <c r="J108" s="56" t="s">
        <v>298</v>
      </c>
    </row>
    <row r="109" spans="1:10" ht="32">
      <c r="A109" s="57">
        <v>6</v>
      </c>
      <c r="B109" s="56" t="s">
        <v>28</v>
      </c>
      <c r="C109" s="57">
        <v>25</v>
      </c>
      <c r="D109" s="56" t="s">
        <v>29</v>
      </c>
      <c r="E109" s="57">
        <v>101</v>
      </c>
      <c r="F109" s="56" t="s">
        <v>135</v>
      </c>
      <c r="G109" s="57">
        <v>564</v>
      </c>
      <c r="H109" s="57">
        <v>101</v>
      </c>
      <c r="I109" s="56" t="s">
        <v>1002</v>
      </c>
      <c r="J109" s="56" t="s">
        <v>298</v>
      </c>
    </row>
    <row r="110" spans="1:10" ht="112">
      <c r="A110" s="57">
        <v>4</v>
      </c>
      <c r="B110" s="56" t="s">
        <v>1226</v>
      </c>
      <c r="C110" s="57">
        <v>11</v>
      </c>
      <c r="D110" s="56" t="s">
        <v>15</v>
      </c>
      <c r="E110" s="57">
        <v>109</v>
      </c>
      <c r="F110" s="56" t="s">
        <v>143</v>
      </c>
      <c r="G110" s="57">
        <v>250</v>
      </c>
      <c r="H110" s="57">
        <v>109</v>
      </c>
      <c r="I110" s="56" t="s">
        <v>565</v>
      </c>
      <c r="J110" s="56" t="s">
        <v>566</v>
      </c>
    </row>
    <row r="111" spans="1:10" ht="32">
      <c r="A111" s="57">
        <v>5</v>
      </c>
      <c r="B111" s="56" t="s">
        <v>1227</v>
      </c>
      <c r="C111" s="57">
        <v>21</v>
      </c>
      <c r="D111" s="56" t="s">
        <v>25</v>
      </c>
      <c r="E111" s="57">
        <v>109</v>
      </c>
      <c r="F111" s="56" t="s">
        <v>143</v>
      </c>
      <c r="G111" s="57">
        <v>446</v>
      </c>
      <c r="H111" s="57">
        <v>109</v>
      </c>
      <c r="I111" s="56" t="s">
        <v>893</v>
      </c>
      <c r="J111" s="56" t="s">
        <v>298</v>
      </c>
    </row>
    <row r="112" spans="1:10" ht="80">
      <c r="A112" s="57">
        <v>4</v>
      </c>
      <c r="B112" s="56" t="s">
        <v>1226</v>
      </c>
      <c r="C112" s="57">
        <v>11</v>
      </c>
      <c r="D112" s="56" t="s">
        <v>15</v>
      </c>
      <c r="E112" s="57">
        <v>112</v>
      </c>
      <c r="F112" s="56" t="s">
        <v>147</v>
      </c>
      <c r="G112" s="57">
        <v>253</v>
      </c>
      <c r="H112" s="57">
        <v>112</v>
      </c>
      <c r="I112" s="56" t="s">
        <v>571</v>
      </c>
      <c r="J112" s="56" t="s">
        <v>572</v>
      </c>
    </row>
    <row r="113" spans="1:10" ht="32">
      <c r="A113" s="57">
        <v>5</v>
      </c>
      <c r="B113" s="56" t="s">
        <v>1227</v>
      </c>
      <c r="C113" s="57">
        <v>21</v>
      </c>
      <c r="D113" s="56" t="s">
        <v>25</v>
      </c>
      <c r="E113" s="57">
        <v>112</v>
      </c>
      <c r="F113" s="56" t="s">
        <v>147</v>
      </c>
      <c r="G113" s="57">
        <v>452</v>
      </c>
      <c r="H113" s="57">
        <v>112</v>
      </c>
      <c r="I113" s="56" t="s">
        <v>899</v>
      </c>
      <c r="J113" s="56" t="s">
        <v>298</v>
      </c>
    </row>
    <row r="114" spans="1:10" ht="64">
      <c r="A114" s="57">
        <v>4</v>
      </c>
      <c r="B114" s="56" t="s">
        <v>1226</v>
      </c>
      <c r="C114" s="57">
        <v>11</v>
      </c>
      <c r="D114" s="56" t="s">
        <v>15</v>
      </c>
      <c r="E114" s="57">
        <v>113</v>
      </c>
      <c r="F114" s="56" t="s">
        <v>148</v>
      </c>
      <c r="G114" s="57">
        <v>254</v>
      </c>
      <c r="H114" s="57">
        <v>113</v>
      </c>
      <c r="I114" s="56" t="s">
        <v>573</v>
      </c>
      <c r="J114" s="56" t="s">
        <v>574</v>
      </c>
    </row>
    <row r="115" spans="1:10" ht="96">
      <c r="A115" s="57">
        <v>4</v>
      </c>
      <c r="B115" s="56" t="s">
        <v>1226</v>
      </c>
      <c r="C115" s="57">
        <v>15</v>
      </c>
      <c r="D115" s="56" t="s">
        <v>19</v>
      </c>
      <c r="E115" s="57">
        <v>113</v>
      </c>
      <c r="F115" s="56" t="s">
        <v>148</v>
      </c>
      <c r="G115" s="57">
        <v>310</v>
      </c>
      <c r="H115" s="57">
        <v>113</v>
      </c>
      <c r="I115" s="56" t="s">
        <v>670</v>
      </c>
      <c r="J115" s="56" t="s">
        <v>671</v>
      </c>
    </row>
    <row r="116" spans="1:10" ht="32">
      <c r="A116" s="57">
        <v>4</v>
      </c>
      <c r="B116" s="56" t="s">
        <v>1226</v>
      </c>
      <c r="C116" s="57">
        <v>11</v>
      </c>
      <c r="D116" s="56" t="s">
        <v>15</v>
      </c>
      <c r="E116" s="57">
        <v>114</v>
      </c>
      <c r="F116" s="56" t="s">
        <v>149</v>
      </c>
      <c r="G116" s="57">
        <v>255</v>
      </c>
      <c r="H116" s="57">
        <v>114</v>
      </c>
      <c r="I116" s="56" t="s">
        <v>575</v>
      </c>
      <c r="J116" s="56" t="s">
        <v>576</v>
      </c>
    </row>
    <row r="117" spans="1:10" ht="32">
      <c r="A117" s="57">
        <v>5</v>
      </c>
      <c r="B117" s="56" t="s">
        <v>1227</v>
      </c>
      <c r="C117" s="57">
        <v>19</v>
      </c>
      <c r="D117" s="56" t="s">
        <v>23</v>
      </c>
      <c r="E117" s="57">
        <v>114</v>
      </c>
      <c r="F117" s="56" t="s">
        <v>149</v>
      </c>
      <c r="G117" s="57">
        <v>415</v>
      </c>
      <c r="H117" s="57">
        <v>114</v>
      </c>
      <c r="I117" s="56" t="s">
        <v>863</v>
      </c>
      <c r="J117" s="56" t="s">
        <v>298</v>
      </c>
    </row>
    <row r="118" spans="1:10" ht="80">
      <c r="A118" s="57">
        <v>4</v>
      </c>
      <c r="B118" s="56" t="s">
        <v>1226</v>
      </c>
      <c r="C118" s="57">
        <v>11</v>
      </c>
      <c r="D118" s="56" t="s">
        <v>15</v>
      </c>
      <c r="E118" s="57">
        <v>115</v>
      </c>
      <c r="F118" s="56" t="s">
        <v>150</v>
      </c>
      <c r="G118" s="57">
        <v>256</v>
      </c>
      <c r="H118" s="57">
        <v>115</v>
      </c>
      <c r="I118" s="56" t="s">
        <v>577</v>
      </c>
      <c r="J118" s="56" t="s">
        <v>578</v>
      </c>
    </row>
    <row r="119" spans="1:10" ht="96">
      <c r="A119" s="57">
        <v>4</v>
      </c>
      <c r="B119" s="56" t="s">
        <v>1226</v>
      </c>
      <c r="C119" s="57">
        <v>15</v>
      </c>
      <c r="D119" s="56" t="s">
        <v>19</v>
      </c>
      <c r="E119" s="57">
        <v>115</v>
      </c>
      <c r="F119" s="56" t="s">
        <v>150</v>
      </c>
      <c r="G119" s="57">
        <v>292</v>
      </c>
      <c r="H119" s="57">
        <v>115</v>
      </c>
      <c r="I119" s="56" t="s">
        <v>634</v>
      </c>
      <c r="J119" s="56" t="s">
        <v>635</v>
      </c>
    </row>
    <row r="120" spans="1:10" ht="144">
      <c r="A120" s="57">
        <v>4</v>
      </c>
      <c r="B120" s="56" t="s">
        <v>1226</v>
      </c>
      <c r="C120" s="57">
        <v>17</v>
      </c>
      <c r="D120" s="56" t="s">
        <v>21</v>
      </c>
      <c r="E120" s="57">
        <v>115</v>
      </c>
      <c r="F120" s="56" t="s">
        <v>150</v>
      </c>
      <c r="G120" s="57">
        <v>353</v>
      </c>
      <c r="H120" s="57">
        <v>115</v>
      </c>
      <c r="I120" s="56" t="s">
        <v>756</v>
      </c>
      <c r="J120" s="56" t="s">
        <v>757</v>
      </c>
    </row>
    <row r="121" spans="1:10" ht="144">
      <c r="A121" s="57">
        <v>7</v>
      </c>
      <c r="B121" s="56" t="s">
        <v>1230</v>
      </c>
      <c r="C121" s="57">
        <v>26</v>
      </c>
      <c r="D121" s="56" t="s">
        <v>30</v>
      </c>
      <c r="E121" s="57">
        <v>115</v>
      </c>
      <c r="F121" s="56" t="s">
        <v>150</v>
      </c>
      <c r="G121" s="57">
        <v>606</v>
      </c>
      <c r="H121" s="57">
        <v>115</v>
      </c>
      <c r="I121" s="56" t="s">
        <v>1034</v>
      </c>
      <c r="J121" s="56" t="s">
        <v>757</v>
      </c>
    </row>
    <row r="122" spans="1:10" ht="80">
      <c r="A122" s="57">
        <v>4</v>
      </c>
      <c r="B122" s="56" t="s">
        <v>1226</v>
      </c>
      <c r="C122" s="57">
        <v>13</v>
      </c>
      <c r="D122" s="56" t="s">
        <v>17</v>
      </c>
      <c r="E122" s="57">
        <v>128</v>
      </c>
      <c r="F122" s="56" t="s">
        <v>163</v>
      </c>
      <c r="G122" s="57">
        <v>270</v>
      </c>
      <c r="H122" s="57">
        <v>128</v>
      </c>
      <c r="I122" s="56" t="s">
        <v>605</v>
      </c>
      <c r="J122" s="56" t="s">
        <v>606</v>
      </c>
    </row>
    <row r="123" spans="1:10" ht="112">
      <c r="A123" s="57">
        <v>4</v>
      </c>
      <c r="B123" s="56" t="s">
        <v>1226</v>
      </c>
      <c r="C123" s="57">
        <v>18</v>
      </c>
      <c r="D123" s="56" t="s">
        <v>22</v>
      </c>
      <c r="E123" s="57">
        <v>128</v>
      </c>
      <c r="F123" s="56" t="s">
        <v>163</v>
      </c>
      <c r="G123" s="57">
        <v>361</v>
      </c>
      <c r="H123" s="57">
        <v>128</v>
      </c>
      <c r="I123" s="56" t="s">
        <v>772</v>
      </c>
      <c r="J123" s="56" t="s">
        <v>773</v>
      </c>
    </row>
    <row r="124" spans="1:10" ht="64">
      <c r="A124" s="57">
        <v>5</v>
      </c>
      <c r="B124" s="56" t="s">
        <v>1227</v>
      </c>
      <c r="C124" s="57">
        <v>21</v>
      </c>
      <c r="D124" s="56" t="s">
        <v>25</v>
      </c>
      <c r="E124" s="57">
        <v>128</v>
      </c>
      <c r="F124" s="56" t="s">
        <v>163</v>
      </c>
      <c r="G124" s="57">
        <v>448</v>
      </c>
      <c r="H124" s="57">
        <v>128</v>
      </c>
      <c r="I124" s="56" t="s">
        <v>895</v>
      </c>
      <c r="J124" s="56" t="s">
        <v>298</v>
      </c>
    </row>
    <row r="125" spans="1:10" ht="64">
      <c r="A125" s="57">
        <v>4</v>
      </c>
      <c r="B125" s="56" t="s">
        <v>1226</v>
      </c>
      <c r="C125" s="57">
        <v>13</v>
      </c>
      <c r="D125" s="56" t="s">
        <v>17</v>
      </c>
      <c r="E125" s="57">
        <v>130</v>
      </c>
      <c r="F125" s="56" t="s">
        <v>165</v>
      </c>
      <c r="G125" s="57">
        <v>273</v>
      </c>
      <c r="H125" s="57">
        <v>130</v>
      </c>
      <c r="I125" s="56" t="s">
        <v>611</v>
      </c>
      <c r="J125" s="56" t="s">
        <v>612</v>
      </c>
    </row>
    <row r="126" spans="1:10" ht="64">
      <c r="A126" s="57">
        <v>6</v>
      </c>
      <c r="B126" s="56" t="s">
        <v>28</v>
      </c>
      <c r="C126" s="57">
        <v>23</v>
      </c>
      <c r="D126" s="56" t="s">
        <v>27</v>
      </c>
      <c r="E126" s="57">
        <v>130</v>
      </c>
      <c r="F126" s="56" t="s">
        <v>165</v>
      </c>
      <c r="G126" s="57">
        <v>505</v>
      </c>
      <c r="H126" s="57">
        <v>130</v>
      </c>
      <c r="I126" s="56" t="s">
        <v>943</v>
      </c>
      <c r="J126" s="56" t="s">
        <v>298</v>
      </c>
    </row>
    <row r="127" spans="1:10" ht="112">
      <c r="A127" s="57">
        <v>4</v>
      </c>
      <c r="B127" s="56" t="s">
        <v>1226</v>
      </c>
      <c r="C127" s="57">
        <v>13</v>
      </c>
      <c r="D127" s="56" t="s">
        <v>17</v>
      </c>
      <c r="E127" s="57">
        <v>131</v>
      </c>
      <c r="F127" s="56" t="s">
        <v>379</v>
      </c>
      <c r="G127" s="57">
        <v>274</v>
      </c>
      <c r="H127" s="57">
        <v>131</v>
      </c>
      <c r="I127" s="56" t="s">
        <v>613</v>
      </c>
      <c r="J127" s="56" t="s">
        <v>614</v>
      </c>
    </row>
    <row r="128" spans="1:10" ht="32">
      <c r="A128" s="57">
        <v>6</v>
      </c>
      <c r="B128" s="56" t="s">
        <v>28</v>
      </c>
      <c r="C128" s="57">
        <v>23</v>
      </c>
      <c r="D128" s="56" t="s">
        <v>27</v>
      </c>
      <c r="E128" s="57">
        <v>131</v>
      </c>
      <c r="F128" s="56" t="s">
        <v>379</v>
      </c>
      <c r="G128" s="57">
        <v>506</v>
      </c>
      <c r="H128" s="57">
        <v>131</v>
      </c>
      <c r="I128" s="56" t="s">
        <v>944</v>
      </c>
      <c r="J128" s="56" t="s">
        <v>298</v>
      </c>
    </row>
    <row r="129" spans="1:10" ht="32">
      <c r="A129" s="57">
        <v>4</v>
      </c>
      <c r="B129" s="56" t="s">
        <v>1226</v>
      </c>
      <c r="C129" s="57">
        <v>14</v>
      </c>
      <c r="D129" s="56" t="s">
        <v>18</v>
      </c>
      <c r="E129" s="57">
        <v>133</v>
      </c>
      <c r="F129" s="56" t="s">
        <v>168</v>
      </c>
      <c r="G129" s="57">
        <v>276</v>
      </c>
      <c r="H129" s="57">
        <v>133</v>
      </c>
      <c r="I129" s="56" t="s">
        <v>616</v>
      </c>
      <c r="J129" s="56" t="s">
        <v>298</v>
      </c>
    </row>
    <row r="130" spans="1:10" ht="128">
      <c r="A130" s="57">
        <v>4</v>
      </c>
      <c r="B130" s="56" t="s">
        <v>1226</v>
      </c>
      <c r="C130" s="57">
        <v>15</v>
      </c>
      <c r="D130" s="56" t="s">
        <v>19</v>
      </c>
      <c r="E130" s="57">
        <v>133</v>
      </c>
      <c r="F130" s="56" t="s">
        <v>168</v>
      </c>
      <c r="G130" s="57">
        <v>311</v>
      </c>
      <c r="H130" s="57">
        <v>133</v>
      </c>
      <c r="I130" s="56" t="s">
        <v>672</v>
      </c>
      <c r="J130" s="56" t="s">
        <v>673</v>
      </c>
    </row>
    <row r="131" spans="1:10" ht="32">
      <c r="A131" s="57">
        <v>4</v>
      </c>
      <c r="B131" s="56" t="s">
        <v>1226</v>
      </c>
      <c r="C131" s="57">
        <v>14</v>
      </c>
      <c r="D131" s="56" t="s">
        <v>18</v>
      </c>
      <c r="E131" s="57">
        <v>142</v>
      </c>
      <c r="F131" s="56" t="s">
        <v>177</v>
      </c>
      <c r="G131" s="57">
        <v>285</v>
      </c>
      <c r="H131" s="57">
        <v>142</v>
      </c>
      <c r="I131" s="56" t="s">
        <v>625</v>
      </c>
      <c r="J131" s="56" t="s">
        <v>298</v>
      </c>
    </row>
    <row r="132" spans="1:10" ht="80">
      <c r="A132" s="57">
        <v>5</v>
      </c>
      <c r="B132" s="56" t="s">
        <v>1227</v>
      </c>
      <c r="C132" s="57">
        <v>20</v>
      </c>
      <c r="D132" s="56" t="s">
        <v>24</v>
      </c>
      <c r="E132" s="57">
        <v>142</v>
      </c>
      <c r="F132" s="56" t="s">
        <v>177</v>
      </c>
      <c r="G132" s="57">
        <v>430</v>
      </c>
      <c r="H132" s="57">
        <v>142</v>
      </c>
      <c r="I132" s="56" t="s">
        <v>877</v>
      </c>
      <c r="J132" s="56" t="s">
        <v>298</v>
      </c>
    </row>
    <row r="133" spans="1:10" ht="32">
      <c r="A133" s="57">
        <v>4</v>
      </c>
      <c r="B133" s="56" t="s">
        <v>1226</v>
      </c>
      <c r="C133" s="57">
        <v>14</v>
      </c>
      <c r="D133" s="56" t="s">
        <v>18</v>
      </c>
      <c r="E133" s="57">
        <v>146</v>
      </c>
      <c r="F133" s="56" t="s">
        <v>181</v>
      </c>
      <c r="G133" s="57">
        <v>289</v>
      </c>
      <c r="H133" s="57">
        <v>146</v>
      </c>
      <c r="I133" s="56" t="s">
        <v>629</v>
      </c>
      <c r="J133" s="56" t="s">
        <v>298</v>
      </c>
    </row>
    <row r="134" spans="1:10" ht="32">
      <c r="A134" s="57">
        <v>6</v>
      </c>
      <c r="B134" s="56" t="s">
        <v>28</v>
      </c>
      <c r="C134" s="57">
        <v>24</v>
      </c>
      <c r="D134" s="56" t="s">
        <v>28</v>
      </c>
      <c r="E134" s="57">
        <v>146</v>
      </c>
      <c r="F134" s="56" t="s">
        <v>181</v>
      </c>
      <c r="G134" s="57">
        <v>557</v>
      </c>
      <c r="H134" s="57">
        <v>146</v>
      </c>
      <c r="I134" s="56" t="s">
        <v>995</v>
      </c>
      <c r="J134" s="56" t="s">
        <v>298</v>
      </c>
    </row>
    <row r="135" spans="1:10" ht="96">
      <c r="A135" s="57">
        <v>4</v>
      </c>
      <c r="B135" s="56" t="s">
        <v>1226</v>
      </c>
      <c r="C135" s="57">
        <v>15</v>
      </c>
      <c r="D135" s="56" t="s">
        <v>19</v>
      </c>
      <c r="E135" s="57">
        <v>149</v>
      </c>
      <c r="F135" s="56" t="s">
        <v>185</v>
      </c>
      <c r="G135" s="57">
        <v>293</v>
      </c>
      <c r="H135" s="57">
        <v>149</v>
      </c>
      <c r="I135" s="56" t="s">
        <v>636</v>
      </c>
      <c r="J135" s="56" t="s">
        <v>637</v>
      </c>
    </row>
    <row r="136" spans="1:10" ht="32">
      <c r="A136" s="57">
        <v>5</v>
      </c>
      <c r="B136" s="56" t="s">
        <v>1227</v>
      </c>
      <c r="C136" s="57">
        <v>21</v>
      </c>
      <c r="D136" s="56" t="s">
        <v>25</v>
      </c>
      <c r="E136" s="57">
        <v>149</v>
      </c>
      <c r="F136" s="56" t="s">
        <v>185</v>
      </c>
      <c r="G136" s="57">
        <v>449</v>
      </c>
      <c r="H136" s="57">
        <v>149</v>
      </c>
      <c r="I136" s="56" t="s">
        <v>896</v>
      </c>
      <c r="J136" s="56" t="s">
        <v>298</v>
      </c>
    </row>
    <row r="137" spans="1:10" ht="64">
      <c r="A137" s="57">
        <v>4</v>
      </c>
      <c r="B137" s="56" t="s">
        <v>1226</v>
      </c>
      <c r="C137" s="57">
        <v>15</v>
      </c>
      <c r="D137" s="56" t="s">
        <v>19</v>
      </c>
      <c r="E137" s="57">
        <v>161</v>
      </c>
      <c r="F137" s="56" t="s">
        <v>399</v>
      </c>
      <c r="G137" s="57">
        <v>306</v>
      </c>
      <c r="H137" s="57">
        <v>161</v>
      </c>
      <c r="I137" s="56" t="s">
        <v>662</v>
      </c>
      <c r="J137" s="56" t="s">
        <v>663</v>
      </c>
    </row>
    <row r="138" spans="1:10" ht="32">
      <c r="A138" s="57">
        <v>6</v>
      </c>
      <c r="B138" s="56" t="s">
        <v>28</v>
      </c>
      <c r="C138" s="57">
        <v>23</v>
      </c>
      <c r="D138" s="56" t="s">
        <v>27</v>
      </c>
      <c r="E138" s="57">
        <v>161</v>
      </c>
      <c r="F138" s="56" t="s">
        <v>399</v>
      </c>
      <c r="G138" s="57">
        <v>526</v>
      </c>
      <c r="H138" s="57">
        <v>161</v>
      </c>
      <c r="I138" s="56" t="s">
        <v>964</v>
      </c>
      <c r="J138" s="56" t="s">
        <v>298</v>
      </c>
    </row>
    <row r="139" spans="1:10" ht="112">
      <c r="A139" s="57">
        <v>4</v>
      </c>
      <c r="B139" s="56" t="s">
        <v>1226</v>
      </c>
      <c r="C139" s="57">
        <v>16</v>
      </c>
      <c r="D139" s="56" t="s">
        <v>20</v>
      </c>
      <c r="E139" s="57">
        <v>194</v>
      </c>
      <c r="F139" s="56" t="s">
        <v>233</v>
      </c>
      <c r="G139" s="57">
        <v>341</v>
      </c>
      <c r="H139" s="57">
        <v>194</v>
      </c>
      <c r="I139" s="56" t="s">
        <v>732</v>
      </c>
      <c r="J139" s="56" t="s">
        <v>733</v>
      </c>
    </row>
    <row r="140" spans="1:10" ht="80">
      <c r="A140" s="57">
        <v>4</v>
      </c>
      <c r="B140" s="56" t="s">
        <v>1226</v>
      </c>
      <c r="C140" s="57">
        <v>18</v>
      </c>
      <c r="D140" s="56" t="s">
        <v>22</v>
      </c>
      <c r="E140" s="57">
        <v>194</v>
      </c>
      <c r="F140" s="56" t="s">
        <v>233</v>
      </c>
      <c r="G140" s="57">
        <v>364</v>
      </c>
      <c r="H140" s="57">
        <v>194</v>
      </c>
      <c r="I140" s="56" t="s">
        <v>778</v>
      </c>
      <c r="J140" s="56" t="s">
        <v>779</v>
      </c>
    </row>
    <row r="141" spans="1:10" ht="160">
      <c r="A141" s="57">
        <v>4</v>
      </c>
      <c r="B141" s="56" t="s">
        <v>1226</v>
      </c>
      <c r="C141" s="57">
        <v>17</v>
      </c>
      <c r="D141" s="56" t="s">
        <v>21</v>
      </c>
      <c r="E141" s="57">
        <v>208</v>
      </c>
      <c r="F141" s="56" t="s">
        <v>248</v>
      </c>
      <c r="G141" s="57">
        <v>356</v>
      </c>
      <c r="H141" s="57">
        <v>208</v>
      </c>
      <c r="I141" s="56" t="s">
        <v>762</v>
      </c>
      <c r="J141" s="56" t="s">
        <v>763</v>
      </c>
    </row>
    <row r="142" spans="1:10" ht="160">
      <c r="A142" s="57">
        <v>7</v>
      </c>
      <c r="B142" s="56" t="s">
        <v>1230</v>
      </c>
      <c r="C142" s="57">
        <v>27</v>
      </c>
      <c r="D142" s="56" t="s">
        <v>31</v>
      </c>
      <c r="E142" s="57">
        <v>208</v>
      </c>
      <c r="F142" s="56" t="s">
        <v>248</v>
      </c>
      <c r="G142" s="57">
        <v>622</v>
      </c>
      <c r="H142" s="57">
        <v>208</v>
      </c>
      <c r="I142" s="56" t="s">
        <v>762</v>
      </c>
      <c r="J142" s="56" t="s">
        <v>1054</v>
      </c>
    </row>
    <row r="143" spans="1:10" ht="112">
      <c r="A143" s="57">
        <v>4</v>
      </c>
      <c r="B143" s="56" t="s">
        <v>1226</v>
      </c>
      <c r="C143" s="57">
        <v>18</v>
      </c>
      <c r="D143" s="56" t="s">
        <v>22</v>
      </c>
      <c r="E143" s="57">
        <v>213</v>
      </c>
      <c r="F143" s="56" t="s">
        <v>256</v>
      </c>
      <c r="G143" s="57">
        <v>363</v>
      </c>
      <c r="H143" s="57">
        <v>213</v>
      </c>
      <c r="I143" s="56" t="s">
        <v>776</v>
      </c>
      <c r="J143" s="56" t="s">
        <v>777</v>
      </c>
    </row>
    <row r="144" spans="1:10" ht="32">
      <c r="A144" s="57">
        <v>5</v>
      </c>
      <c r="B144" s="56" t="s">
        <v>1227</v>
      </c>
      <c r="C144" s="57">
        <v>21</v>
      </c>
      <c r="D144" s="56" t="s">
        <v>25</v>
      </c>
      <c r="E144" s="57">
        <v>213</v>
      </c>
      <c r="F144" s="56" t="s">
        <v>256</v>
      </c>
      <c r="G144" s="57">
        <v>450</v>
      </c>
      <c r="H144" s="57">
        <v>213</v>
      </c>
      <c r="I144" s="56" t="s">
        <v>897</v>
      </c>
      <c r="J144" s="56" t="s">
        <v>298</v>
      </c>
    </row>
    <row r="145" spans="1:10" ht="112">
      <c r="A145" s="57">
        <v>4</v>
      </c>
      <c r="B145" s="56" t="s">
        <v>1226</v>
      </c>
      <c r="C145" s="57">
        <v>18</v>
      </c>
      <c r="D145" s="56" t="s">
        <v>22</v>
      </c>
      <c r="E145" s="57">
        <v>218</v>
      </c>
      <c r="F145" s="56" t="s">
        <v>262</v>
      </c>
      <c r="G145" s="57">
        <v>369</v>
      </c>
      <c r="H145" s="57">
        <v>218</v>
      </c>
      <c r="I145" s="56" t="s">
        <v>788</v>
      </c>
      <c r="J145" s="56" t="s">
        <v>789</v>
      </c>
    </row>
    <row r="146" spans="1:10" ht="48">
      <c r="A146" s="57">
        <v>6</v>
      </c>
      <c r="B146" s="56" t="s">
        <v>28</v>
      </c>
      <c r="C146" s="57">
        <v>24</v>
      </c>
      <c r="D146" s="56" t="s">
        <v>28</v>
      </c>
      <c r="E146" s="57">
        <v>218</v>
      </c>
      <c r="F146" s="56" t="s">
        <v>262</v>
      </c>
      <c r="G146" s="57">
        <v>536</v>
      </c>
      <c r="H146" s="57">
        <v>218</v>
      </c>
      <c r="I146" s="56" t="s">
        <v>974</v>
      </c>
      <c r="J146" s="56" t="s">
        <v>298</v>
      </c>
    </row>
    <row r="147" spans="1:10" ht="112">
      <c r="A147" s="57">
        <v>4</v>
      </c>
      <c r="B147" s="56" t="s">
        <v>1226</v>
      </c>
      <c r="C147" s="57">
        <v>18</v>
      </c>
      <c r="D147" s="56" t="s">
        <v>22</v>
      </c>
      <c r="E147" s="57">
        <v>221</v>
      </c>
      <c r="F147" s="56" t="s">
        <v>265</v>
      </c>
      <c r="G147" s="57">
        <v>372</v>
      </c>
      <c r="H147" s="57">
        <v>221</v>
      </c>
      <c r="I147" s="56" t="s">
        <v>794</v>
      </c>
      <c r="J147" s="56" t="s">
        <v>795</v>
      </c>
    </row>
    <row r="148" spans="1:10" ht="48">
      <c r="A148" s="57">
        <v>6</v>
      </c>
      <c r="B148" s="56" t="s">
        <v>28</v>
      </c>
      <c r="C148" s="57">
        <v>24</v>
      </c>
      <c r="D148" s="56" t="s">
        <v>28</v>
      </c>
      <c r="E148" s="57">
        <v>221</v>
      </c>
      <c r="F148" s="56" t="s">
        <v>265</v>
      </c>
      <c r="G148" s="57">
        <v>550</v>
      </c>
      <c r="H148" s="57">
        <v>221</v>
      </c>
      <c r="I148" s="56" t="s">
        <v>988</v>
      </c>
      <c r="J148" s="56" t="s">
        <v>298</v>
      </c>
    </row>
    <row r="149" spans="1:10" ht="128">
      <c r="A149" s="57">
        <v>4</v>
      </c>
      <c r="B149" s="56" t="s">
        <v>1226</v>
      </c>
      <c r="C149" s="57">
        <v>7</v>
      </c>
      <c r="D149" s="56" t="s">
        <v>11</v>
      </c>
      <c r="E149" s="57">
        <v>225</v>
      </c>
      <c r="F149" s="56" t="s">
        <v>270</v>
      </c>
      <c r="G149" s="57">
        <v>376</v>
      </c>
      <c r="H149" s="57">
        <v>225</v>
      </c>
      <c r="I149" s="56" t="s">
        <v>802</v>
      </c>
      <c r="J149" s="56" t="s">
        <v>1189</v>
      </c>
    </row>
    <row r="150" spans="1:10" ht="32">
      <c r="A150" s="57">
        <v>6</v>
      </c>
      <c r="B150" s="56" t="s">
        <v>28</v>
      </c>
      <c r="C150" s="57">
        <v>7</v>
      </c>
      <c r="D150" s="56" t="s">
        <v>11</v>
      </c>
      <c r="E150" s="57">
        <v>225</v>
      </c>
      <c r="F150" s="56" t="s">
        <v>270</v>
      </c>
      <c r="G150" s="57">
        <v>570</v>
      </c>
      <c r="H150" s="57">
        <v>225</v>
      </c>
      <c r="I150" s="56" t="s">
        <v>802</v>
      </c>
      <c r="J150" s="56" t="s">
        <v>298</v>
      </c>
    </row>
    <row r="151" spans="1:10" ht="144">
      <c r="A151" s="57">
        <v>4</v>
      </c>
      <c r="B151" s="56" t="s">
        <v>1226</v>
      </c>
      <c r="C151" s="57">
        <v>7</v>
      </c>
      <c r="D151" s="56" t="s">
        <v>11</v>
      </c>
      <c r="E151" s="57">
        <v>226</v>
      </c>
      <c r="F151" s="56" t="s">
        <v>351</v>
      </c>
      <c r="G151" s="57">
        <v>377</v>
      </c>
      <c r="H151" s="57">
        <v>226</v>
      </c>
      <c r="I151" s="56" t="s">
        <v>803</v>
      </c>
      <c r="J151" s="56" t="s">
        <v>804</v>
      </c>
    </row>
    <row r="152" spans="1:10" ht="128">
      <c r="A152" s="57">
        <v>5</v>
      </c>
      <c r="B152" s="56" t="s">
        <v>1227</v>
      </c>
      <c r="C152" s="57">
        <v>7</v>
      </c>
      <c r="D152" s="56" t="s">
        <v>11</v>
      </c>
      <c r="E152" s="57">
        <v>226</v>
      </c>
      <c r="F152" s="56" t="s">
        <v>351</v>
      </c>
      <c r="G152" s="57">
        <v>468</v>
      </c>
      <c r="H152" s="57">
        <v>226</v>
      </c>
      <c r="I152" s="56" t="s">
        <v>803</v>
      </c>
      <c r="J152" s="56" t="s">
        <v>298</v>
      </c>
    </row>
    <row r="153" spans="1:10" ht="128">
      <c r="A153" s="57">
        <v>6</v>
      </c>
      <c r="B153" s="56" t="s">
        <v>28</v>
      </c>
      <c r="C153" s="57">
        <v>7</v>
      </c>
      <c r="D153" s="56" t="s">
        <v>11</v>
      </c>
      <c r="E153" s="57">
        <v>226</v>
      </c>
      <c r="F153" s="56" t="s">
        <v>351</v>
      </c>
      <c r="G153" s="57">
        <v>571</v>
      </c>
      <c r="H153" s="57">
        <v>226</v>
      </c>
      <c r="I153" s="56" t="s">
        <v>1008</v>
      </c>
      <c r="J153" s="56" t="s">
        <v>298</v>
      </c>
    </row>
    <row r="154" spans="1:10" ht="160">
      <c r="A154" s="57">
        <v>7</v>
      </c>
      <c r="B154" s="56" t="s">
        <v>1230</v>
      </c>
      <c r="C154" s="57">
        <v>7</v>
      </c>
      <c r="D154" s="56" t="s">
        <v>11</v>
      </c>
      <c r="E154" s="57">
        <v>226</v>
      </c>
      <c r="F154" s="56" t="s">
        <v>351</v>
      </c>
      <c r="G154" s="57">
        <v>641</v>
      </c>
      <c r="H154" s="57">
        <v>226</v>
      </c>
      <c r="I154" s="56" t="s">
        <v>1069</v>
      </c>
      <c r="J154" s="56" t="s">
        <v>1070</v>
      </c>
    </row>
    <row r="155" spans="1:10" ht="96">
      <c r="A155" s="57">
        <v>4</v>
      </c>
      <c r="B155" s="56" t="s">
        <v>1226</v>
      </c>
      <c r="C155" s="57">
        <v>7</v>
      </c>
      <c r="D155" s="56" t="s">
        <v>11</v>
      </c>
      <c r="E155" s="57">
        <v>231</v>
      </c>
      <c r="F155" s="56" t="s">
        <v>276</v>
      </c>
      <c r="G155" s="57">
        <v>386</v>
      </c>
      <c r="H155" s="57">
        <v>231</v>
      </c>
      <c r="I155" s="56" t="s">
        <v>821</v>
      </c>
      <c r="J155" s="56" t="s">
        <v>822</v>
      </c>
    </row>
    <row r="156" spans="1:10" ht="96">
      <c r="A156" s="57">
        <v>7</v>
      </c>
      <c r="B156" s="56" t="s">
        <v>1230</v>
      </c>
      <c r="C156" s="57">
        <v>7</v>
      </c>
      <c r="D156" s="56" t="s">
        <v>11</v>
      </c>
      <c r="E156" s="57">
        <v>231</v>
      </c>
      <c r="F156" s="56" t="s">
        <v>276</v>
      </c>
      <c r="G156" s="57">
        <v>657</v>
      </c>
      <c r="H156" s="57">
        <v>231</v>
      </c>
      <c r="I156" s="56" t="s">
        <v>1083</v>
      </c>
      <c r="J156" s="56" t="s">
        <v>1084</v>
      </c>
    </row>
    <row r="157" spans="1:10" ht="96">
      <c r="A157" s="57">
        <v>4</v>
      </c>
      <c r="B157" s="56" t="s">
        <v>1226</v>
      </c>
      <c r="C157" s="57">
        <v>7</v>
      </c>
      <c r="D157" s="56" t="s">
        <v>11</v>
      </c>
      <c r="E157" s="57">
        <v>232</v>
      </c>
      <c r="F157" s="56" t="s">
        <v>277</v>
      </c>
      <c r="G157" s="57">
        <v>387</v>
      </c>
      <c r="H157" s="57">
        <v>232</v>
      </c>
      <c r="I157" s="56" t="s">
        <v>823</v>
      </c>
      <c r="J157" s="56" t="s">
        <v>824</v>
      </c>
    </row>
    <row r="158" spans="1:10" ht="96">
      <c r="A158" s="57">
        <v>7</v>
      </c>
      <c r="B158" s="56" t="s">
        <v>1230</v>
      </c>
      <c r="C158" s="57">
        <v>7</v>
      </c>
      <c r="D158" s="56" t="s">
        <v>11</v>
      </c>
      <c r="E158" s="57">
        <v>232</v>
      </c>
      <c r="F158" s="56" t="s">
        <v>277</v>
      </c>
      <c r="G158" s="57">
        <v>658</v>
      </c>
      <c r="H158" s="57">
        <v>232</v>
      </c>
      <c r="I158" s="56" t="s">
        <v>1085</v>
      </c>
      <c r="J158" s="56" t="s">
        <v>1086</v>
      </c>
    </row>
    <row r="159" spans="1:10" ht="32">
      <c r="A159" s="57">
        <v>4</v>
      </c>
      <c r="B159" s="56" t="s">
        <v>1226</v>
      </c>
      <c r="C159" s="57">
        <v>7</v>
      </c>
      <c r="D159" s="56" t="s">
        <v>11</v>
      </c>
      <c r="E159" s="57">
        <v>233</v>
      </c>
      <c r="F159" s="56" t="s">
        <v>278</v>
      </c>
      <c r="G159" s="57">
        <v>388</v>
      </c>
      <c r="H159" s="57">
        <v>233</v>
      </c>
      <c r="I159" s="56" t="s">
        <v>825</v>
      </c>
      <c r="J159" s="56" t="s">
        <v>826</v>
      </c>
    </row>
    <row r="160" spans="1:10" ht="32">
      <c r="A160" s="57">
        <v>7</v>
      </c>
      <c r="B160" s="56" t="s">
        <v>1230</v>
      </c>
      <c r="C160" s="57">
        <v>7</v>
      </c>
      <c r="D160" s="56" t="s">
        <v>11</v>
      </c>
      <c r="E160" s="57">
        <v>233</v>
      </c>
      <c r="F160" s="56" t="s">
        <v>278</v>
      </c>
      <c r="G160" s="57">
        <v>659</v>
      </c>
      <c r="H160" s="57">
        <v>233</v>
      </c>
      <c r="I160" s="56" t="s">
        <v>1087</v>
      </c>
      <c r="J160" s="56" t="s">
        <v>826</v>
      </c>
    </row>
    <row r="161" spans="1:10" ht="80">
      <c r="A161" s="57">
        <v>4</v>
      </c>
      <c r="B161" s="56" t="s">
        <v>1226</v>
      </c>
      <c r="C161" s="57">
        <v>7</v>
      </c>
      <c r="D161" s="56" t="s">
        <v>11</v>
      </c>
      <c r="E161" s="57">
        <v>234</v>
      </c>
      <c r="F161" s="56" t="s">
        <v>279</v>
      </c>
      <c r="G161" s="57">
        <v>389</v>
      </c>
      <c r="H161" s="57">
        <v>234</v>
      </c>
      <c r="I161" s="56" t="s">
        <v>827</v>
      </c>
      <c r="J161" s="56" t="s">
        <v>828</v>
      </c>
    </row>
    <row r="162" spans="1:10" ht="48">
      <c r="A162" s="57">
        <v>6</v>
      </c>
      <c r="B162" s="56" t="s">
        <v>28</v>
      </c>
      <c r="C162" s="57">
        <v>7</v>
      </c>
      <c r="D162" s="56" t="s">
        <v>11</v>
      </c>
      <c r="E162" s="57">
        <v>234</v>
      </c>
      <c r="F162" s="56" t="s">
        <v>279</v>
      </c>
      <c r="G162" s="57">
        <v>582</v>
      </c>
      <c r="H162" s="57">
        <v>234</v>
      </c>
      <c r="I162" s="56" t="s">
        <v>827</v>
      </c>
      <c r="J162" s="56" t="s">
        <v>298</v>
      </c>
    </row>
    <row r="163" spans="1:10" ht="96">
      <c r="A163" s="57">
        <v>4</v>
      </c>
      <c r="B163" s="56" t="s">
        <v>1226</v>
      </c>
      <c r="C163" s="57">
        <v>6</v>
      </c>
      <c r="D163" s="56" t="s">
        <v>10</v>
      </c>
      <c r="E163" s="57">
        <v>240</v>
      </c>
      <c r="F163" s="56" t="s">
        <v>285</v>
      </c>
      <c r="G163" s="57">
        <v>395</v>
      </c>
      <c r="H163" s="57">
        <v>240</v>
      </c>
      <c r="I163" s="56" t="s">
        <v>839</v>
      </c>
      <c r="J163" s="56" t="s">
        <v>840</v>
      </c>
    </row>
    <row r="164" spans="1:10" ht="32">
      <c r="A164" s="57">
        <v>5</v>
      </c>
      <c r="B164" s="56" t="s">
        <v>1227</v>
      </c>
      <c r="C164" s="57">
        <v>6</v>
      </c>
      <c r="D164" s="56" t="s">
        <v>10</v>
      </c>
      <c r="E164" s="57">
        <v>240</v>
      </c>
      <c r="F164" s="56" t="s">
        <v>285</v>
      </c>
      <c r="G164" s="57">
        <v>485</v>
      </c>
      <c r="H164" s="57">
        <v>240</v>
      </c>
      <c r="I164" s="56" t="s">
        <v>839</v>
      </c>
      <c r="J164" s="56" t="s">
        <v>298</v>
      </c>
    </row>
    <row r="165" spans="1:10" ht="32">
      <c r="A165" s="57">
        <v>6</v>
      </c>
      <c r="B165" s="56" t="s">
        <v>28</v>
      </c>
      <c r="C165" s="57">
        <v>6</v>
      </c>
      <c r="D165" s="56" t="s">
        <v>10</v>
      </c>
      <c r="E165" s="57">
        <v>240</v>
      </c>
      <c r="F165" s="56" t="s">
        <v>285</v>
      </c>
      <c r="G165" s="57">
        <v>588</v>
      </c>
      <c r="H165" s="57">
        <v>240</v>
      </c>
      <c r="I165" s="56" t="s">
        <v>1016</v>
      </c>
      <c r="J165" s="56" t="s">
        <v>298</v>
      </c>
    </row>
    <row r="166" spans="1:10" ht="32">
      <c r="A166" s="57">
        <v>7</v>
      </c>
      <c r="B166" s="56" t="s">
        <v>1230</v>
      </c>
      <c r="C166" s="57">
        <v>6</v>
      </c>
      <c r="D166" s="56" t="s">
        <v>10</v>
      </c>
      <c r="E166" s="57">
        <v>240</v>
      </c>
      <c r="F166" s="56" t="s">
        <v>285</v>
      </c>
      <c r="G166" s="57">
        <v>662</v>
      </c>
      <c r="H166" s="57">
        <v>240</v>
      </c>
      <c r="I166" s="56" t="s">
        <v>1090</v>
      </c>
      <c r="J166" s="56" t="s">
        <v>298</v>
      </c>
    </row>
    <row r="167" spans="1:10" ht="112">
      <c r="A167" s="57">
        <v>4</v>
      </c>
      <c r="B167" s="56" t="s">
        <v>1226</v>
      </c>
      <c r="C167" s="57">
        <v>6</v>
      </c>
      <c r="D167" s="56" t="s">
        <v>10</v>
      </c>
      <c r="E167" s="57">
        <v>241</v>
      </c>
      <c r="F167" s="56" t="s">
        <v>287</v>
      </c>
      <c r="G167" s="57">
        <v>397</v>
      </c>
      <c r="H167" s="57">
        <v>241</v>
      </c>
      <c r="I167" s="56" t="s">
        <v>843</v>
      </c>
      <c r="J167" s="56" t="s">
        <v>844</v>
      </c>
    </row>
    <row r="168" spans="1:10" ht="32">
      <c r="A168" s="57">
        <v>5</v>
      </c>
      <c r="B168" s="56" t="s">
        <v>1227</v>
      </c>
      <c r="C168" s="57">
        <v>6</v>
      </c>
      <c r="D168" s="56" t="s">
        <v>10</v>
      </c>
      <c r="E168" s="57">
        <v>241</v>
      </c>
      <c r="F168" s="56" t="s">
        <v>287</v>
      </c>
      <c r="G168" s="57">
        <v>487</v>
      </c>
      <c r="H168" s="57">
        <v>241</v>
      </c>
      <c r="I168" s="56" t="s">
        <v>843</v>
      </c>
      <c r="J168" s="56" t="s">
        <v>298</v>
      </c>
    </row>
    <row r="169" spans="1:10" ht="32">
      <c r="A169" s="57">
        <v>6</v>
      </c>
      <c r="B169" s="56" t="s">
        <v>28</v>
      </c>
      <c r="C169" s="57">
        <v>6</v>
      </c>
      <c r="D169" s="56" t="s">
        <v>10</v>
      </c>
      <c r="E169" s="57">
        <v>241</v>
      </c>
      <c r="F169" s="56" t="s">
        <v>287</v>
      </c>
      <c r="G169" s="57">
        <v>590</v>
      </c>
      <c r="H169" s="57">
        <v>241</v>
      </c>
      <c r="I169" s="56" t="s">
        <v>1017</v>
      </c>
      <c r="J169" s="56" t="s">
        <v>298</v>
      </c>
    </row>
    <row r="170" spans="1:10" ht="32">
      <c r="A170" s="57">
        <v>7</v>
      </c>
      <c r="B170" s="56" t="s">
        <v>1230</v>
      </c>
      <c r="C170" s="57">
        <v>6</v>
      </c>
      <c r="D170" s="56" t="s">
        <v>10</v>
      </c>
      <c r="E170" s="57">
        <v>241</v>
      </c>
      <c r="F170" s="56" t="s">
        <v>287</v>
      </c>
      <c r="G170" s="57">
        <v>663</v>
      </c>
      <c r="H170" s="57">
        <v>241</v>
      </c>
      <c r="I170" s="56" t="s">
        <v>1017</v>
      </c>
      <c r="J170" s="56" t="s">
        <v>298</v>
      </c>
    </row>
    <row r="171" spans="1:10" ht="64">
      <c r="A171" s="57">
        <v>5</v>
      </c>
      <c r="B171" s="56" t="s">
        <v>1227</v>
      </c>
      <c r="C171" s="57">
        <v>7</v>
      </c>
      <c r="D171" s="56" t="s">
        <v>11</v>
      </c>
      <c r="E171" s="57">
        <v>302</v>
      </c>
      <c r="F171" s="56" t="s">
        <v>357</v>
      </c>
      <c r="G171" s="57">
        <v>475</v>
      </c>
      <c r="H171" s="57">
        <v>302</v>
      </c>
      <c r="I171" s="56" t="s">
        <v>919</v>
      </c>
      <c r="J171" s="56" t="s">
        <v>298</v>
      </c>
    </row>
    <row r="172" spans="1:10" ht="32">
      <c r="A172" s="57">
        <v>6</v>
      </c>
      <c r="B172" s="56" t="s">
        <v>28</v>
      </c>
      <c r="C172" s="57">
        <v>7</v>
      </c>
      <c r="D172" s="56" t="s">
        <v>11</v>
      </c>
      <c r="E172" s="57">
        <v>302</v>
      </c>
      <c r="F172" s="56" t="s">
        <v>357</v>
      </c>
      <c r="G172" s="57">
        <v>577</v>
      </c>
      <c r="H172" s="57">
        <v>302</v>
      </c>
      <c r="I172" s="56" t="s">
        <v>1010</v>
      </c>
      <c r="J172" s="56" t="s">
        <v>298</v>
      </c>
    </row>
    <row r="173" spans="1:10" ht="32">
      <c r="A173" s="57">
        <v>6</v>
      </c>
      <c r="B173" s="56" t="s">
        <v>28</v>
      </c>
      <c r="C173" s="57">
        <v>24</v>
      </c>
      <c r="D173" s="56" t="s">
        <v>28</v>
      </c>
      <c r="E173" s="57">
        <v>345</v>
      </c>
      <c r="F173" s="56" t="s">
        <v>408</v>
      </c>
      <c r="G173" s="57">
        <v>531</v>
      </c>
      <c r="H173" s="57">
        <v>345</v>
      </c>
      <c r="I173" s="56" t="s">
        <v>969</v>
      </c>
      <c r="J173" s="56" t="s">
        <v>298</v>
      </c>
    </row>
    <row r="174" spans="1:10" ht="64">
      <c r="A174" s="57">
        <v>7</v>
      </c>
      <c r="B174" s="56" t="s">
        <v>1230</v>
      </c>
      <c r="C174" s="57">
        <v>27</v>
      </c>
      <c r="D174" s="56" t="s">
        <v>31</v>
      </c>
      <c r="E174" s="57">
        <v>345</v>
      </c>
      <c r="F174" s="56" t="s">
        <v>408</v>
      </c>
      <c r="G174" s="57">
        <v>614</v>
      </c>
      <c r="H174" s="57">
        <v>345</v>
      </c>
      <c r="I174" s="56" t="s">
        <v>969</v>
      </c>
      <c r="J174" s="56" t="s">
        <v>1040</v>
      </c>
    </row>
    <row r="175" spans="1:10" ht="32">
      <c r="A175" s="57">
        <v>6</v>
      </c>
      <c r="B175" s="56" t="s">
        <v>28</v>
      </c>
      <c r="C175" s="57">
        <v>24</v>
      </c>
      <c r="D175" s="56" t="s">
        <v>28</v>
      </c>
      <c r="E175" s="57">
        <v>348</v>
      </c>
      <c r="F175" s="56" t="s">
        <v>411</v>
      </c>
      <c r="G175" s="57">
        <v>534</v>
      </c>
      <c r="H175" s="57">
        <v>348</v>
      </c>
      <c r="I175" s="56" t="s">
        <v>972</v>
      </c>
      <c r="J175" s="56" t="s">
        <v>298</v>
      </c>
    </row>
    <row r="176" spans="1:10" ht="64">
      <c r="A176" s="57">
        <v>7</v>
      </c>
      <c r="B176" s="56" t="s">
        <v>1230</v>
      </c>
      <c r="C176" s="57">
        <v>27</v>
      </c>
      <c r="D176" s="56" t="s">
        <v>31</v>
      </c>
      <c r="E176" s="57">
        <v>348</v>
      </c>
      <c r="F176" s="56" t="s">
        <v>474</v>
      </c>
      <c r="G176" s="57">
        <v>618</v>
      </c>
      <c r="H176" s="57">
        <v>348</v>
      </c>
      <c r="I176" s="56" t="s">
        <v>972</v>
      </c>
      <c r="J176" s="56" t="s">
        <v>1040</v>
      </c>
    </row>
    <row r="177" spans="1:10" ht="128">
      <c r="A177" s="57">
        <v>4</v>
      </c>
      <c r="B177" s="56" t="s">
        <v>1226</v>
      </c>
      <c r="C177" s="57">
        <v>18</v>
      </c>
      <c r="D177" s="56" t="s">
        <v>22</v>
      </c>
      <c r="E177" s="57">
        <v>368</v>
      </c>
      <c r="F177" s="56" t="s">
        <v>430</v>
      </c>
      <c r="G177" s="57">
        <v>362</v>
      </c>
      <c r="H177" s="57">
        <v>368</v>
      </c>
      <c r="I177" s="56" t="s">
        <v>774</v>
      </c>
      <c r="J177" s="56" t="s">
        <v>775</v>
      </c>
    </row>
    <row r="178" spans="1:10" ht="16">
      <c r="A178" s="57">
        <v>6</v>
      </c>
      <c r="B178" s="56" t="s">
        <v>28</v>
      </c>
      <c r="C178" s="57">
        <v>24</v>
      </c>
      <c r="D178" s="56" t="s">
        <v>28</v>
      </c>
      <c r="E178" s="57">
        <v>368</v>
      </c>
      <c r="F178" s="56" t="s">
        <v>430</v>
      </c>
      <c r="G178" s="57">
        <v>558</v>
      </c>
      <c r="H178" s="57">
        <v>368</v>
      </c>
      <c r="I178" s="56" t="s">
        <v>996</v>
      </c>
      <c r="J178" s="56" t="s">
        <v>298</v>
      </c>
    </row>
  </sheetData>
  <pageMargins left="0.7" right="0.7" top="0.75" bottom="0.75" header="0.3" footer="0.3"/>
  <pageSetup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52049-FC17-1F4E-834A-3A17405A0041}">
  <sheetPr codeName="Sheet8"/>
  <dimension ref="A1:F1"/>
  <sheetViews>
    <sheetView workbookViewId="0"/>
  </sheetViews>
  <sheetFormatPr baseColWidth="10" defaultRowHeight="16"/>
  <sheetData>
    <row r="1" spans="1:6">
      <c r="A1" t="s">
        <v>538</v>
      </c>
      <c r="B1" t="s">
        <v>537</v>
      </c>
      <c r="C1" t="s">
        <v>545</v>
      </c>
      <c r="D1" t="s">
        <v>546</v>
      </c>
      <c r="E1" t="s">
        <v>541</v>
      </c>
      <c r="F1" t="s">
        <v>540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CF6D0-BAC8-D349-95C0-4FCC4D70FFE6}">
  <sheetPr codeName="Sheet15"/>
  <dimension ref="A1:H16"/>
  <sheetViews>
    <sheetView workbookViewId="0"/>
  </sheetViews>
  <sheetFormatPr baseColWidth="10" defaultRowHeight="16"/>
  <sheetData>
    <row r="1" spans="1:8">
      <c r="A1" t="s">
        <v>1237</v>
      </c>
      <c r="B1" t="s">
        <v>1238</v>
      </c>
      <c r="C1" t="s">
        <v>537</v>
      </c>
      <c r="D1" t="s">
        <v>542</v>
      </c>
      <c r="E1" t="s">
        <v>1239</v>
      </c>
      <c r="F1" t="s">
        <v>540</v>
      </c>
      <c r="G1" t="s">
        <v>541</v>
      </c>
      <c r="H1" t="s">
        <v>1240</v>
      </c>
    </row>
    <row r="2" spans="1:8">
      <c r="A2">
        <v>1</v>
      </c>
      <c r="B2" t="s">
        <v>1252</v>
      </c>
      <c r="C2">
        <v>1</v>
      </c>
      <c r="D2" t="s">
        <v>50</v>
      </c>
      <c r="F2" t="s">
        <v>50</v>
      </c>
      <c r="G2" s="60">
        <v>43101</v>
      </c>
    </row>
    <row r="3" spans="1:8">
      <c r="A3">
        <v>2</v>
      </c>
      <c r="B3" t="s">
        <v>1253</v>
      </c>
      <c r="C3">
        <v>1</v>
      </c>
      <c r="D3" t="s">
        <v>50</v>
      </c>
      <c r="F3" t="s">
        <v>50</v>
      </c>
      <c r="G3" s="60">
        <v>43101</v>
      </c>
    </row>
    <row r="4" spans="1:8">
      <c r="A4">
        <v>3</v>
      </c>
      <c r="B4" t="s">
        <v>1254</v>
      </c>
      <c r="C4">
        <v>1</v>
      </c>
      <c r="D4" t="s">
        <v>50</v>
      </c>
      <c r="F4" t="s">
        <v>50</v>
      </c>
      <c r="G4" s="60">
        <v>43101</v>
      </c>
    </row>
    <row r="5" spans="1:8">
      <c r="A5">
        <v>4</v>
      </c>
      <c r="B5" t="s">
        <v>1255</v>
      </c>
      <c r="C5">
        <v>1</v>
      </c>
      <c r="D5" t="s">
        <v>50</v>
      </c>
      <c r="F5" t="s">
        <v>50</v>
      </c>
      <c r="G5" s="60">
        <v>43101</v>
      </c>
    </row>
    <row r="6" spans="1:8">
      <c r="A6">
        <v>5</v>
      </c>
      <c r="B6" t="s">
        <v>1256</v>
      </c>
      <c r="C6">
        <v>1</v>
      </c>
      <c r="D6" t="s">
        <v>50</v>
      </c>
      <c r="E6">
        <v>1</v>
      </c>
      <c r="F6" t="s">
        <v>50</v>
      </c>
      <c r="G6" s="60">
        <v>43101</v>
      </c>
      <c r="H6">
        <v>0.7</v>
      </c>
    </row>
    <row r="7" spans="1:8">
      <c r="A7">
        <v>6</v>
      </c>
      <c r="B7" t="s">
        <v>1257</v>
      </c>
      <c r="C7">
        <v>1</v>
      </c>
      <c r="D7" t="s">
        <v>50</v>
      </c>
      <c r="F7" t="s">
        <v>50</v>
      </c>
      <c r="G7" s="60">
        <v>43101</v>
      </c>
    </row>
    <row r="8" spans="1:8">
      <c r="A8">
        <v>7</v>
      </c>
      <c r="B8" t="s">
        <v>1258</v>
      </c>
      <c r="C8">
        <v>1</v>
      </c>
      <c r="D8" t="s">
        <v>50</v>
      </c>
      <c r="F8" t="s">
        <v>50</v>
      </c>
      <c r="G8" s="60">
        <v>43101</v>
      </c>
    </row>
    <row r="9" spans="1:8">
      <c r="A9">
        <v>8</v>
      </c>
      <c r="B9" t="s">
        <v>1259</v>
      </c>
      <c r="C9">
        <v>1</v>
      </c>
      <c r="D9" t="s">
        <v>50</v>
      </c>
      <c r="F9" t="s">
        <v>50</v>
      </c>
      <c r="G9" s="60">
        <v>43101</v>
      </c>
    </row>
    <row r="10" spans="1:8">
      <c r="A10">
        <v>9</v>
      </c>
      <c r="B10" t="s">
        <v>1260</v>
      </c>
      <c r="C10">
        <v>1</v>
      </c>
      <c r="D10" t="s">
        <v>50</v>
      </c>
      <c r="F10" t="s">
        <v>50</v>
      </c>
      <c r="G10" s="60">
        <v>43101</v>
      </c>
    </row>
    <row r="11" spans="1:8">
      <c r="A11">
        <v>10</v>
      </c>
      <c r="B11" t="s">
        <v>1261</v>
      </c>
      <c r="C11">
        <v>1</v>
      </c>
      <c r="D11" t="s">
        <v>50</v>
      </c>
      <c r="F11" t="s">
        <v>50</v>
      </c>
      <c r="G11" s="60">
        <v>43101</v>
      </c>
    </row>
    <row r="12" spans="1:8">
      <c r="A12">
        <v>11</v>
      </c>
      <c r="B12" t="s">
        <v>1262</v>
      </c>
      <c r="C12">
        <v>1</v>
      </c>
      <c r="D12" t="s">
        <v>50</v>
      </c>
      <c r="F12" t="s">
        <v>50</v>
      </c>
      <c r="G12" s="60">
        <v>43101</v>
      </c>
    </row>
    <row r="13" spans="1:8">
      <c r="A13">
        <v>12</v>
      </c>
      <c r="B13" t="s">
        <v>1296</v>
      </c>
      <c r="C13">
        <v>2</v>
      </c>
      <c r="D13" t="s">
        <v>50</v>
      </c>
      <c r="F13" t="s">
        <v>50</v>
      </c>
      <c r="G13" s="60">
        <v>43101</v>
      </c>
    </row>
    <row r="14" spans="1:8">
      <c r="A14">
        <v>13</v>
      </c>
      <c r="B14" t="s">
        <v>1297</v>
      </c>
      <c r="C14">
        <v>3</v>
      </c>
      <c r="D14" t="s">
        <v>50</v>
      </c>
      <c r="F14" t="s">
        <v>50</v>
      </c>
      <c r="G14" s="60">
        <v>43101</v>
      </c>
    </row>
    <row r="15" spans="1:8">
      <c r="A15">
        <v>14</v>
      </c>
      <c r="B15" t="s">
        <v>1298</v>
      </c>
      <c r="C15">
        <v>4</v>
      </c>
      <c r="D15" t="s">
        <v>50</v>
      </c>
      <c r="F15" t="s">
        <v>50</v>
      </c>
      <c r="G15" s="60">
        <v>43101</v>
      </c>
    </row>
    <row r="16" spans="1:8">
      <c r="G16" s="60"/>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64BC6-CA12-0740-95BC-5396F17ADE68}">
  <sheetPr codeName="Sheet16"/>
  <dimension ref="A1:F6"/>
  <sheetViews>
    <sheetView workbookViewId="0"/>
  </sheetViews>
  <sheetFormatPr baseColWidth="10" defaultRowHeight="16"/>
  <cols>
    <col min="3" max="3" width="27.1640625" bestFit="1" customWidth="1"/>
  </cols>
  <sheetData>
    <row r="1" spans="1:6">
      <c r="A1" t="s">
        <v>1265</v>
      </c>
      <c r="B1" t="s">
        <v>1266</v>
      </c>
      <c r="C1" t="s">
        <v>1267</v>
      </c>
      <c r="D1" t="s">
        <v>537</v>
      </c>
      <c r="E1" t="s">
        <v>540</v>
      </c>
      <c r="F1" t="s">
        <v>541</v>
      </c>
    </row>
    <row r="2" spans="1:6">
      <c r="A2">
        <v>1</v>
      </c>
      <c r="B2" s="62" t="s">
        <v>1268</v>
      </c>
      <c r="C2" t="str">
        <f>_xlfn.CONCAT("Description of ",B2)</f>
        <v>Description of NIMBLE</v>
      </c>
      <c r="D2">
        <v>1</v>
      </c>
      <c r="E2" t="s">
        <v>50</v>
      </c>
      <c r="F2" s="60">
        <v>43101</v>
      </c>
    </row>
    <row r="3" spans="1:6">
      <c r="A3">
        <v>2</v>
      </c>
      <c r="B3" s="62" t="s">
        <v>1269</v>
      </c>
      <c r="C3" t="str">
        <f t="shared" ref="C3:C6" si="0">_xlfn.CONCAT("Description of ",B3)</f>
        <v>Description of DEEP</v>
      </c>
      <c r="D3">
        <v>1</v>
      </c>
      <c r="E3" t="s">
        <v>50</v>
      </c>
      <c r="F3" s="60">
        <v>43101</v>
      </c>
    </row>
    <row r="4" spans="1:6">
      <c r="A4">
        <v>3</v>
      </c>
      <c r="B4" s="62" t="s">
        <v>1270</v>
      </c>
      <c r="C4" t="str">
        <f t="shared" si="0"/>
        <v>Description of TURN-KEY</v>
      </c>
      <c r="D4">
        <v>1</v>
      </c>
      <c r="E4" t="s">
        <v>50</v>
      </c>
      <c r="F4" s="60">
        <v>43101</v>
      </c>
    </row>
    <row r="5" spans="1:6">
      <c r="A5">
        <v>4</v>
      </c>
      <c r="B5" s="62" t="s">
        <v>1271</v>
      </c>
      <c r="C5" t="str">
        <f t="shared" si="0"/>
        <v>Description of CONFIGURATOR</v>
      </c>
      <c r="D5">
        <v>1</v>
      </c>
      <c r="E5" t="s">
        <v>50</v>
      </c>
      <c r="F5" s="60">
        <v>43101</v>
      </c>
    </row>
    <row r="6" spans="1:6">
      <c r="A6">
        <v>5</v>
      </c>
      <c r="B6" s="62" t="s">
        <v>1272</v>
      </c>
      <c r="C6" t="str">
        <f t="shared" si="0"/>
        <v>Description of CIO-FRIENDLY</v>
      </c>
      <c r="D6">
        <v>1</v>
      </c>
      <c r="E6" t="s">
        <v>50</v>
      </c>
      <c r="F6" s="60">
        <v>43101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3CC5B-139D-0D48-9051-C700ACC4F295}">
  <sheetPr codeName="Sheet17"/>
  <dimension ref="A1:E18"/>
  <sheetViews>
    <sheetView workbookViewId="0"/>
  </sheetViews>
  <sheetFormatPr baseColWidth="10" defaultRowHeight="16"/>
  <sheetData>
    <row r="1" spans="1:5">
      <c r="A1" t="s">
        <v>1273</v>
      </c>
      <c r="B1" t="s">
        <v>1274</v>
      </c>
      <c r="C1" t="s">
        <v>1275</v>
      </c>
      <c r="D1" t="s">
        <v>1276</v>
      </c>
      <c r="E1" t="s">
        <v>1277</v>
      </c>
    </row>
    <row r="2" spans="1:5">
      <c r="A2">
        <v>1</v>
      </c>
      <c r="B2">
        <v>1</v>
      </c>
      <c r="C2">
        <v>3</v>
      </c>
      <c r="D2">
        <v>17</v>
      </c>
      <c r="E2" s="60">
        <v>42887</v>
      </c>
    </row>
    <row r="3" spans="1:5">
      <c r="A3">
        <v>2</v>
      </c>
      <c r="B3">
        <v>2</v>
      </c>
      <c r="C3">
        <v>3</v>
      </c>
      <c r="D3">
        <v>17</v>
      </c>
      <c r="E3" s="60">
        <v>42887</v>
      </c>
    </row>
    <row r="4" spans="1:5">
      <c r="A4">
        <v>3</v>
      </c>
      <c r="B4">
        <v>3</v>
      </c>
      <c r="C4">
        <v>3</v>
      </c>
      <c r="D4">
        <v>17</v>
      </c>
      <c r="E4" s="60">
        <v>42887</v>
      </c>
    </row>
    <row r="5" spans="1:5">
      <c r="A5">
        <v>4</v>
      </c>
      <c r="B5">
        <v>1</v>
      </c>
      <c r="C5">
        <v>4</v>
      </c>
      <c r="D5">
        <v>17</v>
      </c>
      <c r="E5" s="60">
        <v>42979</v>
      </c>
    </row>
    <row r="6" spans="1:5">
      <c r="A6">
        <v>5</v>
      </c>
      <c r="B6">
        <v>2</v>
      </c>
      <c r="C6">
        <v>4</v>
      </c>
      <c r="D6">
        <v>17</v>
      </c>
      <c r="E6" s="60">
        <v>42979</v>
      </c>
    </row>
    <row r="7" spans="1:5">
      <c r="A7">
        <v>6</v>
      </c>
      <c r="B7">
        <v>3</v>
      </c>
      <c r="C7">
        <v>4</v>
      </c>
      <c r="D7">
        <v>17</v>
      </c>
      <c r="E7" s="60">
        <v>42979</v>
      </c>
    </row>
    <row r="8" spans="1:5">
      <c r="A8">
        <v>7</v>
      </c>
      <c r="B8">
        <v>4</v>
      </c>
      <c r="C8">
        <v>4</v>
      </c>
      <c r="D8">
        <v>17</v>
      </c>
      <c r="E8" s="60">
        <v>42979</v>
      </c>
    </row>
    <row r="9" spans="1:5">
      <c r="A9">
        <v>8</v>
      </c>
      <c r="B9">
        <v>5</v>
      </c>
      <c r="C9">
        <v>4</v>
      </c>
      <c r="D9">
        <v>17</v>
      </c>
      <c r="E9" s="60">
        <v>42979</v>
      </c>
    </row>
    <row r="10" spans="1:5">
      <c r="A10">
        <v>9</v>
      </c>
      <c r="B10">
        <v>6</v>
      </c>
      <c r="C10">
        <v>4</v>
      </c>
      <c r="D10">
        <v>17</v>
      </c>
      <c r="E10" s="60">
        <v>42979</v>
      </c>
    </row>
    <row r="11" spans="1:5">
      <c r="A11">
        <v>10</v>
      </c>
      <c r="B11">
        <v>7</v>
      </c>
      <c r="C11">
        <v>4</v>
      </c>
      <c r="D11">
        <v>17</v>
      </c>
      <c r="E11" s="60">
        <v>42979</v>
      </c>
    </row>
    <row r="12" spans="1:5">
      <c r="A12">
        <v>11</v>
      </c>
      <c r="B12">
        <v>1</v>
      </c>
      <c r="C12">
        <v>1</v>
      </c>
      <c r="D12">
        <v>18</v>
      </c>
      <c r="E12" s="60">
        <v>43070</v>
      </c>
    </row>
    <row r="13" spans="1:5">
      <c r="A13">
        <v>12</v>
      </c>
      <c r="B13">
        <v>2</v>
      </c>
      <c r="C13">
        <v>1</v>
      </c>
      <c r="D13">
        <v>18</v>
      </c>
      <c r="E13" s="60">
        <v>43070</v>
      </c>
    </row>
    <row r="14" spans="1:5">
      <c r="A14">
        <v>13</v>
      </c>
      <c r="B14">
        <v>3</v>
      </c>
      <c r="C14">
        <v>1</v>
      </c>
      <c r="D14">
        <v>18</v>
      </c>
      <c r="E14" s="60">
        <v>43070</v>
      </c>
    </row>
    <row r="15" spans="1:5">
      <c r="A15">
        <v>14</v>
      </c>
      <c r="B15">
        <v>4</v>
      </c>
      <c r="C15">
        <v>1</v>
      </c>
      <c r="D15">
        <v>18</v>
      </c>
      <c r="E15" s="60">
        <v>43070</v>
      </c>
    </row>
    <row r="16" spans="1:5">
      <c r="A16">
        <v>15</v>
      </c>
      <c r="B16">
        <v>5</v>
      </c>
      <c r="C16">
        <v>1</v>
      </c>
      <c r="D16">
        <v>18</v>
      </c>
      <c r="E16" s="60">
        <v>43070</v>
      </c>
    </row>
    <row r="17" spans="1:5">
      <c r="A17">
        <v>16</v>
      </c>
      <c r="B17">
        <v>6</v>
      </c>
      <c r="C17">
        <v>1</v>
      </c>
      <c r="D17">
        <v>18</v>
      </c>
      <c r="E17" s="60">
        <v>43070</v>
      </c>
    </row>
    <row r="18" spans="1:5">
      <c r="A18">
        <v>17</v>
      </c>
      <c r="B18">
        <v>7</v>
      </c>
      <c r="C18">
        <v>1</v>
      </c>
      <c r="D18">
        <v>18</v>
      </c>
      <c r="E18" s="60">
        <v>43070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DD119-D22C-FC47-8A47-1711DBD011B3}">
  <sheetPr codeName="Sheet18"/>
  <dimension ref="A1:N256"/>
  <sheetViews>
    <sheetView workbookViewId="0"/>
  </sheetViews>
  <sheetFormatPr baseColWidth="10" defaultColWidth="11.1640625" defaultRowHeight="16"/>
  <cols>
    <col min="1" max="6" width="11.6640625" customWidth="1"/>
    <col min="7" max="7" width="15" customWidth="1"/>
    <col min="8" max="8" width="11.6640625" customWidth="1"/>
    <col min="9" max="9" width="12.83203125" customWidth="1"/>
    <col min="10" max="14" width="11.6640625" customWidth="1"/>
  </cols>
  <sheetData>
    <row r="1" spans="1:14">
      <c r="A1" t="s">
        <v>1273</v>
      </c>
      <c r="B1" t="s">
        <v>1237</v>
      </c>
      <c r="C1" t="s">
        <v>535</v>
      </c>
      <c r="D1" t="s">
        <v>1278</v>
      </c>
      <c r="E1" t="s">
        <v>1279</v>
      </c>
      <c r="F1" t="s">
        <v>1280</v>
      </c>
      <c r="G1" t="s">
        <v>1281</v>
      </c>
      <c r="H1" t="s">
        <v>1282</v>
      </c>
      <c r="I1" t="s">
        <v>1283</v>
      </c>
      <c r="J1" t="s">
        <v>1284</v>
      </c>
      <c r="K1" t="s">
        <v>1285</v>
      </c>
      <c r="L1" t="s">
        <v>1286</v>
      </c>
      <c r="M1" t="s">
        <v>1287</v>
      </c>
      <c r="N1" t="s">
        <v>1288</v>
      </c>
    </row>
    <row r="2" spans="1:14">
      <c r="A2">
        <v>8</v>
      </c>
      <c r="B2">
        <v>1</v>
      </c>
      <c r="C2">
        <v>409</v>
      </c>
      <c r="D2">
        <f ca="1">ROUND(3+2*RAND(),0)</f>
        <v>5</v>
      </c>
      <c r="E2" t="str">
        <f>_xlfn.CONCAT(B2,"-",C2," arg1")</f>
        <v>1-409 arg1</v>
      </c>
      <c r="F2">
        <f ca="1">D2-ROUND(2*RAND(),0)</f>
        <v>3</v>
      </c>
      <c r="G2" t="str">
        <f>_xlfn.CONCAT(B2,"-",C2," feedback1")</f>
        <v>1-409 feedback1</v>
      </c>
      <c r="H2">
        <v>1</v>
      </c>
      <c r="I2">
        <f ca="1">MIN(5,F2+ROUND(RAND(),0))</f>
        <v>4</v>
      </c>
      <c r="J2" t="str">
        <f>_xlfn.CONCAT(B2,"-",C2," arg2")</f>
        <v>1-409 arg2</v>
      </c>
      <c r="K2" t="str">
        <f>_xlfn.CONCAT(B2,"-",C2," feedback2")</f>
        <v>1-409 feedback2</v>
      </c>
      <c r="L2">
        <v>1</v>
      </c>
      <c r="M2" t="s">
        <v>1299</v>
      </c>
      <c r="N2">
        <v>1</v>
      </c>
    </row>
    <row r="3" spans="1:14">
      <c r="A3">
        <v>8</v>
      </c>
      <c r="B3">
        <v>1</v>
      </c>
      <c r="C3">
        <v>410</v>
      </c>
      <c r="D3">
        <f t="shared" ref="D3:D66" ca="1" si="0">ROUND(3+2*RAND(),0)</f>
        <v>5</v>
      </c>
      <c r="E3" t="str">
        <f t="shared" ref="E3:E66" si="1">_xlfn.CONCAT(B3,"-",C3," arg1")</f>
        <v>1-410 arg1</v>
      </c>
      <c r="F3">
        <f t="shared" ref="F3:F66" ca="1" si="2">D3-ROUND(2*RAND(),0)</f>
        <v>3</v>
      </c>
      <c r="G3" t="str">
        <f t="shared" ref="G3:G66" si="3">_xlfn.CONCAT(B3,"-",C3," feedback1")</f>
        <v>1-410 feedback1</v>
      </c>
      <c r="H3">
        <v>1</v>
      </c>
      <c r="I3">
        <f t="shared" ref="I3:I66" ca="1" si="4">MIN(5,F3+ROUND(RAND(),0))</f>
        <v>4</v>
      </c>
      <c r="J3" t="str">
        <f t="shared" ref="J3:J66" si="5">_xlfn.CONCAT(B3,"-",C3," arg2")</f>
        <v>1-410 arg2</v>
      </c>
      <c r="K3" t="str">
        <f t="shared" ref="K3:K66" si="6">_xlfn.CONCAT(B3,"-",C3," feedback2")</f>
        <v>1-410 feedback2</v>
      </c>
      <c r="L3">
        <v>1</v>
      </c>
      <c r="M3" t="s">
        <v>1299</v>
      </c>
      <c r="N3">
        <v>2</v>
      </c>
    </row>
    <row r="4" spans="1:14">
      <c r="A4">
        <v>8</v>
      </c>
      <c r="B4">
        <v>1</v>
      </c>
      <c r="C4">
        <v>411</v>
      </c>
      <c r="D4">
        <f t="shared" ca="1" si="0"/>
        <v>4</v>
      </c>
      <c r="E4" t="str">
        <f t="shared" si="1"/>
        <v>1-411 arg1</v>
      </c>
      <c r="F4">
        <f t="shared" ca="1" si="2"/>
        <v>3</v>
      </c>
      <c r="G4" t="str">
        <f t="shared" si="3"/>
        <v>1-411 feedback1</v>
      </c>
      <c r="H4">
        <v>1</v>
      </c>
      <c r="I4">
        <f t="shared" ca="1" si="4"/>
        <v>4</v>
      </c>
      <c r="J4" t="str">
        <f t="shared" si="5"/>
        <v>1-411 arg2</v>
      </c>
      <c r="K4" t="str">
        <f t="shared" si="6"/>
        <v>1-411 feedback2</v>
      </c>
      <c r="L4">
        <v>1</v>
      </c>
      <c r="M4" t="s">
        <v>1299</v>
      </c>
      <c r="N4">
        <v>3</v>
      </c>
    </row>
    <row r="5" spans="1:14">
      <c r="A5">
        <v>8</v>
      </c>
      <c r="B5">
        <v>1</v>
      </c>
      <c r="C5">
        <v>412</v>
      </c>
      <c r="D5">
        <f t="shared" ca="1" si="0"/>
        <v>3</v>
      </c>
      <c r="E5" t="str">
        <f t="shared" si="1"/>
        <v>1-412 arg1</v>
      </c>
      <c r="F5">
        <f t="shared" ca="1" si="2"/>
        <v>2</v>
      </c>
      <c r="G5" t="str">
        <f t="shared" si="3"/>
        <v>1-412 feedback1</v>
      </c>
      <c r="H5">
        <v>1</v>
      </c>
      <c r="I5">
        <f t="shared" ca="1" si="4"/>
        <v>2</v>
      </c>
      <c r="J5" t="str">
        <f t="shared" si="5"/>
        <v>1-412 arg2</v>
      </c>
      <c r="K5" t="str">
        <f t="shared" si="6"/>
        <v>1-412 feedback2</v>
      </c>
      <c r="L5">
        <v>1</v>
      </c>
      <c r="M5" t="s">
        <v>1299</v>
      </c>
      <c r="N5">
        <v>4</v>
      </c>
    </row>
    <row r="6" spans="1:14">
      <c r="A6">
        <v>8</v>
      </c>
      <c r="B6">
        <v>1</v>
      </c>
      <c r="C6">
        <v>413</v>
      </c>
      <c r="D6">
        <f t="shared" ca="1" si="0"/>
        <v>4</v>
      </c>
      <c r="E6" t="str">
        <f t="shared" si="1"/>
        <v>1-413 arg1</v>
      </c>
      <c r="F6">
        <f t="shared" ca="1" si="2"/>
        <v>2</v>
      </c>
      <c r="G6" t="str">
        <f t="shared" si="3"/>
        <v>1-413 feedback1</v>
      </c>
      <c r="H6">
        <v>1</v>
      </c>
      <c r="I6">
        <f t="shared" ca="1" si="4"/>
        <v>3</v>
      </c>
      <c r="J6" t="str">
        <f t="shared" si="5"/>
        <v>1-413 arg2</v>
      </c>
      <c r="K6" t="str">
        <f t="shared" si="6"/>
        <v>1-413 feedback2</v>
      </c>
      <c r="L6">
        <v>1</v>
      </c>
      <c r="M6" t="s">
        <v>1299</v>
      </c>
      <c r="N6">
        <v>5</v>
      </c>
    </row>
    <row r="7" spans="1:14">
      <c r="A7">
        <v>8</v>
      </c>
      <c r="B7">
        <v>1</v>
      </c>
      <c r="C7">
        <v>414</v>
      </c>
      <c r="D7">
        <f t="shared" ca="1" si="0"/>
        <v>3</v>
      </c>
      <c r="E7" t="str">
        <f t="shared" si="1"/>
        <v>1-414 arg1</v>
      </c>
      <c r="F7">
        <f t="shared" ca="1" si="2"/>
        <v>3</v>
      </c>
      <c r="G7" t="str">
        <f t="shared" si="3"/>
        <v>1-414 feedback1</v>
      </c>
      <c r="H7">
        <v>1</v>
      </c>
      <c r="I7">
        <f t="shared" ca="1" si="4"/>
        <v>4</v>
      </c>
      <c r="J7" t="str">
        <f t="shared" si="5"/>
        <v>1-414 arg2</v>
      </c>
      <c r="K7" t="str">
        <f t="shared" si="6"/>
        <v>1-414 feedback2</v>
      </c>
      <c r="L7">
        <v>1</v>
      </c>
      <c r="M7" t="s">
        <v>1299</v>
      </c>
      <c r="N7">
        <v>6</v>
      </c>
    </row>
    <row r="8" spans="1:14">
      <c r="A8">
        <v>8</v>
      </c>
      <c r="B8">
        <v>1</v>
      </c>
      <c r="C8">
        <v>415</v>
      </c>
      <c r="D8">
        <f t="shared" ca="1" si="0"/>
        <v>4</v>
      </c>
      <c r="E8" t="str">
        <f t="shared" si="1"/>
        <v>1-415 arg1</v>
      </c>
      <c r="F8">
        <f t="shared" ca="1" si="2"/>
        <v>4</v>
      </c>
      <c r="G8" t="str">
        <f t="shared" si="3"/>
        <v>1-415 feedback1</v>
      </c>
      <c r="H8">
        <v>1</v>
      </c>
      <c r="I8">
        <f t="shared" ca="1" si="4"/>
        <v>4</v>
      </c>
      <c r="J8" t="str">
        <f t="shared" si="5"/>
        <v>1-415 arg2</v>
      </c>
      <c r="K8" t="str">
        <f t="shared" si="6"/>
        <v>1-415 feedback2</v>
      </c>
      <c r="L8">
        <v>1</v>
      </c>
      <c r="M8" t="s">
        <v>1299</v>
      </c>
      <c r="N8">
        <v>7</v>
      </c>
    </row>
    <row r="9" spans="1:14">
      <c r="A9">
        <v>8</v>
      </c>
      <c r="B9">
        <v>1</v>
      </c>
      <c r="C9">
        <v>416</v>
      </c>
      <c r="D9">
        <f t="shared" ca="1" si="0"/>
        <v>3</v>
      </c>
      <c r="E9" t="str">
        <f t="shared" si="1"/>
        <v>1-416 arg1</v>
      </c>
      <c r="F9">
        <f t="shared" ca="1" si="2"/>
        <v>2</v>
      </c>
      <c r="G9" t="str">
        <f t="shared" si="3"/>
        <v>1-416 feedback1</v>
      </c>
      <c r="H9">
        <v>1</v>
      </c>
      <c r="I9">
        <f t="shared" ca="1" si="4"/>
        <v>3</v>
      </c>
      <c r="J9" t="str">
        <f t="shared" si="5"/>
        <v>1-416 arg2</v>
      </c>
      <c r="K9" t="str">
        <f t="shared" si="6"/>
        <v>1-416 feedback2</v>
      </c>
      <c r="L9">
        <v>1</v>
      </c>
      <c r="M9" t="s">
        <v>1299</v>
      </c>
      <c r="N9">
        <v>8</v>
      </c>
    </row>
    <row r="10" spans="1:14">
      <c r="A10">
        <v>8</v>
      </c>
      <c r="B10">
        <v>1</v>
      </c>
      <c r="C10">
        <v>417</v>
      </c>
      <c r="D10">
        <f t="shared" ca="1" si="0"/>
        <v>5</v>
      </c>
      <c r="E10" t="str">
        <f t="shared" si="1"/>
        <v>1-417 arg1</v>
      </c>
      <c r="F10">
        <f t="shared" ca="1" si="2"/>
        <v>5</v>
      </c>
      <c r="G10" t="str">
        <f t="shared" si="3"/>
        <v>1-417 feedback1</v>
      </c>
      <c r="H10">
        <v>1</v>
      </c>
      <c r="I10">
        <f t="shared" ca="1" si="4"/>
        <v>5</v>
      </c>
      <c r="J10" t="str">
        <f t="shared" si="5"/>
        <v>1-417 arg2</v>
      </c>
      <c r="K10" t="str">
        <f t="shared" si="6"/>
        <v>1-417 feedback2</v>
      </c>
      <c r="L10">
        <v>1</v>
      </c>
      <c r="M10" t="s">
        <v>1299</v>
      </c>
      <c r="N10">
        <v>9</v>
      </c>
    </row>
    <row r="11" spans="1:14">
      <c r="A11">
        <v>8</v>
      </c>
      <c r="B11">
        <v>1</v>
      </c>
      <c r="C11">
        <v>418</v>
      </c>
      <c r="D11">
        <f t="shared" ca="1" si="0"/>
        <v>4</v>
      </c>
      <c r="E11" t="str">
        <f t="shared" si="1"/>
        <v>1-418 arg1</v>
      </c>
      <c r="F11">
        <f t="shared" ca="1" si="2"/>
        <v>3</v>
      </c>
      <c r="G11" t="str">
        <f t="shared" si="3"/>
        <v>1-418 feedback1</v>
      </c>
      <c r="H11">
        <v>1</v>
      </c>
      <c r="I11">
        <f t="shared" ca="1" si="4"/>
        <v>3</v>
      </c>
      <c r="J11" t="str">
        <f t="shared" si="5"/>
        <v>1-418 arg2</v>
      </c>
      <c r="K11" t="str">
        <f t="shared" si="6"/>
        <v>1-418 feedback2</v>
      </c>
      <c r="L11">
        <v>1</v>
      </c>
      <c r="M11" t="s">
        <v>1299</v>
      </c>
      <c r="N11">
        <v>10</v>
      </c>
    </row>
    <row r="12" spans="1:14">
      <c r="A12">
        <v>8</v>
      </c>
      <c r="B12">
        <v>1</v>
      </c>
      <c r="C12">
        <v>419</v>
      </c>
      <c r="D12">
        <f t="shared" ca="1" si="0"/>
        <v>4</v>
      </c>
      <c r="E12" t="str">
        <f t="shared" si="1"/>
        <v>1-419 arg1</v>
      </c>
      <c r="F12">
        <f t="shared" ca="1" si="2"/>
        <v>3</v>
      </c>
      <c r="G12" t="str">
        <f t="shared" si="3"/>
        <v>1-419 feedback1</v>
      </c>
      <c r="H12">
        <v>1</v>
      </c>
      <c r="I12">
        <f t="shared" ca="1" si="4"/>
        <v>4</v>
      </c>
      <c r="J12" t="str">
        <f t="shared" si="5"/>
        <v>1-419 arg2</v>
      </c>
      <c r="K12" t="str">
        <f t="shared" si="6"/>
        <v>1-419 feedback2</v>
      </c>
      <c r="L12">
        <v>1</v>
      </c>
      <c r="M12" t="s">
        <v>1299</v>
      </c>
      <c r="N12">
        <v>11</v>
      </c>
    </row>
    <row r="13" spans="1:14">
      <c r="A13">
        <v>8</v>
      </c>
      <c r="B13">
        <v>1</v>
      </c>
      <c r="C13">
        <v>420</v>
      </c>
      <c r="D13">
        <f t="shared" ca="1" si="0"/>
        <v>5</v>
      </c>
      <c r="E13" t="str">
        <f t="shared" si="1"/>
        <v>1-420 arg1</v>
      </c>
      <c r="F13">
        <f t="shared" ca="1" si="2"/>
        <v>4</v>
      </c>
      <c r="G13" t="str">
        <f t="shared" si="3"/>
        <v>1-420 feedback1</v>
      </c>
      <c r="H13">
        <v>1</v>
      </c>
      <c r="I13">
        <f t="shared" ca="1" si="4"/>
        <v>4</v>
      </c>
      <c r="J13" t="str">
        <f t="shared" si="5"/>
        <v>1-420 arg2</v>
      </c>
      <c r="K13" t="str">
        <f t="shared" si="6"/>
        <v>1-420 feedback2</v>
      </c>
      <c r="L13">
        <v>1</v>
      </c>
      <c r="M13" t="s">
        <v>1299</v>
      </c>
      <c r="N13">
        <v>12</v>
      </c>
    </row>
    <row r="14" spans="1:14">
      <c r="A14">
        <v>8</v>
      </c>
      <c r="B14">
        <v>1</v>
      </c>
      <c r="C14">
        <v>421</v>
      </c>
      <c r="D14">
        <f t="shared" ca="1" si="0"/>
        <v>5</v>
      </c>
      <c r="E14" t="str">
        <f t="shared" si="1"/>
        <v>1-421 arg1</v>
      </c>
      <c r="F14">
        <f t="shared" ca="1" si="2"/>
        <v>4</v>
      </c>
      <c r="G14" t="str">
        <f t="shared" si="3"/>
        <v>1-421 feedback1</v>
      </c>
      <c r="H14">
        <v>1</v>
      </c>
      <c r="I14">
        <f t="shared" ca="1" si="4"/>
        <v>4</v>
      </c>
      <c r="J14" t="str">
        <f t="shared" si="5"/>
        <v>1-421 arg2</v>
      </c>
      <c r="K14" t="str">
        <f t="shared" si="6"/>
        <v>1-421 feedback2</v>
      </c>
      <c r="L14">
        <v>1</v>
      </c>
      <c r="M14" t="s">
        <v>1299</v>
      </c>
      <c r="N14">
        <v>13</v>
      </c>
    </row>
    <row r="15" spans="1:14">
      <c r="A15">
        <v>8</v>
      </c>
      <c r="B15">
        <v>1</v>
      </c>
      <c r="C15">
        <v>422</v>
      </c>
      <c r="D15">
        <f t="shared" ca="1" si="0"/>
        <v>5</v>
      </c>
      <c r="E15" t="str">
        <f t="shared" si="1"/>
        <v>1-422 arg1</v>
      </c>
      <c r="F15">
        <f t="shared" ca="1" si="2"/>
        <v>4</v>
      </c>
      <c r="G15" t="str">
        <f t="shared" si="3"/>
        <v>1-422 feedback1</v>
      </c>
      <c r="H15">
        <v>1</v>
      </c>
      <c r="I15">
        <f t="shared" ca="1" si="4"/>
        <v>4</v>
      </c>
      <c r="J15" t="str">
        <f t="shared" si="5"/>
        <v>1-422 arg2</v>
      </c>
      <c r="K15" t="str">
        <f t="shared" si="6"/>
        <v>1-422 feedback2</v>
      </c>
      <c r="L15">
        <v>1</v>
      </c>
      <c r="M15" t="s">
        <v>1299</v>
      </c>
      <c r="N15">
        <v>14</v>
      </c>
    </row>
    <row r="16" spans="1:14">
      <c r="A16">
        <v>8</v>
      </c>
      <c r="B16">
        <v>1</v>
      </c>
      <c r="C16">
        <v>423</v>
      </c>
      <c r="D16">
        <f t="shared" ca="1" si="0"/>
        <v>4</v>
      </c>
      <c r="E16" t="str">
        <f t="shared" si="1"/>
        <v>1-423 arg1</v>
      </c>
      <c r="F16">
        <f t="shared" ca="1" si="2"/>
        <v>3</v>
      </c>
      <c r="G16" t="str">
        <f t="shared" si="3"/>
        <v>1-423 feedback1</v>
      </c>
      <c r="H16">
        <v>1</v>
      </c>
      <c r="I16">
        <f t="shared" ca="1" si="4"/>
        <v>3</v>
      </c>
      <c r="J16" t="str">
        <f t="shared" si="5"/>
        <v>1-423 arg2</v>
      </c>
      <c r="K16" t="str">
        <f t="shared" si="6"/>
        <v>1-423 feedback2</v>
      </c>
      <c r="L16">
        <v>1</v>
      </c>
      <c r="M16" t="s">
        <v>1299</v>
      </c>
      <c r="N16">
        <v>15</v>
      </c>
    </row>
    <row r="17" spans="1:14">
      <c r="A17">
        <v>8</v>
      </c>
      <c r="B17">
        <v>1</v>
      </c>
      <c r="C17">
        <v>424</v>
      </c>
      <c r="D17">
        <f t="shared" ca="1" si="0"/>
        <v>5</v>
      </c>
      <c r="E17" t="str">
        <f t="shared" si="1"/>
        <v>1-424 arg1</v>
      </c>
      <c r="F17">
        <f t="shared" ca="1" si="2"/>
        <v>4</v>
      </c>
      <c r="G17" t="str">
        <f t="shared" si="3"/>
        <v>1-424 feedback1</v>
      </c>
      <c r="H17">
        <v>1</v>
      </c>
      <c r="I17">
        <f t="shared" ca="1" si="4"/>
        <v>4</v>
      </c>
      <c r="J17" t="str">
        <f t="shared" si="5"/>
        <v>1-424 arg2</v>
      </c>
      <c r="K17" t="str">
        <f t="shared" si="6"/>
        <v>1-424 feedback2</v>
      </c>
      <c r="L17">
        <v>1</v>
      </c>
      <c r="M17" t="s">
        <v>1299</v>
      </c>
      <c r="N17">
        <v>16</v>
      </c>
    </row>
    <row r="18" spans="1:14">
      <c r="A18">
        <v>8</v>
      </c>
      <c r="B18">
        <v>1</v>
      </c>
      <c r="C18">
        <v>425</v>
      </c>
      <c r="D18">
        <f t="shared" ca="1" si="0"/>
        <v>3</v>
      </c>
      <c r="E18" t="str">
        <f t="shared" si="1"/>
        <v>1-425 arg1</v>
      </c>
      <c r="F18">
        <f t="shared" ca="1" si="2"/>
        <v>2</v>
      </c>
      <c r="G18" t="str">
        <f t="shared" si="3"/>
        <v>1-425 feedback1</v>
      </c>
      <c r="H18">
        <v>1</v>
      </c>
      <c r="I18">
        <f t="shared" ca="1" si="4"/>
        <v>2</v>
      </c>
      <c r="J18" t="str">
        <f t="shared" si="5"/>
        <v>1-425 arg2</v>
      </c>
      <c r="K18" t="str">
        <f t="shared" si="6"/>
        <v>1-425 feedback2</v>
      </c>
      <c r="L18">
        <v>1</v>
      </c>
      <c r="M18" t="s">
        <v>1299</v>
      </c>
      <c r="N18">
        <v>17</v>
      </c>
    </row>
    <row r="19" spans="1:14">
      <c r="A19">
        <v>8</v>
      </c>
      <c r="B19">
        <v>1</v>
      </c>
      <c r="C19">
        <v>426</v>
      </c>
      <c r="D19">
        <f t="shared" ca="1" si="0"/>
        <v>3</v>
      </c>
      <c r="E19" t="str">
        <f t="shared" si="1"/>
        <v>1-426 arg1</v>
      </c>
      <c r="F19">
        <f t="shared" ca="1" si="2"/>
        <v>1</v>
      </c>
      <c r="G19" t="str">
        <f t="shared" si="3"/>
        <v>1-426 feedback1</v>
      </c>
      <c r="H19">
        <v>1</v>
      </c>
      <c r="I19">
        <f t="shared" ca="1" si="4"/>
        <v>2</v>
      </c>
      <c r="J19" t="str">
        <f t="shared" si="5"/>
        <v>1-426 arg2</v>
      </c>
      <c r="K19" t="str">
        <f t="shared" si="6"/>
        <v>1-426 feedback2</v>
      </c>
      <c r="L19">
        <v>1</v>
      </c>
      <c r="M19" t="s">
        <v>1299</v>
      </c>
      <c r="N19">
        <v>18</v>
      </c>
    </row>
    <row r="20" spans="1:14">
      <c r="A20">
        <v>8</v>
      </c>
      <c r="B20">
        <v>1</v>
      </c>
      <c r="C20">
        <v>427</v>
      </c>
      <c r="D20">
        <f t="shared" ca="1" si="0"/>
        <v>5</v>
      </c>
      <c r="E20" t="str">
        <f t="shared" si="1"/>
        <v>1-427 arg1</v>
      </c>
      <c r="F20">
        <f t="shared" ca="1" si="2"/>
        <v>4</v>
      </c>
      <c r="G20" t="str">
        <f t="shared" si="3"/>
        <v>1-427 feedback1</v>
      </c>
      <c r="H20">
        <v>1</v>
      </c>
      <c r="I20">
        <f t="shared" ca="1" si="4"/>
        <v>5</v>
      </c>
      <c r="J20" t="str">
        <f t="shared" si="5"/>
        <v>1-427 arg2</v>
      </c>
      <c r="K20" t="str">
        <f t="shared" si="6"/>
        <v>1-427 feedback2</v>
      </c>
      <c r="L20">
        <v>1</v>
      </c>
      <c r="M20" t="s">
        <v>1299</v>
      </c>
      <c r="N20">
        <v>19</v>
      </c>
    </row>
    <row r="21" spans="1:14">
      <c r="A21">
        <v>8</v>
      </c>
      <c r="B21">
        <v>1</v>
      </c>
      <c r="C21">
        <v>428</v>
      </c>
      <c r="D21">
        <f t="shared" ca="1" si="0"/>
        <v>4</v>
      </c>
      <c r="E21" t="str">
        <f t="shared" si="1"/>
        <v>1-428 arg1</v>
      </c>
      <c r="F21">
        <f t="shared" ca="1" si="2"/>
        <v>3</v>
      </c>
      <c r="G21" t="str">
        <f t="shared" si="3"/>
        <v>1-428 feedback1</v>
      </c>
      <c r="H21">
        <v>1</v>
      </c>
      <c r="I21">
        <f t="shared" ca="1" si="4"/>
        <v>3</v>
      </c>
      <c r="J21" t="str">
        <f t="shared" si="5"/>
        <v>1-428 arg2</v>
      </c>
      <c r="K21" t="str">
        <f t="shared" si="6"/>
        <v>1-428 feedback2</v>
      </c>
      <c r="L21">
        <v>1</v>
      </c>
      <c r="M21" t="s">
        <v>1299</v>
      </c>
      <c r="N21">
        <v>20</v>
      </c>
    </row>
    <row r="22" spans="1:14">
      <c r="A22">
        <v>8</v>
      </c>
      <c r="B22">
        <v>1</v>
      </c>
      <c r="C22">
        <v>429</v>
      </c>
      <c r="D22">
        <f t="shared" ca="1" si="0"/>
        <v>4</v>
      </c>
      <c r="E22" t="str">
        <f t="shared" si="1"/>
        <v>1-429 arg1</v>
      </c>
      <c r="F22">
        <f t="shared" ca="1" si="2"/>
        <v>3</v>
      </c>
      <c r="G22" t="str">
        <f t="shared" si="3"/>
        <v>1-429 feedback1</v>
      </c>
      <c r="H22">
        <v>1</v>
      </c>
      <c r="I22">
        <f t="shared" ca="1" si="4"/>
        <v>3</v>
      </c>
      <c r="J22" t="str">
        <f t="shared" si="5"/>
        <v>1-429 arg2</v>
      </c>
      <c r="K22" t="str">
        <f t="shared" si="6"/>
        <v>1-429 feedback2</v>
      </c>
      <c r="L22">
        <v>1</v>
      </c>
      <c r="M22" t="s">
        <v>1299</v>
      </c>
      <c r="N22">
        <v>21</v>
      </c>
    </row>
    <row r="23" spans="1:14">
      <c r="A23">
        <v>8</v>
      </c>
      <c r="B23">
        <v>1</v>
      </c>
      <c r="C23">
        <v>430</v>
      </c>
      <c r="D23">
        <f t="shared" ca="1" si="0"/>
        <v>4</v>
      </c>
      <c r="E23" t="str">
        <f t="shared" si="1"/>
        <v>1-430 arg1</v>
      </c>
      <c r="F23">
        <f t="shared" ca="1" si="2"/>
        <v>2</v>
      </c>
      <c r="G23" t="str">
        <f t="shared" si="3"/>
        <v>1-430 feedback1</v>
      </c>
      <c r="H23">
        <v>1</v>
      </c>
      <c r="I23">
        <f t="shared" ca="1" si="4"/>
        <v>3</v>
      </c>
      <c r="J23" t="str">
        <f t="shared" si="5"/>
        <v>1-430 arg2</v>
      </c>
      <c r="K23" t="str">
        <f t="shared" si="6"/>
        <v>1-430 feedback2</v>
      </c>
      <c r="L23">
        <v>1</v>
      </c>
      <c r="M23" t="s">
        <v>1299</v>
      </c>
      <c r="N23">
        <v>22</v>
      </c>
    </row>
    <row r="24" spans="1:14">
      <c r="A24">
        <v>8</v>
      </c>
      <c r="B24">
        <v>1</v>
      </c>
      <c r="C24">
        <v>431</v>
      </c>
      <c r="D24">
        <f t="shared" ca="1" si="0"/>
        <v>4</v>
      </c>
      <c r="E24" t="str">
        <f t="shared" si="1"/>
        <v>1-431 arg1</v>
      </c>
      <c r="F24">
        <f t="shared" ca="1" si="2"/>
        <v>3</v>
      </c>
      <c r="G24" t="str">
        <f t="shared" si="3"/>
        <v>1-431 feedback1</v>
      </c>
      <c r="H24">
        <v>1</v>
      </c>
      <c r="I24">
        <f t="shared" ca="1" si="4"/>
        <v>3</v>
      </c>
      <c r="J24" t="str">
        <f t="shared" si="5"/>
        <v>1-431 arg2</v>
      </c>
      <c r="K24" t="str">
        <f t="shared" si="6"/>
        <v>1-431 feedback2</v>
      </c>
      <c r="L24">
        <v>1</v>
      </c>
      <c r="M24" t="s">
        <v>1299</v>
      </c>
      <c r="N24">
        <v>23</v>
      </c>
    </row>
    <row r="25" spans="1:14">
      <c r="A25">
        <v>8</v>
      </c>
      <c r="B25">
        <v>1</v>
      </c>
      <c r="C25">
        <v>432</v>
      </c>
      <c r="D25">
        <f t="shared" ca="1" si="0"/>
        <v>4</v>
      </c>
      <c r="E25" t="str">
        <f t="shared" si="1"/>
        <v>1-432 arg1</v>
      </c>
      <c r="F25">
        <f t="shared" ca="1" si="2"/>
        <v>3</v>
      </c>
      <c r="G25" t="str">
        <f t="shared" si="3"/>
        <v>1-432 feedback1</v>
      </c>
      <c r="H25">
        <v>1</v>
      </c>
      <c r="I25">
        <f t="shared" ca="1" si="4"/>
        <v>3</v>
      </c>
      <c r="J25" t="str">
        <f t="shared" si="5"/>
        <v>1-432 arg2</v>
      </c>
      <c r="K25" t="str">
        <f t="shared" si="6"/>
        <v>1-432 feedback2</v>
      </c>
      <c r="L25">
        <v>1</v>
      </c>
      <c r="M25" t="s">
        <v>1299</v>
      </c>
      <c r="N25">
        <v>24</v>
      </c>
    </row>
    <row r="26" spans="1:14">
      <c r="A26">
        <v>8</v>
      </c>
      <c r="B26">
        <v>1</v>
      </c>
      <c r="C26">
        <v>433</v>
      </c>
      <c r="D26">
        <f t="shared" ca="1" si="0"/>
        <v>3</v>
      </c>
      <c r="E26" t="str">
        <f t="shared" si="1"/>
        <v>1-433 arg1</v>
      </c>
      <c r="F26">
        <f t="shared" ca="1" si="2"/>
        <v>2</v>
      </c>
      <c r="G26" t="str">
        <f t="shared" si="3"/>
        <v>1-433 feedback1</v>
      </c>
      <c r="H26">
        <v>1</v>
      </c>
      <c r="I26">
        <f t="shared" ca="1" si="4"/>
        <v>3</v>
      </c>
      <c r="J26" t="str">
        <f t="shared" si="5"/>
        <v>1-433 arg2</v>
      </c>
      <c r="K26" t="str">
        <f t="shared" si="6"/>
        <v>1-433 feedback2</v>
      </c>
      <c r="L26">
        <v>1</v>
      </c>
      <c r="M26" t="s">
        <v>1299</v>
      </c>
      <c r="N26">
        <v>25</v>
      </c>
    </row>
    <row r="27" spans="1:14">
      <c r="A27">
        <v>8</v>
      </c>
      <c r="B27">
        <v>1</v>
      </c>
      <c r="C27">
        <v>434</v>
      </c>
      <c r="D27">
        <f t="shared" ca="1" si="0"/>
        <v>4</v>
      </c>
      <c r="E27" t="str">
        <f t="shared" si="1"/>
        <v>1-434 arg1</v>
      </c>
      <c r="F27">
        <f t="shared" ca="1" si="2"/>
        <v>3</v>
      </c>
      <c r="G27" t="str">
        <f t="shared" si="3"/>
        <v>1-434 feedback1</v>
      </c>
      <c r="H27">
        <v>1</v>
      </c>
      <c r="I27">
        <f t="shared" ca="1" si="4"/>
        <v>3</v>
      </c>
      <c r="J27" t="str">
        <f t="shared" si="5"/>
        <v>1-434 arg2</v>
      </c>
      <c r="K27" t="str">
        <f t="shared" si="6"/>
        <v>1-434 feedback2</v>
      </c>
      <c r="L27">
        <v>1</v>
      </c>
      <c r="M27" t="s">
        <v>1299</v>
      </c>
      <c r="N27">
        <v>26</v>
      </c>
    </row>
    <row r="28" spans="1:14">
      <c r="A28">
        <v>8</v>
      </c>
      <c r="B28">
        <v>1</v>
      </c>
      <c r="C28">
        <v>435</v>
      </c>
      <c r="D28">
        <f t="shared" ca="1" si="0"/>
        <v>3</v>
      </c>
      <c r="E28" t="str">
        <f t="shared" si="1"/>
        <v>1-435 arg1</v>
      </c>
      <c r="F28">
        <f t="shared" ca="1" si="2"/>
        <v>2</v>
      </c>
      <c r="G28" t="str">
        <f t="shared" si="3"/>
        <v>1-435 feedback1</v>
      </c>
      <c r="H28">
        <v>1</v>
      </c>
      <c r="I28">
        <f t="shared" ca="1" si="4"/>
        <v>3</v>
      </c>
      <c r="J28" t="str">
        <f t="shared" si="5"/>
        <v>1-435 arg2</v>
      </c>
      <c r="K28" t="str">
        <f t="shared" si="6"/>
        <v>1-435 feedback2</v>
      </c>
      <c r="L28">
        <v>1</v>
      </c>
      <c r="M28" t="s">
        <v>1299</v>
      </c>
      <c r="N28">
        <v>27</v>
      </c>
    </row>
    <row r="29" spans="1:14">
      <c r="A29">
        <v>8</v>
      </c>
      <c r="B29">
        <v>1</v>
      </c>
      <c r="C29">
        <v>436</v>
      </c>
      <c r="D29">
        <f t="shared" ca="1" si="0"/>
        <v>4</v>
      </c>
      <c r="E29" t="str">
        <f t="shared" si="1"/>
        <v>1-436 arg1</v>
      </c>
      <c r="F29">
        <f t="shared" ca="1" si="2"/>
        <v>3</v>
      </c>
      <c r="G29" t="str">
        <f t="shared" si="3"/>
        <v>1-436 feedback1</v>
      </c>
      <c r="H29">
        <v>1</v>
      </c>
      <c r="I29">
        <f t="shared" ca="1" si="4"/>
        <v>3</v>
      </c>
      <c r="J29" t="str">
        <f t="shared" si="5"/>
        <v>1-436 arg2</v>
      </c>
      <c r="K29" t="str">
        <f t="shared" si="6"/>
        <v>1-436 feedback2</v>
      </c>
      <c r="L29">
        <v>1</v>
      </c>
      <c r="M29" t="s">
        <v>1299</v>
      </c>
      <c r="N29">
        <v>28</v>
      </c>
    </row>
    <row r="30" spans="1:14">
      <c r="A30">
        <v>8</v>
      </c>
      <c r="B30">
        <v>1</v>
      </c>
      <c r="C30">
        <v>437</v>
      </c>
      <c r="D30">
        <f t="shared" ca="1" si="0"/>
        <v>5</v>
      </c>
      <c r="E30" t="str">
        <f t="shared" si="1"/>
        <v>1-437 arg1</v>
      </c>
      <c r="F30">
        <f t="shared" ca="1" si="2"/>
        <v>4</v>
      </c>
      <c r="G30" t="str">
        <f t="shared" si="3"/>
        <v>1-437 feedback1</v>
      </c>
      <c r="H30">
        <v>1</v>
      </c>
      <c r="I30">
        <f t="shared" ca="1" si="4"/>
        <v>5</v>
      </c>
      <c r="J30" t="str">
        <f t="shared" si="5"/>
        <v>1-437 arg2</v>
      </c>
      <c r="K30" t="str">
        <f t="shared" si="6"/>
        <v>1-437 feedback2</v>
      </c>
      <c r="L30">
        <v>1</v>
      </c>
      <c r="M30" t="s">
        <v>1299</v>
      </c>
      <c r="N30">
        <v>29</v>
      </c>
    </row>
    <row r="31" spans="1:14">
      <c r="A31">
        <v>8</v>
      </c>
      <c r="B31">
        <v>1</v>
      </c>
      <c r="C31">
        <v>438</v>
      </c>
      <c r="D31">
        <f t="shared" ca="1" si="0"/>
        <v>4</v>
      </c>
      <c r="E31" t="str">
        <f t="shared" si="1"/>
        <v>1-438 arg1</v>
      </c>
      <c r="F31">
        <f t="shared" ca="1" si="2"/>
        <v>2</v>
      </c>
      <c r="G31" t="str">
        <f t="shared" si="3"/>
        <v>1-438 feedback1</v>
      </c>
      <c r="H31">
        <v>1</v>
      </c>
      <c r="I31">
        <f t="shared" ca="1" si="4"/>
        <v>2</v>
      </c>
      <c r="J31" t="str">
        <f t="shared" si="5"/>
        <v>1-438 arg2</v>
      </c>
      <c r="K31" t="str">
        <f t="shared" si="6"/>
        <v>1-438 feedback2</v>
      </c>
      <c r="L31">
        <v>1</v>
      </c>
      <c r="M31" t="s">
        <v>1299</v>
      </c>
      <c r="N31">
        <v>30</v>
      </c>
    </row>
    <row r="32" spans="1:14">
      <c r="A32">
        <v>8</v>
      </c>
      <c r="B32">
        <v>1</v>
      </c>
      <c r="C32">
        <v>439</v>
      </c>
      <c r="D32">
        <f t="shared" ca="1" si="0"/>
        <v>4</v>
      </c>
      <c r="E32" t="str">
        <f t="shared" si="1"/>
        <v>1-439 arg1</v>
      </c>
      <c r="F32">
        <f t="shared" ca="1" si="2"/>
        <v>3</v>
      </c>
      <c r="G32" t="str">
        <f t="shared" si="3"/>
        <v>1-439 feedback1</v>
      </c>
      <c r="H32">
        <v>1</v>
      </c>
      <c r="I32">
        <f t="shared" ca="1" si="4"/>
        <v>3</v>
      </c>
      <c r="J32" t="str">
        <f t="shared" si="5"/>
        <v>1-439 arg2</v>
      </c>
      <c r="K32" t="str">
        <f t="shared" si="6"/>
        <v>1-439 feedback2</v>
      </c>
      <c r="L32">
        <v>1</v>
      </c>
      <c r="M32" t="s">
        <v>1299</v>
      </c>
      <c r="N32">
        <v>31</v>
      </c>
    </row>
    <row r="33" spans="1:14">
      <c r="A33">
        <v>8</v>
      </c>
      <c r="B33">
        <v>1</v>
      </c>
      <c r="C33">
        <v>440</v>
      </c>
      <c r="D33">
        <f t="shared" ca="1" si="0"/>
        <v>4</v>
      </c>
      <c r="E33" t="str">
        <f t="shared" si="1"/>
        <v>1-440 arg1</v>
      </c>
      <c r="F33">
        <f t="shared" ca="1" si="2"/>
        <v>3</v>
      </c>
      <c r="G33" t="str">
        <f t="shared" si="3"/>
        <v>1-440 feedback1</v>
      </c>
      <c r="H33">
        <v>1</v>
      </c>
      <c r="I33">
        <f t="shared" ca="1" si="4"/>
        <v>4</v>
      </c>
      <c r="J33" t="str">
        <f t="shared" si="5"/>
        <v>1-440 arg2</v>
      </c>
      <c r="K33" t="str">
        <f t="shared" si="6"/>
        <v>1-440 feedback2</v>
      </c>
      <c r="L33">
        <v>1</v>
      </c>
      <c r="M33" t="s">
        <v>1299</v>
      </c>
      <c r="N33">
        <v>32</v>
      </c>
    </row>
    <row r="34" spans="1:14">
      <c r="A34">
        <v>8</v>
      </c>
      <c r="B34">
        <v>1</v>
      </c>
      <c r="C34">
        <v>441</v>
      </c>
      <c r="D34">
        <f t="shared" ca="1" si="0"/>
        <v>4</v>
      </c>
      <c r="E34" t="str">
        <f t="shared" si="1"/>
        <v>1-441 arg1</v>
      </c>
      <c r="F34">
        <f t="shared" ca="1" si="2"/>
        <v>4</v>
      </c>
      <c r="G34" t="str">
        <f t="shared" si="3"/>
        <v>1-441 feedback1</v>
      </c>
      <c r="H34">
        <v>1</v>
      </c>
      <c r="I34">
        <f t="shared" ca="1" si="4"/>
        <v>5</v>
      </c>
      <c r="J34" t="str">
        <f t="shared" si="5"/>
        <v>1-441 arg2</v>
      </c>
      <c r="K34" t="str">
        <f t="shared" si="6"/>
        <v>1-441 feedback2</v>
      </c>
      <c r="L34">
        <v>1</v>
      </c>
      <c r="M34" t="s">
        <v>1299</v>
      </c>
      <c r="N34">
        <v>33</v>
      </c>
    </row>
    <row r="35" spans="1:14">
      <c r="A35">
        <v>8</v>
      </c>
      <c r="B35">
        <v>1</v>
      </c>
      <c r="C35">
        <v>442</v>
      </c>
      <c r="D35">
        <f t="shared" ca="1" si="0"/>
        <v>4</v>
      </c>
      <c r="E35" t="str">
        <f t="shared" si="1"/>
        <v>1-442 arg1</v>
      </c>
      <c r="F35">
        <f t="shared" ca="1" si="2"/>
        <v>4</v>
      </c>
      <c r="G35" t="str">
        <f t="shared" si="3"/>
        <v>1-442 feedback1</v>
      </c>
      <c r="H35">
        <v>1</v>
      </c>
      <c r="I35">
        <f t="shared" ca="1" si="4"/>
        <v>5</v>
      </c>
      <c r="J35" t="str">
        <f t="shared" si="5"/>
        <v>1-442 arg2</v>
      </c>
      <c r="K35" t="str">
        <f t="shared" si="6"/>
        <v>1-442 feedback2</v>
      </c>
      <c r="L35">
        <v>1</v>
      </c>
      <c r="M35" t="s">
        <v>1299</v>
      </c>
      <c r="N35">
        <v>34</v>
      </c>
    </row>
    <row r="36" spans="1:14">
      <c r="A36">
        <v>8</v>
      </c>
      <c r="B36">
        <v>1</v>
      </c>
      <c r="C36">
        <v>443</v>
      </c>
      <c r="D36">
        <f t="shared" ca="1" si="0"/>
        <v>4</v>
      </c>
      <c r="E36" t="str">
        <f t="shared" si="1"/>
        <v>1-443 arg1</v>
      </c>
      <c r="F36">
        <f t="shared" ca="1" si="2"/>
        <v>4</v>
      </c>
      <c r="G36" t="str">
        <f t="shared" si="3"/>
        <v>1-443 feedback1</v>
      </c>
      <c r="H36">
        <v>1</v>
      </c>
      <c r="I36">
        <f t="shared" ca="1" si="4"/>
        <v>5</v>
      </c>
      <c r="J36" t="str">
        <f t="shared" si="5"/>
        <v>1-443 arg2</v>
      </c>
      <c r="K36" t="str">
        <f t="shared" si="6"/>
        <v>1-443 feedback2</v>
      </c>
      <c r="L36">
        <v>1</v>
      </c>
      <c r="M36" t="s">
        <v>1299</v>
      </c>
      <c r="N36">
        <v>35</v>
      </c>
    </row>
    <row r="37" spans="1:14">
      <c r="A37">
        <v>8</v>
      </c>
      <c r="B37">
        <v>1</v>
      </c>
      <c r="C37">
        <v>444</v>
      </c>
      <c r="D37">
        <f t="shared" ca="1" si="0"/>
        <v>5</v>
      </c>
      <c r="E37" t="str">
        <f t="shared" si="1"/>
        <v>1-444 arg1</v>
      </c>
      <c r="F37">
        <f t="shared" ca="1" si="2"/>
        <v>5</v>
      </c>
      <c r="G37" t="str">
        <f t="shared" si="3"/>
        <v>1-444 feedback1</v>
      </c>
      <c r="H37">
        <v>1</v>
      </c>
      <c r="I37">
        <f t="shared" ca="1" si="4"/>
        <v>5</v>
      </c>
      <c r="J37" t="str">
        <f t="shared" si="5"/>
        <v>1-444 arg2</v>
      </c>
      <c r="K37" t="str">
        <f t="shared" si="6"/>
        <v>1-444 feedback2</v>
      </c>
      <c r="L37">
        <v>1</v>
      </c>
      <c r="M37" t="s">
        <v>1299</v>
      </c>
      <c r="N37">
        <v>36</v>
      </c>
    </row>
    <row r="38" spans="1:14">
      <c r="A38">
        <v>8</v>
      </c>
      <c r="B38">
        <v>1</v>
      </c>
      <c r="C38">
        <v>445</v>
      </c>
      <c r="D38">
        <f ca="1">ROUND(3+2*RAND(),0)</f>
        <v>4</v>
      </c>
      <c r="E38" t="str">
        <f t="shared" si="1"/>
        <v>1-445 arg1</v>
      </c>
      <c r="F38">
        <f t="shared" ca="1" si="2"/>
        <v>2</v>
      </c>
      <c r="G38" t="str">
        <f t="shared" si="3"/>
        <v>1-445 feedback1</v>
      </c>
      <c r="H38">
        <v>1</v>
      </c>
      <c r="I38">
        <f t="shared" ca="1" si="4"/>
        <v>2</v>
      </c>
      <c r="J38" t="str">
        <f t="shared" si="5"/>
        <v>1-445 arg2</v>
      </c>
      <c r="K38" t="str">
        <f t="shared" si="6"/>
        <v>1-445 feedback2</v>
      </c>
      <c r="L38">
        <v>1</v>
      </c>
      <c r="M38" t="s">
        <v>1299</v>
      </c>
      <c r="N38">
        <v>37</v>
      </c>
    </row>
    <row r="39" spans="1:14">
      <c r="A39">
        <v>8</v>
      </c>
      <c r="B39">
        <v>1</v>
      </c>
      <c r="C39">
        <v>446</v>
      </c>
      <c r="D39">
        <f t="shared" ca="1" si="0"/>
        <v>3</v>
      </c>
      <c r="E39" t="str">
        <f t="shared" si="1"/>
        <v>1-446 arg1</v>
      </c>
      <c r="F39">
        <f t="shared" ca="1" si="2"/>
        <v>2</v>
      </c>
      <c r="G39" t="str">
        <f t="shared" si="3"/>
        <v>1-446 feedback1</v>
      </c>
      <c r="H39">
        <v>1</v>
      </c>
      <c r="I39">
        <f t="shared" ca="1" si="4"/>
        <v>2</v>
      </c>
      <c r="J39" t="str">
        <f t="shared" si="5"/>
        <v>1-446 arg2</v>
      </c>
      <c r="K39" t="str">
        <f t="shared" si="6"/>
        <v>1-446 feedback2</v>
      </c>
      <c r="L39">
        <v>1</v>
      </c>
      <c r="M39" t="s">
        <v>1299</v>
      </c>
      <c r="N39">
        <v>38</v>
      </c>
    </row>
    <row r="40" spans="1:14">
      <c r="A40">
        <v>8</v>
      </c>
      <c r="B40">
        <v>1</v>
      </c>
      <c r="C40">
        <v>447</v>
      </c>
      <c r="D40">
        <f t="shared" ca="1" si="0"/>
        <v>5</v>
      </c>
      <c r="E40" t="str">
        <f t="shared" si="1"/>
        <v>1-447 arg1</v>
      </c>
      <c r="F40">
        <f t="shared" ca="1" si="2"/>
        <v>4</v>
      </c>
      <c r="G40" t="str">
        <f t="shared" si="3"/>
        <v>1-447 feedback1</v>
      </c>
      <c r="H40">
        <v>1</v>
      </c>
      <c r="I40">
        <f t="shared" ca="1" si="4"/>
        <v>5</v>
      </c>
      <c r="J40" t="str">
        <f t="shared" si="5"/>
        <v>1-447 arg2</v>
      </c>
      <c r="K40" t="str">
        <f t="shared" si="6"/>
        <v>1-447 feedback2</v>
      </c>
      <c r="L40">
        <v>1</v>
      </c>
      <c r="M40" t="s">
        <v>1299</v>
      </c>
      <c r="N40">
        <v>39</v>
      </c>
    </row>
    <row r="41" spans="1:14">
      <c r="A41">
        <v>8</v>
      </c>
      <c r="B41">
        <v>1</v>
      </c>
      <c r="C41">
        <v>448</v>
      </c>
      <c r="D41">
        <f t="shared" ca="1" si="0"/>
        <v>3</v>
      </c>
      <c r="E41" t="str">
        <f t="shared" si="1"/>
        <v>1-448 arg1</v>
      </c>
      <c r="F41">
        <f t="shared" ca="1" si="2"/>
        <v>2</v>
      </c>
      <c r="G41" t="str">
        <f t="shared" si="3"/>
        <v>1-448 feedback1</v>
      </c>
      <c r="H41">
        <v>1</v>
      </c>
      <c r="I41">
        <f t="shared" ca="1" si="4"/>
        <v>2</v>
      </c>
      <c r="J41" t="str">
        <f t="shared" si="5"/>
        <v>1-448 arg2</v>
      </c>
      <c r="K41" t="str">
        <f t="shared" si="6"/>
        <v>1-448 feedback2</v>
      </c>
      <c r="L41">
        <v>1</v>
      </c>
      <c r="M41" t="s">
        <v>1299</v>
      </c>
      <c r="N41">
        <v>40</v>
      </c>
    </row>
    <row r="42" spans="1:14">
      <c r="A42">
        <v>8</v>
      </c>
      <c r="B42">
        <v>1</v>
      </c>
      <c r="C42">
        <v>449</v>
      </c>
      <c r="D42">
        <f t="shared" ca="1" si="0"/>
        <v>4</v>
      </c>
      <c r="E42" t="str">
        <f t="shared" si="1"/>
        <v>1-449 arg1</v>
      </c>
      <c r="F42">
        <f t="shared" ca="1" si="2"/>
        <v>3</v>
      </c>
      <c r="G42" t="str">
        <f t="shared" si="3"/>
        <v>1-449 feedback1</v>
      </c>
      <c r="H42">
        <v>1</v>
      </c>
      <c r="I42">
        <f t="shared" ca="1" si="4"/>
        <v>3</v>
      </c>
      <c r="J42" t="str">
        <f t="shared" si="5"/>
        <v>1-449 arg2</v>
      </c>
      <c r="K42" t="str">
        <f t="shared" si="6"/>
        <v>1-449 feedback2</v>
      </c>
      <c r="L42">
        <v>1</v>
      </c>
      <c r="M42" t="s">
        <v>1299</v>
      </c>
      <c r="N42">
        <v>41</v>
      </c>
    </row>
    <row r="43" spans="1:14">
      <c r="A43">
        <v>8</v>
      </c>
      <c r="B43">
        <v>1</v>
      </c>
      <c r="C43">
        <v>450</v>
      </c>
      <c r="D43">
        <f t="shared" ca="1" si="0"/>
        <v>4</v>
      </c>
      <c r="E43" t="str">
        <f t="shared" si="1"/>
        <v>1-450 arg1</v>
      </c>
      <c r="F43">
        <f t="shared" ca="1" si="2"/>
        <v>3</v>
      </c>
      <c r="G43" t="str">
        <f t="shared" si="3"/>
        <v>1-450 feedback1</v>
      </c>
      <c r="H43">
        <v>1</v>
      </c>
      <c r="I43">
        <f t="shared" ca="1" si="4"/>
        <v>3</v>
      </c>
      <c r="J43" t="str">
        <f t="shared" si="5"/>
        <v>1-450 arg2</v>
      </c>
      <c r="K43" t="str">
        <f t="shared" si="6"/>
        <v>1-450 feedback2</v>
      </c>
      <c r="L43">
        <v>1</v>
      </c>
      <c r="M43" t="s">
        <v>1299</v>
      </c>
      <c r="N43">
        <v>42</v>
      </c>
    </row>
    <row r="44" spans="1:14">
      <c r="A44">
        <v>8</v>
      </c>
      <c r="B44">
        <v>1</v>
      </c>
      <c r="C44">
        <v>451</v>
      </c>
      <c r="D44">
        <f t="shared" ca="1" si="0"/>
        <v>5</v>
      </c>
      <c r="E44" t="str">
        <f t="shared" si="1"/>
        <v>1-451 arg1</v>
      </c>
      <c r="F44">
        <f t="shared" ca="1" si="2"/>
        <v>4</v>
      </c>
      <c r="G44" t="str">
        <f t="shared" si="3"/>
        <v>1-451 feedback1</v>
      </c>
      <c r="H44">
        <v>1</v>
      </c>
      <c r="I44">
        <f t="shared" ca="1" si="4"/>
        <v>5</v>
      </c>
      <c r="J44" t="str">
        <f t="shared" si="5"/>
        <v>1-451 arg2</v>
      </c>
      <c r="K44" t="str">
        <f t="shared" si="6"/>
        <v>1-451 feedback2</v>
      </c>
      <c r="L44">
        <v>1</v>
      </c>
      <c r="M44" t="s">
        <v>1299</v>
      </c>
      <c r="N44">
        <v>43</v>
      </c>
    </row>
    <row r="45" spans="1:14">
      <c r="A45">
        <v>8</v>
      </c>
      <c r="B45">
        <v>1</v>
      </c>
      <c r="C45">
        <v>452</v>
      </c>
      <c r="D45">
        <f t="shared" ca="1" si="0"/>
        <v>5</v>
      </c>
      <c r="E45" t="str">
        <f t="shared" si="1"/>
        <v>1-452 arg1</v>
      </c>
      <c r="F45">
        <f t="shared" ca="1" si="2"/>
        <v>4</v>
      </c>
      <c r="G45" t="str">
        <f t="shared" si="3"/>
        <v>1-452 feedback1</v>
      </c>
      <c r="H45">
        <v>1</v>
      </c>
      <c r="I45">
        <f t="shared" ca="1" si="4"/>
        <v>4</v>
      </c>
      <c r="J45" t="str">
        <f t="shared" si="5"/>
        <v>1-452 arg2</v>
      </c>
      <c r="K45" t="str">
        <f t="shared" si="6"/>
        <v>1-452 feedback2</v>
      </c>
      <c r="L45">
        <v>1</v>
      </c>
      <c r="M45" t="s">
        <v>1299</v>
      </c>
      <c r="N45">
        <v>44</v>
      </c>
    </row>
    <row r="46" spans="1:14">
      <c r="A46">
        <v>8</v>
      </c>
      <c r="B46">
        <v>1</v>
      </c>
      <c r="C46">
        <v>453</v>
      </c>
      <c r="D46">
        <f t="shared" ca="1" si="0"/>
        <v>4</v>
      </c>
      <c r="E46" t="str">
        <f t="shared" si="1"/>
        <v>1-453 arg1</v>
      </c>
      <c r="F46">
        <f t="shared" ca="1" si="2"/>
        <v>4</v>
      </c>
      <c r="G46" t="str">
        <f t="shared" si="3"/>
        <v>1-453 feedback1</v>
      </c>
      <c r="H46">
        <v>1</v>
      </c>
      <c r="I46">
        <f t="shared" ca="1" si="4"/>
        <v>4</v>
      </c>
      <c r="J46" t="str">
        <f t="shared" si="5"/>
        <v>1-453 arg2</v>
      </c>
      <c r="K46" t="str">
        <f t="shared" si="6"/>
        <v>1-453 feedback2</v>
      </c>
      <c r="L46">
        <v>1</v>
      </c>
      <c r="M46" t="s">
        <v>1299</v>
      </c>
      <c r="N46">
        <v>45</v>
      </c>
    </row>
    <row r="47" spans="1:14">
      <c r="A47">
        <v>8</v>
      </c>
      <c r="B47">
        <v>1</v>
      </c>
      <c r="C47">
        <v>454</v>
      </c>
      <c r="D47">
        <f t="shared" ca="1" si="0"/>
        <v>4</v>
      </c>
      <c r="E47" t="str">
        <f t="shared" si="1"/>
        <v>1-454 arg1</v>
      </c>
      <c r="F47">
        <f t="shared" ca="1" si="2"/>
        <v>3</v>
      </c>
      <c r="G47" t="str">
        <f t="shared" si="3"/>
        <v>1-454 feedback1</v>
      </c>
      <c r="H47">
        <v>1</v>
      </c>
      <c r="I47">
        <f t="shared" ca="1" si="4"/>
        <v>3</v>
      </c>
      <c r="J47" t="str">
        <f t="shared" si="5"/>
        <v>1-454 arg2</v>
      </c>
      <c r="K47" t="str">
        <f t="shared" si="6"/>
        <v>1-454 feedback2</v>
      </c>
      <c r="L47">
        <v>1</v>
      </c>
      <c r="M47" t="s">
        <v>1299</v>
      </c>
      <c r="N47">
        <v>46</v>
      </c>
    </row>
    <row r="48" spans="1:14">
      <c r="A48">
        <v>8</v>
      </c>
      <c r="B48">
        <v>1</v>
      </c>
      <c r="C48">
        <v>455</v>
      </c>
      <c r="D48">
        <f t="shared" ca="1" si="0"/>
        <v>3</v>
      </c>
      <c r="E48" t="str">
        <f t="shared" si="1"/>
        <v>1-455 arg1</v>
      </c>
      <c r="F48">
        <f t="shared" ca="1" si="2"/>
        <v>2</v>
      </c>
      <c r="G48" t="str">
        <f t="shared" si="3"/>
        <v>1-455 feedback1</v>
      </c>
      <c r="H48">
        <v>1</v>
      </c>
      <c r="I48">
        <f t="shared" ca="1" si="4"/>
        <v>3</v>
      </c>
      <c r="J48" t="str">
        <f t="shared" si="5"/>
        <v>1-455 arg2</v>
      </c>
      <c r="K48" t="str">
        <f t="shared" si="6"/>
        <v>1-455 feedback2</v>
      </c>
      <c r="L48">
        <v>1</v>
      </c>
      <c r="M48" t="s">
        <v>1299</v>
      </c>
      <c r="N48">
        <v>47</v>
      </c>
    </row>
    <row r="49" spans="1:14">
      <c r="A49">
        <v>8</v>
      </c>
      <c r="B49">
        <v>1</v>
      </c>
      <c r="C49">
        <v>456</v>
      </c>
      <c r="D49">
        <f t="shared" ca="1" si="0"/>
        <v>5</v>
      </c>
      <c r="E49" t="str">
        <f t="shared" si="1"/>
        <v>1-456 arg1</v>
      </c>
      <c r="F49">
        <f t="shared" ca="1" si="2"/>
        <v>5</v>
      </c>
      <c r="G49" t="str">
        <f t="shared" si="3"/>
        <v>1-456 feedback1</v>
      </c>
      <c r="H49">
        <v>1</v>
      </c>
      <c r="I49">
        <f t="shared" ca="1" si="4"/>
        <v>5</v>
      </c>
      <c r="J49" t="str">
        <f t="shared" si="5"/>
        <v>1-456 arg2</v>
      </c>
      <c r="K49" t="str">
        <f t="shared" si="6"/>
        <v>1-456 feedback2</v>
      </c>
      <c r="L49">
        <v>1</v>
      </c>
      <c r="M49" t="s">
        <v>1299</v>
      </c>
      <c r="N49">
        <v>48</v>
      </c>
    </row>
    <row r="50" spans="1:14">
      <c r="A50">
        <v>8</v>
      </c>
      <c r="B50">
        <v>1</v>
      </c>
      <c r="C50">
        <v>457</v>
      </c>
      <c r="D50">
        <f t="shared" ca="1" si="0"/>
        <v>5</v>
      </c>
      <c r="E50" t="str">
        <f t="shared" si="1"/>
        <v>1-457 arg1</v>
      </c>
      <c r="F50">
        <f t="shared" ca="1" si="2"/>
        <v>3</v>
      </c>
      <c r="G50" t="str">
        <f t="shared" si="3"/>
        <v>1-457 feedback1</v>
      </c>
      <c r="H50">
        <v>1</v>
      </c>
      <c r="I50">
        <f t="shared" ca="1" si="4"/>
        <v>3</v>
      </c>
      <c r="J50" t="str">
        <f t="shared" si="5"/>
        <v>1-457 arg2</v>
      </c>
      <c r="K50" t="str">
        <f t="shared" si="6"/>
        <v>1-457 feedback2</v>
      </c>
      <c r="L50">
        <v>1</v>
      </c>
      <c r="M50" t="s">
        <v>1299</v>
      </c>
      <c r="N50">
        <v>49</v>
      </c>
    </row>
    <row r="51" spans="1:14">
      <c r="A51">
        <v>8</v>
      </c>
      <c r="B51">
        <v>1</v>
      </c>
      <c r="C51">
        <v>458</v>
      </c>
      <c r="D51">
        <f t="shared" ca="1" si="0"/>
        <v>4</v>
      </c>
      <c r="E51" t="str">
        <f t="shared" si="1"/>
        <v>1-458 arg1</v>
      </c>
      <c r="F51">
        <f t="shared" ca="1" si="2"/>
        <v>4</v>
      </c>
      <c r="G51" t="str">
        <f t="shared" si="3"/>
        <v>1-458 feedback1</v>
      </c>
      <c r="H51">
        <v>1</v>
      </c>
      <c r="I51">
        <f t="shared" ca="1" si="4"/>
        <v>4</v>
      </c>
      <c r="J51" t="str">
        <f t="shared" si="5"/>
        <v>1-458 arg2</v>
      </c>
      <c r="K51" t="str">
        <f t="shared" si="6"/>
        <v>1-458 feedback2</v>
      </c>
      <c r="L51">
        <v>1</v>
      </c>
      <c r="M51" t="s">
        <v>1299</v>
      </c>
      <c r="N51">
        <v>50</v>
      </c>
    </row>
    <row r="52" spans="1:14">
      <c r="A52">
        <v>8</v>
      </c>
      <c r="B52">
        <v>1</v>
      </c>
      <c r="C52">
        <v>459</v>
      </c>
      <c r="D52">
        <f t="shared" ca="1" si="0"/>
        <v>4</v>
      </c>
      <c r="E52" t="str">
        <f t="shared" si="1"/>
        <v>1-459 arg1</v>
      </c>
      <c r="F52">
        <f t="shared" ca="1" si="2"/>
        <v>4</v>
      </c>
      <c r="G52" t="str">
        <f t="shared" si="3"/>
        <v>1-459 feedback1</v>
      </c>
      <c r="H52">
        <v>1</v>
      </c>
      <c r="I52">
        <f t="shared" ca="1" si="4"/>
        <v>5</v>
      </c>
      <c r="J52" t="str">
        <f t="shared" si="5"/>
        <v>1-459 arg2</v>
      </c>
      <c r="K52" t="str">
        <f t="shared" si="6"/>
        <v>1-459 feedback2</v>
      </c>
      <c r="L52">
        <v>1</v>
      </c>
      <c r="M52" t="s">
        <v>1299</v>
      </c>
      <c r="N52">
        <v>51</v>
      </c>
    </row>
    <row r="53" spans="1:14">
      <c r="A53">
        <v>8</v>
      </c>
      <c r="B53">
        <v>1</v>
      </c>
      <c r="C53">
        <v>460</v>
      </c>
      <c r="D53">
        <f t="shared" ca="1" si="0"/>
        <v>3</v>
      </c>
      <c r="E53" t="str">
        <f t="shared" si="1"/>
        <v>1-460 arg1</v>
      </c>
      <c r="F53">
        <f t="shared" ca="1" si="2"/>
        <v>3</v>
      </c>
      <c r="G53" t="str">
        <f t="shared" si="3"/>
        <v>1-460 feedback1</v>
      </c>
      <c r="H53">
        <v>1</v>
      </c>
      <c r="I53">
        <f t="shared" ca="1" si="4"/>
        <v>3</v>
      </c>
      <c r="J53" t="str">
        <f t="shared" si="5"/>
        <v>1-460 arg2</v>
      </c>
      <c r="K53" t="str">
        <f t="shared" si="6"/>
        <v>1-460 feedback2</v>
      </c>
      <c r="L53">
        <v>1</v>
      </c>
      <c r="M53" t="s">
        <v>1299</v>
      </c>
      <c r="N53">
        <v>52</v>
      </c>
    </row>
    <row r="54" spans="1:14">
      <c r="A54">
        <v>8</v>
      </c>
      <c r="B54">
        <v>1</v>
      </c>
      <c r="C54">
        <v>461</v>
      </c>
      <c r="D54">
        <f t="shared" ca="1" si="0"/>
        <v>3</v>
      </c>
      <c r="E54" t="str">
        <f t="shared" si="1"/>
        <v>1-461 arg1</v>
      </c>
      <c r="F54">
        <f t="shared" ca="1" si="2"/>
        <v>2</v>
      </c>
      <c r="G54" t="str">
        <f t="shared" si="3"/>
        <v>1-461 feedback1</v>
      </c>
      <c r="H54">
        <v>1</v>
      </c>
      <c r="I54">
        <f t="shared" ca="1" si="4"/>
        <v>2</v>
      </c>
      <c r="J54" t="str">
        <f t="shared" si="5"/>
        <v>1-461 arg2</v>
      </c>
      <c r="K54" t="str">
        <f t="shared" si="6"/>
        <v>1-461 feedback2</v>
      </c>
      <c r="L54">
        <v>1</v>
      </c>
      <c r="M54" t="s">
        <v>1299</v>
      </c>
      <c r="N54">
        <v>53</v>
      </c>
    </row>
    <row r="55" spans="1:14">
      <c r="A55">
        <v>8</v>
      </c>
      <c r="B55">
        <v>1</v>
      </c>
      <c r="C55">
        <v>462</v>
      </c>
      <c r="D55">
        <f t="shared" ca="1" si="0"/>
        <v>5</v>
      </c>
      <c r="E55" t="str">
        <f t="shared" si="1"/>
        <v>1-462 arg1</v>
      </c>
      <c r="F55">
        <f t="shared" ca="1" si="2"/>
        <v>5</v>
      </c>
      <c r="G55" t="str">
        <f t="shared" si="3"/>
        <v>1-462 feedback1</v>
      </c>
      <c r="H55">
        <v>1</v>
      </c>
      <c r="I55">
        <f t="shared" ca="1" si="4"/>
        <v>5</v>
      </c>
      <c r="J55" t="str">
        <f t="shared" si="5"/>
        <v>1-462 arg2</v>
      </c>
      <c r="K55" t="str">
        <f t="shared" si="6"/>
        <v>1-462 feedback2</v>
      </c>
      <c r="L55">
        <v>1</v>
      </c>
      <c r="M55" t="s">
        <v>1299</v>
      </c>
      <c r="N55">
        <v>54</v>
      </c>
    </row>
    <row r="56" spans="1:14">
      <c r="A56">
        <v>8</v>
      </c>
      <c r="B56">
        <v>1</v>
      </c>
      <c r="C56">
        <v>463</v>
      </c>
      <c r="D56">
        <f t="shared" ca="1" si="0"/>
        <v>4</v>
      </c>
      <c r="E56" t="str">
        <f t="shared" si="1"/>
        <v>1-463 arg1</v>
      </c>
      <c r="F56">
        <f t="shared" ca="1" si="2"/>
        <v>3</v>
      </c>
      <c r="G56" t="str">
        <f t="shared" si="3"/>
        <v>1-463 feedback1</v>
      </c>
      <c r="H56">
        <v>1</v>
      </c>
      <c r="I56">
        <f t="shared" ca="1" si="4"/>
        <v>4</v>
      </c>
      <c r="J56" t="str">
        <f t="shared" si="5"/>
        <v>1-463 arg2</v>
      </c>
      <c r="K56" t="str">
        <f t="shared" si="6"/>
        <v>1-463 feedback2</v>
      </c>
      <c r="L56">
        <v>1</v>
      </c>
      <c r="M56" t="s">
        <v>1299</v>
      </c>
      <c r="N56">
        <v>55</v>
      </c>
    </row>
    <row r="57" spans="1:14">
      <c r="A57">
        <v>8</v>
      </c>
      <c r="B57">
        <v>1</v>
      </c>
      <c r="C57">
        <v>464</v>
      </c>
      <c r="D57">
        <f t="shared" ca="1" si="0"/>
        <v>5</v>
      </c>
      <c r="E57" t="str">
        <f t="shared" si="1"/>
        <v>1-464 arg1</v>
      </c>
      <c r="F57">
        <f t="shared" ca="1" si="2"/>
        <v>5</v>
      </c>
      <c r="G57" t="str">
        <f t="shared" si="3"/>
        <v>1-464 feedback1</v>
      </c>
      <c r="H57">
        <v>1</v>
      </c>
      <c r="I57">
        <f t="shared" ca="1" si="4"/>
        <v>5</v>
      </c>
      <c r="J57" t="str">
        <f t="shared" si="5"/>
        <v>1-464 arg2</v>
      </c>
      <c r="K57" t="str">
        <f t="shared" si="6"/>
        <v>1-464 feedback2</v>
      </c>
      <c r="L57">
        <v>1</v>
      </c>
      <c r="M57" t="s">
        <v>1299</v>
      </c>
      <c r="N57">
        <v>56</v>
      </c>
    </row>
    <row r="58" spans="1:14">
      <c r="A58">
        <v>8</v>
      </c>
      <c r="B58">
        <v>1</v>
      </c>
      <c r="C58">
        <v>465</v>
      </c>
      <c r="D58">
        <f t="shared" ca="1" si="0"/>
        <v>5</v>
      </c>
      <c r="E58" t="str">
        <f t="shared" si="1"/>
        <v>1-465 arg1</v>
      </c>
      <c r="F58">
        <f t="shared" ca="1" si="2"/>
        <v>4</v>
      </c>
      <c r="G58" t="str">
        <f t="shared" si="3"/>
        <v>1-465 feedback1</v>
      </c>
      <c r="H58">
        <v>1</v>
      </c>
      <c r="I58">
        <f t="shared" ca="1" si="4"/>
        <v>5</v>
      </c>
      <c r="J58" t="str">
        <f t="shared" si="5"/>
        <v>1-465 arg2</v>
      </c>
      <c r="K58" t="str">
        <f t="shared" si="6"/>
        <v>1-465 feedback2</v>
      </c>
      <c r="L58">
        <v>1</v>
      </c>
      <c r="M58" t="s">
        <v>1299</v>
      </c>
      <c r="N58">
        <v>57</v>
      </c>
    </row>
    <row r="59" spans="1:14">
      <c r="A59">
        <v>8</v>
      </c>
      <c r="B59">
        <v>1</v>
      </c>
      <c r="C59">
        <v>466</v>
      </c>
      <c r="D59">
        <f t="shared" ca="1" si="0"/>
        <v>4</v>
      </c>
      <c r="E59" t="str">
        <f t="shared" si="1"/>
        <v>1-466 arg1</v>
      </c>
      <c r="F59">
        <f t="shared" ca="1" si="2"/>
        <v>2</v>
      </c>
      <c r="G59" t="str">
        <f t="shared" si="3"/>
        <v>1-466 feedback1</v>
      </c>
      <c r="H59">
        <v>1</v>
      </c>
      <c r="I59">
        <f t="shared" ca="1" si="4"/>
        <v>3</v>
      </c>
      <c r="J59" t="str">
        <f t="shared" si="5"/>
        <v>1-466 arg2</v>
      </c>
      <c r="K59" t="str">
        <f t="shared" si="6"/>
        <v>1-466 feedback2</v>
      </c>
      <c r="L59">
        <v>1</v>
      </c>
      <c r="M59" t="s">
        <v>1299</v>
      </c>
      <c r="N59">
        <v>58</v>
      </c>
    </row>
    <row r="60" spans="1:14">
      <c r="A60">
        <v>8</v>
      </c>
      <c r="B60">
        <v>1</v>
      </c>
      <c r="C60">
        <v>467</v>
      </c>
      <c r="D60">
        <f t="shared" ca="1" si="0"/>
        <v>4</v>
      </c>
      <c r="E60" t="str">
        <f t="shared" si="1"/>
        <v>1-467 arg1</v>
      </c>
      <c r="F60">
        <f t="shared" ca="1" si="2"/>
        <v>3</v>
      </c>
      <c r="G60" t="str">
        <f t="shared" si="3"/>
        <v>1-467 feedback1</v>
      </c>
      <c r="H60">
        <v>1</v>
      </c>
      <c r="I60">
        <f t="shared" ca="1" si="4"/>
        <v>4</v>
      </c>
      <c r="J60" t="str">
        <f t="shared" si="5"/>
        <v>1-467 arg2</v>
      </c>
      <c r="K60" t="str">
        <f t="shared" si="6"/>
        <v>1-467 feedback2</v>
      </c>
      <c r="L60">
        <v>1</v>
      </c>
      <c r="M60" t="s">
        <v>1299</v>
      </c>
      <c r="N60">
        <v>59</v>
      </c>
    </row>
    <row r="61" spans="1:14">
      <c r="A61">
        <v>8</v>
      </c>
      <c r="B61">
        <v>1</v>
      </c>
      <c r="C61">
        <v>468</v>
      </c>
      <c r="D61">
        <f t="shared" ca="1" si="0"/>
        <v>3</v>
      </c>
      <c r="E61" t="str">
        <f t="shared" si="1"/>
        <v>1-468 arg1</v>
      </c>
      <c r="F61">
        <f t="shared" ca="1" si="2"/>
        <v>2</v>
      </c>
      <c r="G61" t="str">
        <f t="shared" si="3"/>
        <v>1-468 feedback1</v>
      </c>
      <c r="H61">
        <v>1</v>
      </c>
      <c r="I61">
        <f t="shared" ca="1" si="4"/>
        <v>2</v>
      </c>
      <c r="J61" t="str">
        <f t="shared" si="5"/>
        <v>1-468 arg2</v>
      </c>
      <c r="K61" t="str">
        <f t="shared" si="6"/>
        <v>1-468 feedback2</v>
      </c>
      <c r="L61">
        <v>1</v>
      </c>
      <c r="M61" t="s">
        <v>1299</v>
      </c>
      <c r="N61">
        <v>60</v>
      </c>
    </row>
    <row r="62" spans="1:14">
      <c r="A62">
        <v>8</v>
      </c>
      <c r="B62">
        <v>1</v>
      </c>
      <c r="C62">
        <v>469</v>
      </c>
      <c r="D62">
        <f t="shared" ca="1" si="0"/>
        <v>5</v>
      </c>
      <c r="E62" t="str">
        <f t="shared" si="1"/>
        <v>1-469 arg1</v>
      </c>
      <c r="F62">
        <f t="shared" ca="1" si="2"/>
        <v>4</v>
      </c>
      <c r="G62" t="str">
        <f t="shared" si="3"/>
        <v>1-469 feedback1</v>
      </c>
      <c r="H62">
        <v>1</v>
      </c>
      <c r="I62">
        <f t="shared" ca="1" si="4"/>
        <v>5</v>
      </c>
      <c r="J62" t="str">
        <f t="shared" si="5"/>
        <v>1-469 arg2</v>
      </c>
      <c r="K62" t="str">
        <f t="shared" si="6"/>
        <v>1-469 feedback2</v>
      </c>
      <c r="L62">
        <v>1</v>
      </c>
      <c r="M62" t="s">
        <v>1299</v>
      </c>
      <c r="N62">
        <v>61</v>
      </c>
    </row>
    <row r="63" spans="1:14">
      <c r="A63">
        <v>8</v>
      </c>
      <c r="B63">
        <v>1</v>
      </c>
      <c r="C63">
        <v>470</v>
      </c>
      <c r="D63">
        <f t="shared" ca="1" si="0"/>
        <v>4</v>
      </c>
      <c r="E63" t="str">
        <f t="shared" si="1"/>
        <v>1-470 arg1</v>
      </c>
      <c r="F63">
        <f t="shared" ca="1" si="2"/>
        <v>3</v>
      </c>
      <c r="G63" t="str">
        <f t="shared" si="3"/>
        <v>1-470 feedback1</v>
      </c>
      <c r="H63">
        <v>1</v>
      </c>
      <c r="I63">
        <f t="shared" ca="1" si="4"/>
        <v>3</v>
      </c>
      <c r="J63" t="str">
        <f t="shared" si="5"/>
        <v>1-470 arg2</v>
      </c>
      <c r="K63" t="str">
        <f t="shared" si="6"/>
        <v>1-470 feedback2</v>
      </c>
      <c r="L63">
        <v>1</v>
      </c>
      <c r="M63" t="s">
        <v>1299</v>
      </c>
      <c r="N63">
        <v>62</v>
      </c>
    </row>
    <row r="64" spans="1:14">
      <c r="A64">
        <v>8</v>
      </c>
      <c r="B64">
        <v>1</v>
      </c>
      <c r="C64">
        <v>471</v>
      </c>
      <c r="D64">
        <f t="shared" ca="1" si="0"/>
        <v>4</v>
      </c>
      <c r="E64" t="str">
        <f t="shared" si="1"/>
        <v>1-471 arg1</v>
      </c>
      <c r="F64">
        <f t="shared" ca="1" si="2"/>
        <v>2</v>
      </c>
      <c r="G64" t="str">
        <f t="shared" si="3"/>
        <v>1-471 feedback1</v>
      </c>
      <c r="H64">
        <v>1</v>
      </c>
      <c r="I64">
        <f t="shared" ca="1" si="4"/>
        <v>3</v>
      </c>
      <c r="J64" t="str">
        <f t="shared" si="5"/>
        <v>1-471 arg2</v>
      </c>
      <c r="K64" t="str">
        <f t="shared" si="6"/>
        <v>1-471 feedback2</v>
      </c>
      <c r="L64">
        <v>1</v>
      </c>
      <c r="M64" t="s">
        <v>1299</v>
      </c>
      <c r="N64">
        <v>63</v>
      </c>
    </row>
    <row r="65" spans="1:14">
      <c r="A65">
        <v>8</v>
      </c>
      <c r="B65">
        <v>1</v>
      </c>
      <c r="C65">
        <v>472</v>
      </c>
      <c r="D65">
        <f t="shared" ca="1" si="0"/>
        <v>5</v>
      </c>
      <c r="E65" t="str">
        <f t="shared" si="1"/>
        <v>1-472 arg1</v>
      </c>
      <c r="F65">
        <f t="shared" ca="1" si="2"/>
        <v>4</v>
      </c>
      <c r="G65" t="str">
        <f t="shared" si="3"/>
        <v>1-472 feedback1</v>
      </c>
      <c r="H65">
        <v>1</v>
      </c>
      <c r="I65">
        <f t="shared" ca="1" si="4"/>
        <v>5</v>
      </c>
      <c r="J65" t="str">
        <f t="shared" si="5"/>
        <v>1-472 arg2</v>
      </c>
      <c r="K65" t="str">
        <f t="shared" si="6"/>
        <v>1-472 feedback2</v>
      </c>
      <c r="L65">
        <v>1</v>
      </c>
      <c r="M65" t="s">
        <v>1299</v>
      </c>
      <c r="N65">
        <v>64</v>
      </c>
    </row>
    <row r="66" spans="1:14">
      <c r="A66">
        <v>8</v>
      </c>
      <c r="B66">
        <v>1</v>
      </c>
      <c r="C66">
        <v>473</v>
      </c>
      <c r="D66">
        <f t="shared" ca="1" si="0"/>
        <v>3</v>
      </c>
      <c r="E66" t="str">
        <f t="shared" si="1"/>
        <v>1-473 arg1</v>
      </c>
      <c r="F66">
        <f t="shared" ca="1" si="2"/>
        <v>2</v>
      </c>
      <c r="G66" t="str">
        <f t="shared" si="3"/>
        <v>1-473 feedback1</v>
      </c>
      <c r="H66">
        <v>1</v>
      </c>
      <c r="I66">
        <f t="shared" ca="1" si="4"/>
        <v>3</v>
      </c>
      <c r="J66" t="str">
        <f t="shared" si="5"/>
        <v>1-473 arg2</v>
      </c>
      <c r="K66" t="str">
        <f t="shared" si="6"/>
        <v>1-473 feedback2</v>
      </c>
      <c r="L66">
        <v>1</v>
      </c>
      <c r="M66" t="s">
        <v>1299</v>
      </c>
      <c r="N66">
        <v>65</v>
      </c>
    </row>
    <row r="67" spans="1:14">
      <c r="A67">
        <v>8</v>
      </c>
      <c r="B67">
        <v>1</v>
      </c>
      <c r="C67">
        <v>474</v>
      </c>
      <c r="D67">
        <f t="shared" ref="D67:D130" ca="1" si="7">ROUND(3+2*RAND(),0)</f>
        <v>3</v>
      </c>
      <c r="E67" t="str">
        <f t="shared" ref="E67:E130" si="8">_xlfn.CONCAT(B67,"-",C67," arg1")</f>
        <v>1-474 arg1</v>
      </c>
      <c r="F67">
        <f t="shared" ref="F67:F130" ca="1" si="9">D67-ROUND(2*RAND(),0)</f>
        <v>1</v>
      </c>
      <c r="G67" t="str">
        <f t="shared" ref="G67:G130" si="10">_xlfn.CONCAT(B67,"-",C67," feedback1")</f>
        <v>1-474 feedback1</v>
      </c>
      <c r="H67">
        <v>1</v>
      </c>
      <c r="I67">
        <f t="shared" ref="I67:I130" ca="1" si="11">MIN(5,F67+ROUND(RAND(),0))</f>
        <v>1</v>
      </c>
      <c r="J67" t="str">
        <f t="shared" ref="J67:J130" si="12">_xlfn.CONCAT(B67,"-",C67," arg2")</f>
        <v>1-474 arg2</v>
      </c>
      <c r="K67" t="str">
        <f t="shared" ref="K67:K130" si="13">_xlfn.CONCAT(B67,"-",C67," feedback2")</f>
        <v>1-474 feedback2</v>
      </c>
      <c r="L67">
        <v>1</v>
      </c>
      <c r="M67" t="s">
        <v>1299</v>
      </c>
      <c r="N67">
        <v>66</v>
      </c>
    </row>
    <row r="68" spans="1:14">
      <c r="A68">
        <v>8</v>
      </c>
      <c r="B68">
        <v>1</v>
      </c>
      <c r="C68">
        <v>475</v>
      </c>
      <c r="D68">
        <f t="shared" ca="1" si="7"/>
        <v>5</v>
      </c>
      <c r="E68" t="str">
        <f t="shared" si="8"/>
        <v>1-475 arg1</v>
      </c>
      <c r="F68">
        <f t="shared" ca="1" si="9"/>
        <v>4</v>
      </c>
      <c r="G68" t="str">
        <f t="shared" si="10"/>
        <v>1-475 feedback1</v>
      </c>
      <c r="H68">
        <v>1</v>
      </c>
      <c r="I68">
        <f t="shared" ca="1" si="11"/>
        <v>4</v>
      </c>
      <c r="J68" t="str">
        <f t="shared" si="12"/>
        <v>1-475 arg2</v>
      </c>
      <c r="K68" t="str">
        <f t="shared" si="13"/>
        <v>1-475 feedback2</v>
      </c>
      <c r="L68">
        <v>1</v>
      </c>
      <c r="M68" t="s">
        <v>1299</v>
      </c>
      <c r="N68">
        <v>67</v>
      </c>
    </row>
    <row r="69" spans="1:14">
      <c r="A69">
        <v>8</v>
      </c>
      <c r="B69">
        <v>1</v>
      </c>
      <c r="C69">
        <v>476</v>
      </c>
      <c r="D69">
        <f t="shared" ca="1" si="7"/>
        <v>4</v>
      </c>
      <c r="E69" t="str">
        <f t="shared" si="8"/>
        <v>1-476 arg1</v>
      </c>
      <c r="F69">
        <f t="shared" ca="1" si="9"/>
        <v>4</v>
      </c>
      <c r="G69" t="str">
        <f t="shared" si="10"/>
        <v>1-476 feedback1</v>
      </c>
      <c r="H69">
        <v>1</v>
      </c>
      <c r="I69">
        <f t="shared" ca="1" si="11"/>
        <v>4</v>
      </c>
      <c r="J69" t="str">
        <f t="shared" si="12"/>
        <v>1-476 arg2</v>
      </c>
      <c r="K69" t="str">
        <f t="shared" si="13"/>
        <v>1-476 feedback2</v>
      </c>
      <c r="L69">
        <v>1</v>
      </c>
      <c r="M69" t="s">
        <v>1299</v>
      </c>
      <c r="N69">
        <v>68</v>
      </c>
    </row>
    <row r="70" spans="1:14">
      <c r="A70">
        <v>8</v>
      </c>
      <c r="B70">
        <v>1</v>
      </c>
      <c r="C70">
        <v>477</v>
      </c>
      <c r="D70">
        <f t="shared" ca="1" si="7"/>
        <v>4</v>
      </c>
      <c r="E70" t="str">
        <f t="shared" si="8"/>
        <v>1-477 arg1</v>
      </c>
      <c r="F70">
        <f t="shared" ca="1" si="9"/>
        <v>3</v>
      </c>
      <c r="G70" t="str">
        <f t="shared" si="10"/>
        <v>1-477 feedback1</v>
      </c>
      <c r="H70">
        <v>1</v>
      </c>
      <c r="I70">
        <f t="shared" ca="1" si="11"/>
        <v>3</v>
      </c>
      <c r="J70" t="str">
        <f t="shared" si="12"/>
        <v>1-477 arg2</v>
      </c>
      <c r="K70" t="str">
        <f t="shared" si="13"/>
        <v>1-477 feedback2</v>
      </c>
      <c r="L70">
        <v>1</v>
      </c>
      <c r="M70" t="s">
        <v>1299</v>
      </c>
      <c r="N70">
        <v>69</v>
      </c>
    </row>
    <row r="71" spans="1:14">
      <c r="A71">
        <v>8</v>
      </c>
      <c r="B71">
        <v>1</v>
      </c>
      <c r="C71">
        <v>478</v>
      </c>
      <c r="D71">
        <f t="shared" ca="1" si="7"/>
        <v>4</v>
      </c>
      <c r="E71" t="str">
        <f t="shared" si="8"/>
        <v>1-478 arg1</v>
      </c>
      <c r="F71">
        <f t="shared" ca="1" si="9"/>
        <v>3</v>
      </c>
      <c r="G71" t="str">
        <f t="shared" si="10"/>
        <v>1-478 feedback1</v>
      </c>
      <c r="H71">
        <v>1</v>
      </c>
      <c r="I71">
        <f t="shared" ca="1" si="11"/>
        <v>3</v>
      </c>
      <c r="J71" t="str">
        <f t="shared" si="12"/>
        <v>1-478 arg2</v>
      </c>
      <c r="K71" t="str">
        <f t="shared" si="13"/>
        <v>1-478 feedback2</v>
      </c>
      <c r="L71">
        <v>1</v>
      </c>
      <c r="M71" t="s">
        <v>1299</v>
      </c>
      <c r="N71">
        <v>70</v>
      </c>
    </row>
    <row r="72" spans="1:14">
      <c r="A72">
        <v>8</v>
      </c>
      <c r="B72">
        <v>1</v>
      </c>
      <c r="C72">
        <v>479</v>
      </c>
      <c r="D72">
        <f t="shared" ca="1" si="7"/>
        <v>4</v>
      </c>
      <c r="E72" t="str">
        <f t="shared" si="8"/>
        <v>1-479 arg1</v>
      </c>
      <c r="F72">
        <f t="shared" ca="1" si="9"/>
        <v>4</v>
      </c>
      <c r="G72" t="str">
        <f t="shared" si="10"/>
        <v>1-479 feedback1</v>
      </c>
      <c r="H72">
        <v>1</v>
      </c>
      <c r="I72">
        <f t="shared" ca="1" si="11"/>
        <v>5</v>
      </c>
      <c r="J72" t="str">
        <f t="shared" si="12"/>
        <v>1-479 arg2</v>
      </c>
      <c r="K72" t="str">
        <f t="shared" si="13"/>
        <v>1-479 feedback2</v>
      </c>
      <c r="L72">
        <v>1</v>
      </c>
      <c r="M72" t="s">
        <v>1299</v>
      </c>
      <c r="N72">
        <v>71</v>
      </c>
    </row>
    <row r="73" spans="1:14">
      <c r="A73">
        <v>8</v>
      </c>
      <c r="B73">
        <v>1</v>
      </c>
      <c r="C73">
        <v>480</v>
      </c>
      <c r="D73">
        <f t="shared" ca="1" si="7"/>
        <v>4</v>
      </c>
      <c r="E73" t="str">
        <f t="shared" si="8"/>
        <v>1-480 arg1</v>
      </c>
      <c r="F73">
        <f t="shared" ca="1" si="9"/>
        <v>3</v>
      </c>
      <c r="G73" t="str">
        <f t="shared" si="10"/>
        <v>1-480 feedback1</v>
      </c>
      <c r="H73">
        <v>1</v>
      </c>
      <c r="I73">
        <f t="shared" ca="1" si="11"/>
        <v>4</v>
      </c>
      <c r="J73" t="str">
        <f t="shared" si="12"/>
        <v>1-480 arg2</v>
      </c>
      <c r="K73" t="str">
        <f t="shared" si="13"/>
        <v>1-480 feedback2</v>
      </c>
      <c r="L73">
        <v>1</v>
      </c>
      <c r="M73" t="s">
        <v>1299</v>
      </c>
      <c r="N73">
        <v>72</v>
      </c>
    </row>
    <row r="74" spans="1:14">
      <c r="A74">
        <v>8</v>
      </c>
      <c r="B74">
        <v>1</v>
      </c>
      <c r="C74">
        <v>481</v>
      </c>
      <c r="D74">
        <f t="shared" ca="1" si="7"/>
        <v>3</v>
      </c>
      <c r="E74" t="str">
        <f t="shared" si="8"/>
        <v>1-481 arg1</v>
      </c>
      <c r="F74">
        <f t="shared" ca="1" si="9"/>
        <v>2</v>
      </c>
      <c r="G74" t="str">
        <f t="shared" si="10"/>
        <v>1-481 feedback1</v>
      </c>
      <c r="H74">
        <v>1</v>
      </c>
      <c r="I74">
        <f t="shared" ca="1" si="11"/>
        <v>3</v>
      </c>
      <c r="J74" t="str">
        <f t="shared" si="12"/>
        <v>1-481 arg2</v>
      </c>
      <c r="K74" t="str">
        <f t="shared" si="13"/>
        <v>1-481 feedback2</v>
      </c>
      <c r="L74">
        <v>1</v>
      </c>
      <c r="M74" t="s">
        <v>1299</v>
      </c>
      <c r="N74">
        <v>73</v>
      </c>
    </row>
    <row r="75" spans="1:14">
      <c r="A75">
        <v>8</v>
      </c>
      <c r="B75">
        <v>1</v>
      </c>
      <c r="C75">
        <v>482</v>
      </c>
      <c r="D75">
        <f t="shared" ca="1" si="7"/>
        <v>4</v>
      </c>
      <c r="E75" t="str">
        <f t="shared" si="8"/>
        <v>1-482 arg1</v>
      </c>
      <c r="F75">
        <f t="shared" ca="1" si="9"/>
        <v>3</v>
      </c>
      <c r="G75" t="str">
        <f t="shared" si="10"/>
        <v>1-482 feedback1</v>
      </c>
      <c r="H75">
        <v>1</v>
      </c>
      <c r="I75">
        <f t="shared" ca="1" si="11"/>
        <v>3</v>
      </c>
      <c r="J75" t="str">
        <f t="shared" si="12"/>
        <v>1-482 arg2</v>
      </c>
      <c r="K75" t="str">
        <f t="shared" si="13"/>
        <v>1-482 feedback2</v>
      </c>
      <c r="L75">
        <v>1</v>
      </c>
      <c r="M75" t="s">
        <v>1299</v>
      </c>
      <c r="N75">
        <v>74</v>
      </c>
    </row>
    <row r="76" spans="1:14">
      <c r="A76">
        <v>8</v>
      </c>
      <c r="B76">
        <v>1</v>
      </c>
      <c r="C76">
        <v>483</v>
      </c>
      <c r="D76">
        <f t="shared" ca="1" si="7"/>
        <v>3</v>
      </c>
      <c r="E76" t="str">
        <f t="shared" si="8"/>
        <v>1-483 arg1</v>
      </c>
      <c r="F76">
        <f t="shared" ca="1" si="9"/>
        <v>2</v>
      </c>
      <c r="G76" t="str">
        <f t="shared" si="10"/>
        <v>1-483 feedback1</v>
      </c>
      <c r="H76">
        <v>1</v>
      </c>
      <c r="I76">
        <f t="shared" ca="1" si="11"/>
        <v>2</v>
      </c>
      <c r="J76" t="str">
        <f t="shared" si="12"/>
        <v>1-483 arg2</v>
      </c>
      <c r="K76" t="str">
        <f t="shared" si="13"/>
        <v>1-483 feedback2</v>
      </c>
      <c r="L76">
        <v>1</v>
      </c>
      <c r="M76" t="s">
        <v>1299</v>
      </c>
      <c r="N76">
        <v>75</v>
      </c>
    </row>
    <row r="77" spans="1:14">
      <c r="A77">
        <v>8</v>
      </c>
      <c r="B77">
        <v>1</v>
      </c>
      <c r="C77">
        <v>484</v>
      </c>
      <c r="D77">
        <f t="shared" ca="1" si="7"/>
        <v>5</v>
      </c>
      <c r="E77" t="str">
        <f t="shared" si="8"/>
        <v>1-484 arg1</v>
      </c>
      <c r="F77">
        <f t="shared" ca="1" si="9"/>
        <v>4</v>
      </c>
      <c r="G77" t="str">
        <f t="shared" si="10"/>
        <v>1-484 feedback1</v>
      </c>
      <c r="H77">
        <v>1</v>
      </c>
      <c r="I77">
        <f t="shared" ca="1" si="11"/>
        <v>5</v>
      </c>
      <c r="J77" t="str">
        <f t="shared" si="12"/>
        <v>1-484 arg2</v>
      </c>
      <c r="K77" t="str">
        <f t="shared" si="13"/>
        <v>1-484 feedback2</v>
      </c>
      <c r="L77">
        <v>1</v>
      </c>
      <c r="M77" t="s">
        <v>1299</v>
      </c>
      <c r="N77">
        <v>76</v>
      </c>
    </row>
    <row r="78" spans="1:14">
      <c r="A78">
        <v>8</v>
      </c>
      <c r="B78">
        <v>1</v>
      </c>
      <c r="C78">
        <v>485</v>
      </c>
      <c r="D78">
        <f t="shared" ca="1" si="7"/>
        <v>3</v>
      </c>
      <c r="E78" t="str">
        <f t="shared" si="8"/>
        <v>1-485 arg1</v>
      </c>
      <c r="F78">
        <f t="shared" ca="1" si="9"/>
        <v>1</v>
      </c>
      <c r="G78" t="str">
        <f t="shared" si="10"/>
        <v>1-485 feedback1</v>
      </c>
      <c r="H78">
        <v>1</v>
      </c>
      <c r="I78">
        <f t="shared" ca="1" si="11"/>
        <v>1</v>
      </c>
      <c r="J78" t="str">
        <f t="shared" si="12"/>
        <v>1-485 arg2</v>
      </c>
      <c r="K78" t="str">
        <f t="shared" si="13"/>
        <v>1-485 feedback2</v>
      </c>
      <c r="L78">
        <v>1</v>
      </c>
      <c r="M78" t="s">
        <v>1299</v>
      </c>
      <c r="N78">
        <v>77</v>
      </c>
    </row>
    <row r="79" spans="1:14">
      <c r="A79">
        <v>8</v>
      </c>
      <c r="B79">
        <v>1</v>
      </c>
      <c r="C79">
        <v>486</v>
      </c>
      <c r="D79">
        <f t="shared" ca="1" si="7"/>
        <v>5</v>
      </c>
      <c r="E79" t="str">
        <f t="shared" si="8"/>
        <v>1-486 arg1</v>
      </c>
      <c r="F79">
        <f t="shared" ca="1" si="9"/>
        <v>4</v>
      </c>
      <c r="G79" t="str">
        <f t="shared" si="10"/>
        <v>1-486 feedback1</v>
      </c>
      <c r="H79">
        <v>1</v>
      </c>
      <c r="I79">
        <f t="shared" ca="1" si="11"/>
        <v>4</v>
      </c>
      <c r="J79" t="str">
        <f t="shared" si="12"/>
        <v>1-486 arg2</v>
      </c>
      <c r="K79" t="str">
        <f t="shared" si="13"/>
        <v>1-486 feedback2</v>
      </c>
      <c r="L79">
        <v>1</v>
      </c>
      <c r="M79" t="s">
        <v>1299</v>
      </c>
      <c r="N79">
        <v>78</v>
      </c>
    </row>
    <row r="80" spans="1:14">
      <c r="A80">
        <v>8</v>
      </c>
      <c r="B80">
        <v>1</v>
      </c>
      <c r="C80">
        <v>487</v>
      </c>
      <c r="D80">
        <f t="shared" ca="1" si="7"/>
        <v>5</v>
      </c>
      <c r="E80" t="str">
        <f t="shared" si="8"/>
        <v>1-487 arg1</v>
      </c>
      <c r="F80">
        <f t="shared" ca="1" si="9"/>
        <v>5</v>
      </c>
      <c r="G80" t="str">
        <f t="shared" si="10"/>
        <v>1-487 feedback1</v>
      </c>
      <c r="H80">
        <v>1</v>
      </c>
      <c r="I80">
        <f t="shared" ca="1" si="11"/>
        <v>5</v>
      </c>
      <c r="J80" t="str">
        <f t="shared" si="12"/>
        <v>1-487 arg2</v>
      </c>
      <c r="K80" t="str">
        <f t="shared" si="13"/>
        <v>1-487 feedback2</v>
      </c>
      <c r="L80">
        <v>1</v>
      </c>
      <c r="M80" t="s">
        <v>1299</v>
      </c>
      <c r="N80">
        <v>79</v>
      </c>
    </row>
    <row r="81" spans="1:14">
      <c r="A81">
        <v>8</v>
      </c>
      <c r="B81">
        <v>1</v>
      </c>
      <c r="C81">
        <v>488</v>
      </c>
      <c r="D81">
        <f t="shared" ca="1" si="7"/>
        <v>3</v>
      </c>
      <c r="E81" t="str">
        <f t="shared" si="8"/>
        <v>1-488 arg1</v>
      </c>
      <c r="F81">
        <f t="shared" ca="1" si="9"/>
        <v>2</v>
      </c>
      <c r="G81" t="str">
        <f t="shared" si="10"/>
        <v>1-488 feedback1</v>
      </c>
      <c r="H81">
        <v>1</v>
      </c>
      <c r="I81">
        <f t="shared" ca="1" si="11"/>
        <v>2</v>
      </c>
      <c r="J81" t="str">
        <f t="shared" si="12"/>
        <v>1-488 arg2</v>
      </c>
      <c r="K81" t="str">
        <f t="shared" si="13"/>
        <v>1-488 feedback2</v>
      </c>
      <c r="L81">
        <v>1</v>
      </c>
      <c r="M81" t="s">
        <v>1299</v>
      </c>
      <c r="N81">
        <v>80</v>
      </c>
    </row>
    <row r="82" spans="1:14">
      <c r="A82">
        <v>8</v>
      </c>
      <c r="B82">
        <v>1</v>
      </c>
      <c r="C82">
        <v>489</v>
      </c>
      <c r="D82">
        <f t="shared" ca="1" si="7"/>
        <v>5</v>
      </c>
      <c r="E82" t="str">
        <f t="shared" si="8"/>
        <v>1-489 arg1</v>
      </c>
      <c r="F82">
        <f t="shared" ca="1" si="9"/>
        <v>4</v>
      </c>
      <c r="G82" t="str">
        <f t="shared" si="10"/>
        <v>1-489 feedback1</v>
      </c>
      <c r="H82">
        <v>1</v>
      </c>
      <c r="I82">
        <f t="shared" ca="1" si="11"/>
        <v>5</v>
      </c>
      <c r="J82" t="str">
        <f t="shared" si="12"/>
        <v>1-489 arg2</v>
      </c>
      <c r="K82" t="str">
        <f t="shared" si="13"/>
        <v>1-489 feedback2</v>
      </c>
      <c r="L82">
        <v>1</v>
      </c>
      <c r="M82" t="s">
        <v>1299</v>
      </c>
      <c r="N82">
        <v>81</v>
      </c>
    </row>
    <row r="83" spans="1:14">
      <c r="A83">
        <v>8</v>
      </c>
      <c r="B83">
        <v>1</v>
      </c>
      <c r="C83">
        <v>490</v>
      </c>
      <c r="D83">
        <f t="shared" ca="1" si="7"/>
        <v>5</v>
      </c>
      <c r="E83" t="str">
        <f t="shared" si="8"/>
        <v>1-490 arg1</v>
      </c>
      <c r="F83">
        <f t="shared" ca="1" si="9"/>
        <v>5</v>
      </c>
      <c r="G83" t="str">
        <f t="shared" si="10"/>
        <v>1-490 feedback1</v>
      </c>
      <c r="H83">
        <v>1</v>
      </c>
      <c r="I83">
        <f t="shared" ca="1" si="11"/>
        <v>5</v>
      </c>
      <c r="J83" t="str">
        <f t="shared" si="12"/>
        <v>1-490 arg2</v>
      </c>
      <c r="K83" t="str">
        <f t="shared" si="13"/>
        <v>1-490 feedback2</v>
      </c>
      <c r="L83">
        <v>1</v>
      </c>
      <c r="M83" t="s">
        <v>1299</v>
      </c>
      <c r="N83">
        <v>82</v>
      </c>
    </row>
    <row r="84" spans="1:14">
      <c r="A84">
        <v>8</v>
      </c>
      <c r="B84">
        <v>1</v>
      </c>
      <c r="C84">
        <v>491</v>
      </c>
      <c r="D84">
        <f t="shared" ca="1" si="7"/>
        <v>5</v>
      </c>
      <c r="E84" t="str">
        <f t="shared" si="8"/>
        <v>1-491 arg1</v>
      </c>
      <c r="F84">
        <f t="shared" ca="1" si="9"/>
        <v>5</v>
      </c>
      <c r="G84" t="str">
        <f t="shared" si="10"/>
        <v>1-491 feedback1</v>
      </c>
      <c r="H84">
        <v>1</v>
      </c>
      <c r="I84">
        <f t="shared" ca="1" si="11"/>
        <v>5</v>
      </c>
      <c r="J84" t="str">
        <f t="shared" si="12"/>
        <v>1-491 arg2</v>
      </c>
      <c r="K84" t="str">
        <f t="shared" si="13"/>
        <v>1-491 feedback2</v>
      </c>
      <c r="L84">
        <v>1</v>
      </c>
      <c r="M84" t="s">
        <v>1299</v>
      </c>
      <c r="N84">
        <v>83</v>
      </c>
    </row>
    <row r="85" spans="1:14">
      <c r="A85">
        <v>8</v>
      </c>
      <c r="B85">
        <v>1</v>
      </c>
      <c r="C85">
        <v>492</v>
      </c>
      <c r="D85">
        <f t="shared" ca="1" si="7"/>
        <v>5</v>
      </c>
      <c r="E85" t="str">
        <f t="shared" si="8"/>
        <v>1-492 arg1</v>
      </c>
      <c r="F85">
        <f t="shared" ca="1" si="9"/>
        <v>5</v>
      </c>
      <c r="G85" t="str">
        <f t="shared" si="10"/>
        <v>1-492 feedback1</v>
      </c>
      <c r="H85">
        <v>1</v>
      </c>
      <c r="I85">
        <f t="shared" ca="1" si="11"/>
        <v>5</v>
      </c>
      <c r="J85" t="str">
        <f t="shared" si="12"/>
        <v>1-492 arg2</v>
      </c>
      <c r="K85" t="str">
        <f t="shared" si="13"/>
        <v>1-492 feedback2</v>
      </c>
      <c r="L85">
        <v>1</v>
      </c>
      <c r="M85" t="s">
        <v>1299</v>
      </c>
      <c r="N85">
        <v>84</v>
      </c>
    </row>
    <row r="86" spans="1:14">
      <c r="A86">
        <v>8</v>
      </c>
      <c r="B86">
        <v>1</v>
      </c>
      <c r="C86">
        <v>493</v>
      </c>
      <c r="D86">
        <f t="shared" ca="1" si="7"/>
        <v>4</v>
      </c>
      <c r="E86" t="str">
        <f t="shared" si="8"/>
        <v>1-493 arg1</v>
      </c>
      <c r="F86">
        <f t="shared" ca="1" si="9"/>
        <v>4</v>
      </c>
      <c r="G86" t="str">
        <f t="shared" si="10"/>
        <v>1-493 feedback1</v>
      </c>
      <c r="H86">
        <v>1</v>
      </c>
      <c r="I86">
        <f t="shared" ca="1" si="11"/>
        <v>5</v>
      </c>
      <c r="J86" t="str">
        <f t="shared" si="12"/>
        <v>1-493 arg2</v>
      </c>
      <c r="K86" t="str">
        <f t="shared" si="13"/>
        <v>1-493 feedback2</v>
      </c>
      <c r="L86">
        <v>1</v>
      </c>
      <c r="M86" t="s">
        <v>1299</v>
      </c>
      <c r="N86">
        <v>85</v>
      </c>
    </row>
    <row r="87" spans="1:14">
      <c r="A87">
        <v>8</v>
      </c>
      <c r="B87">
        <f>B2+1</f>
        <v>2</v>
      </c>
      <c r="C87">
        <v>409</v>
      </c>
      <c r="D87">
        <f t="shared" ca="1" si="7"/>
        <v>3</v>
      </c>
      <c r="E87" t="str">
        <f t="shared" si="8"/>
        <v>2-409 arg1</v>
      </c>
      <c r="F87">
        <f t="shared" ca="1" si="9"/>
        <v>3</v>
      </c>
      <c r="G87" t="str">
        <f t="shared" si="10"/>
        <v>2-409 feedback1</v>
      </c>
      <c r="H87">
        <v>1</v>
      </c>
      <c r="I87">
        <f t="shared" ca="1" si="11"/>
        <v>4</v>
      </c>
      <c r="J87" t="str">
        <f t="shared" si="12"/>
        <v>2-409 arg2</v>
      </c>
      <c r="K87" t="str">
        <f t="shared" si="13"/>
        <v>2-409 feedback2</v>
      </c>
      <c r="L87">
        <v>1</v>
      </c>
      <c r="M87" t="s">
        <v>1299</v>
      </c>
      <c r="N87">
        <v>86</v>
      </c>
    </row>
    <row r="88" spans="1:14">
      <c r="A88">
        <v>8</v>
      </c>
      <c r="B88">
        <f t="shared" ref="B88:B151" si="14">B3+1</f>
        <v>2</v>
      </c>
      <c r="C88">
        <v>410</v>
      </c>
      <c r="D88">
        <f t="shared" ca="1" si="7"/>
        <v>3</v>
      </c>
      <c r="E88" t="str">
        <f t="shared" si="8"/>
        <v>2-410 arg1</v>
      </c>
      <c r="F88">
        <f t="shared" ca="1" si="9"/>
        <v>1</v>
      </c>
      <c r="G88" t="str">
        <f t="shared" si="10"/>
        <v>2-410 feedback1</v>
      </c>
      <c r="H88">
        <v>1</v>
      </c>
      <c r="I88">
        <f t="shared" ca="1" si="11"/>
        <v>2</v>
      </c>
      <c r="J88" t="str">
        <f t="shared" si="12"/>
        <v>2-410 arg2</v>
      </c>
      <c r="K88" t="str">
        <f t="shared" si="13"/>
        <v>2-410 feedback2</v>
      </c>
      <c r="L88">
        <v>1</v>
      </c>
      <c r="M88" t="s">
        <v>1299</v>
      </c>
      <c r="N88">
        <v>87</v>
      </c>
    </row>
    <row r="89" spans="1:14">
      <c r="A89">
        <v>8</v>
      </c>
      <c r="B89">
        <f t="shared" si="14"/>
        <v>2</v>
      </c>
      <c r="C89">
        <v>411</v>
      </c>
      <c r="D89">
        <f t="shared" ca="1" si="7"/>
        <v>4</v>
      </c>
      <c r="E89" t="str">
        <f t="shared" si="8"/>
        <v>2-411 arg1</v>
      </c>
      <c r="F89">
        <f t="shared" ca="1" si="9"/>
        <v>2</v>
      </c>
      <c r="G89" t="str">
        <f t="shared" si="10"/>
        <v>2-411 feedback1</v>
      </c>
      <c r="H89">
        <v>1</v>
      </c>
      <c r="I89">
        <f t="shared" ca="1" si="11"/>
        <v>3</v>
      </c>
      <c r="J89" t="str">
        <f t="shared" si="12"/>
        <v>2-411 arg2</v>
      </c>
      <c r="K89" t="str">
        <f t="shared" si="13"/>
        <v>2-411 feedback2</v>
      </c>
      <c r="L89">
        <v>1</v>
      </c>
      <c r="M89" t="s">
        <v>1299</v>
      </c>
      <c r="N89">
        <v>88</v>
      </c>
    </row>
    <row r="90" spans="1:14">
      <c r="A90">
        <v>8</v>
      </c>
      <c r="B90">
        <f t="shared" si="14"/>
        <v>2</v>
      </c>
      <c r="C90">
        <v>412</v>
      </c>
      <c r="D90">
        <f t="shared" ca="1" si="7"/>
        <v>5</v>
      </c>
      <c r="E90" t="str">
        <f t="shared" si="8"/>
        <v>2-412 arg1</v>
      </c>
      <c r="F90">
        <f t="shared" ca="1" si="9"/>
        <v>3</v>
      </c>
      <c r="G90" t="str">
        <f t="shared" si="10"/>
        <v>2-412 feedback1</v>
      </c>
      <c r="H90">
        <v>1</v>
      </c>
      <c r="I90">
        <f t="shared" ca="1" si="11"/>
        <v>4</v>
      </c>
      <c r="J90" t="str">
        <f t="shared" si="12"/>
        <v>2-412 arg2</v>
      </c>
      <c r="K90" t="str">
        <f t="shared" si="13"/>
        <v>2-412 feedback2</v>
      </c>
      <c r="L90">
        <v>1</v>
      </c>
      <c r="M90" t="s">
        <v>1299</v>
      </c>
      <c r="N90">
        <v>89</v>
      </c>
    </row>
    <row r="91" spans="1:14">
      <c r="A91">
        <v>8</v>
      </c>
      <c r="B91">
        <f t="shared" si="14"/>
        <v>2</v>
      </c>
      <c r="C91">
        <v>413</v>
      </c>
      <c r="D91">
        <f t="shared" ca="1" si="7"/>
        <v>3</v>
      </c>
      <c r="E91" t="str">
        <f t="shared" si="8"/>
        <v>2-413 arg1</v>
      </c>
      <c r="F91">
        <f t="shared" ca="1" si="9"/>
        <v>2</v>
      </c>
      <c r="G91" t="str">
        <f t="shared" si="10"/>
        <v>2-413 feedback1</v>
      </c>
      <c r="H91">
        <v>1</v>
      </c>
      <c r="I91">
        <f t="shared" ca="1" si="11"/>
        <v>2</v>
      </c>
      <c r="J91" t="str">
        <f t="shared" si="12"/>
        <v>2-413 arg2</v>
      </c>
      <c r="K91" t="str">
        <f t="shared" si="13"/>
        <v>2-413 feedback2</v>
      </c>
      <c r="L91">
        <v>1</v>
      </c>
      <c r="M91" t="s">
        <v>1299</v>
      </c>
      <c r="N91">
        <v>90</v>
      </c>
    </row>
    <row r="92" spans="1:14">
      <c r="A92">
        <v>8</v>
      </c>
      <c r="B92">
        <f t="shared" si="14"/>
        <v>2</v>
      </c>
      <c r="C92">
        <v>414</v>
      </c>
      <c r="D92">
        <f t="shared" ca="1" si="7"/>
        <v>4</v>
      </c>
      <c r="E92" t="str">
        <f t="shared" si="8"/>
        <v>2-414 arg1</v>
      </c>
      <c r="F92">
        <f t="shared" ca="1" si="9"/>
        <v>3</v>
      </c>
      <c r="G92" t="str">
        <f t="shared" si="10"/>
        <v>2-414 feedback1</v>
      </c>
      <c r="H92">
        <v>1</v>
      </c>
      <c r="I92">
        <f t="shared" ca="1" si="11"/>
        <v>3</v>
      </c>
      <c r="J92" t="str">
        <f t="shared" si="12"/>
        <v>2-414 arg2</v>
      </c>
      <c r="K92" t="str">
        <f t="shared" si="13"/>
        <v>2-414 feedback2</v>
      </c>
      <c r="L92">
        <v>1</v>
      </c>
      <c r="M92" t="s">
        <v>1299</v>
      </c>
      <c r="N92">
        <v>91</v>
      </c>
    </row>
    <row r="93" spans="1:14">
      <c r="A93">
        <v>8</v>
      </c>
      <c r="B93">
        <f t="shared" si="14"/>
        <v>2</v>
      </c>
      <c r="C93">
        <v>415</v>
      </c>
      <c r="D93">
        <f t="shared" ca="1" si="7"/>
        <v>4</v>
      </c>
      <c r="E93" t="str">
        <f t="shared" si="8"/>
        <v>2-415 arg1</v>
      </c>
      <c r="F93">
        <f t="shared" ca="1" si="9"/>
        <v>3</v>
      </c>
      <c r="G93" t="str">
        <f t="shared" si="10"/>
        <v>2-415 feedback1</v>
      </c>
      <c r="H93">
        <v>1</v>
      </c>
      <c r="I93">
        <f t="shared" ca="1" si="11"/>
        <v>4</v>
      </c>
      <c r="J93" t="str">
        <f t="shared" si="12"/>
        <v>2-415 arg2</v>
      </c>
      <c r="K93" t="str">
        <f t="shared" si="13"/>
        <v>2-415 feedback2</v>
      </c>
      <c r="L93">
        <v>1</v>
      </c>
      <c r="M93" t="s">
        <v>1299</v>
      </c>
      <c r="N93">
        <v>92</v>
      </c>
    </row>
    <row r="94" spans="1:14">
      <c r="A94">
        <v>8</v>
      </c>
      <c r="B94">
        <f t="shared" si="14"/>
        <v>2</v>
      </c>
      <c r="C94">
        <v>416</v>
      </c>
      <c r="D94">
        <f t="shared" ca="1" si="7"/>
        <v>4</v>
      </c>
      <c r="E94" t="str">
        <f t="shared" si="8"/>
        <v>2-416 arg1</v>
      </c>
      <c r="F94">
        <f t="shared" ca="1" si="9"/>
        <v>3</v>
      </c>
      <c r="G94" t="str">
        <f t="shared" si="10"/>
        <v>2-416 feedback1</v>
      </c>
      <c r="H94">
        <v>1</v>
      </c>
      <c r="I94">
        <f t="shared" ca="1" si="11"/>
        <v>3</v>
      </c>
      <c r="J94" t="str">
        <f t="shared" si="12"/>
        <v>2-416 arg2</v>
      </c>
      <c r="K94" t="str">
        <f t="shared" si="13"/>
        <v>2-416 feedback2</v>
      </c>
      <c r="L94">
        <v>1</v>
      </c>
      <c r="M94" t="s">
        <v>1299</v>
      </c>
      <c r="N94">
        <v>93</v>
      </c>
    </row>
    <row r="95" spans="1:14">
      <c r="A95">
        <v>8</v>
      </c>
      <c r="B95">
        <f t="shared" si="14"/>
        <v>2</v>
      </c>
      <c r="C95">
        <v>417</v>
      </c>
      <c r="D95">
        <f t="shared" ca="1" si="7"/>
        <v>3</v>
      </c>
      <c r="E95" t="str">
        <f t="shared" si="8"/>
        <v>2-417 arg1</v>
      </c>
      <c r="F95">
        <f t="shared" ca="1" si="9"/>
        <v>2</v>
      </c>
      <c r="G95" t="str">
        <f t="shared" si="10"/>
        <v>2-417 feedback1</v>
      </c>
      <c r="H95">
        <v>1</v>
      </c>
      <c r="I95">
        <f t="shared" ca="1" si="11"/>
        <v>2</v>
      </c>
      <c r="J95" t="str">
        <f t="shared" si="12"/>
        <v>2-417 arg2</v>
      </c>
      <c r="K95" t="str">
        <f t="shared" si="13"/>
        <v>2-417 feedback2</v>
      </c>
      <c r="L95">
        <v>1</v>
      </c>
      <c r="M95" t="s">
        <v>1299</v>
      </c>
      <c r="N95">
        <v>94</v>
      </c>
    </row>
    <row r="96" spans="1:14">
      <c r="A96">
        <v>8</v>
      </c>
      <c r="B96">
        <f t="shared" si="14"/>
        <v>2</v>
      </c>
      <c r="C96">
        <v>418</v>
      </c>
      <c r="D96">
        <f t="shared" ca="1" si="7"/>
        <v>4</v>
      </c>
      <c r="E96" t="str">
        <f t="shared" si="8"/>
        <v>2-418 arg1</v>
      </c>
      <c r="F96">
        <f t="shared" ca="1" si="9"/>
        <v>4</v>
      </c>
      <c r="G96" t="str">
        <f t="shared" si="10"/>
        <v>2-418 feedback1</v>
      </c>
      <c r="H96">
        <v>1</v>
      </c>
      <c r="I96">
        <f t="shared" ca="1" si="11"/>
        <v>5</v>
      </c>
      <c r="J96" t="str">
        <f t="shared" si="12"/>
        <v>2-418 arg2</v>
      </c>
      <c r="K96" t="str">
        <f t="shared" si="13"/>
        <v>2-418 feedback2</v>
      </c>
      <c r="L96">
        <v>1</v>
      </c>
      <c r="M96" t="s">
        <v>1299</v>
      </c>
      <c r="N96">
        <v>95</v>
      </c>
    </row>
    <row r="97" spans="1:14">
      <c r="A97">
        <v>8</v>
      </c>
      <c r="B97">
        <f t="shared" si="14"/>
        <v>2</v>
      </c>
      <c r="C97">
        <v>419</v>
      </c>
      <c r="D97">
        <f t="shared" ca="1" si="7"/>
        <v>5</v>
      </c>
      <c r="E97" t="str">
        <f t="shared" si="8"/>
        <v>2-419 arg1</v>
      </c>
      <c r="F97">
        <f t="shared" ca="1" si="9"/>
        <v>4</v>
      </c>
      <c r="G97" t="str">
        <f t="shared" si="10"/>
        <v>2-419 feedback1</v>
      </c>
      <c r="H97">
        <v>1</v>
      </c>
      <c r="I97">
        <f t="shared" ca="1" si="11"/>
        <v>5</v>
      </c>
      <c r="J97" t="str">
        <f t="shared" si="12"/>
        <v>2-419 arg2</v>
      </c>
      <c r="K97" t="str">
        <f t="shared" si="13"/>
        <v>2-419 feedback2</v>
      </c>
      <c r="L97">
        <v>1</v>
      </c>
      <c r="M97" t="s">
        <v>1299</v>
      </c>
      <c r="N97">
        <v>96</v>
      </c>
    </row>
    <row r="98" spans="1:14">
      <c r="A98">
        <v>8</v>
      </c>
      <c r="B98">
        <f t="shared" si="14"/>
        <v>2</v>
      </c>
      <c r="C98">
        <v>420</v>
      </c>
      <c r="D98">
        <f t="shared" ca="1" si="7"/>
        <v>4</v>
      </c>
      <c r="E98" t="str">
        <f t="shared" si="8"/>
        <v>2-420 arg1</v>
      </c>
      <c r="F98">
        <f t="shared" ca="1" si="9"/>
        <v>3</v>
      </c>
      <c r="G98" t="str">
        <f t="shared" si="10"/>
        <v>2-420 feedback1</v>
      </c>
      <c r="H98">
        <v>1</v>
      </c>
      <c r="I98">
        <f t="shared" ca="1" si="11"/>
        <v>3</v>
      </c>
      <c r="J98" t="str">
        <f t="shared" si="12"/>
        <v>2-420 arg2</v>
      </c>
      <c r="K98" t="str">
        <f t="shared" si="13"/>
        <v>2-420 feedback2</v>
      </c>
      <c r="L98">
        <v>1</v>
      </c>
      <c r="M98" t="s">
        <v>1299</v>
      </c>
      <c r="N98">
        <v>97</v>
      </c>
    </row>
    <row r="99" spans="1:14">
      <c r="A99">
        <v>8</v>
      </c>
      <c r="B99">
        <f t="shared" si="14"/>
        <v>2</v>
      </c>
      <c r="C99">
        <v>421</v>
      </c>
      <c r="D99">
        <f t="shared" ca="1" si="7"/>
        <v>4</v>
      </c>
      <c r="E99" t="str">
        <f t="shared" si="8"/>
        <v>2-421 arg1</v>
      </c>
      <c r="F99">
        <f t="shared" ca="1" si="9"/>
        <v>4</v>
      </c>
      <c r="G99" t="str">
        <f t="shared" si="10"/>
        <v>2-421 feedback1</v>
      </c>
      <c r="H99">
        <v>1</v>
      </c>
      <c r="I99">
        <f t="shared" ca="1" si="11"/>
        <v>4</v>
      </c>
      <c r="J99" t="str">
        <f t="shared" si="12"/>
        <v>2-421 arg2</v>
      </c>
      <c r="K99" t="str">
        <f t="shared" si="13"/>
        <v>2-421 feedback2</v>
      </c>
      <c r="L99">
        <v>1</v>
      </c>
      <c r="M99" t="s">
        <v>1299</v>
      </c>
      <c r="N99">
        <v>98</v>
      </c>
    </row>
    <row r="100" spans="1:14">
      <c r="A100">
        <v>8</v>
      </c>
      <c r="B100">
        <f t="shared" si="14"/>
        <v>2</v>
      </c>
      <c r="C100">
        <v>422</v>
      </c>
      <c r="D100">
        <f t="shared" ca="1" si="7"/>
        <v>4</v>
      </c>
      <c r="E100" t="str">
        <f t="shared" si="8"/>
        <v>2-422 arg1</v>
      </c>
      <c r="F100">
        <f t="shared" ca="1" si="9"/>
        <v>4</v>
      </c>
      <c r="G100" t="str">
        <f t="shared" si="10"/>
        <v>2-422 feedback1</v>
      </c>
      <c r="H100">
        <v>1</v>
      </c>
      <c r="I100">
        <f t="shared" ca="1" si="11"/>
        <v>4</v>
      </c>
      <c r="J100" t="str">
        <f t="shared" si="12"/>
        <v>2-422 arg2</v>
      </c>
      <c r="K100" t="str">
        <f t="shared" si="13"/>
        <v>2-422 feedback2</v>
      </c>
      <c r="L100">
        <v>1</v>
      </c>
      <c r="M100" t="s">
        <v>1299</v>
      </c>
      <c r="N100">
        <v>99</v>
      </c>
    </row>
    <row r="101" spans="1:14">
      <c r="A101">
        <v>8</v>
      </c>
      <c r="B101">
        <f t="shared" si="14"/>
        <v>2</v>
      </c>
      <c r="C101">
        <v>423</v>
      </c>
      <c r="D101">
        <f t="shared" ca="1" si="7"/>
        <v>3</v>
      </c>
      <c r="E101" t="str">
        <f t="shared" si="8"/>
        <v>2-423 arg1</v>
      </c>
      <c r="F101">
        <f t="shared" ca="1" si="9"/>
        <v>3</v>
      </c>
      <c r="G101" t="str">
        <f t="shared" si="10"/>
        <v>2-423 feedback1</v>
      </c>
      <c r="H101">
        <v>1</v>
      </c>
      <c r="I101">
        <f t="shared" ca="1" si="11"/>
        <v>4</v>
      </c>
      <c r="J101" t="str">
        <f t="shared" si="12"/>
        <v>2-423 arg2</v>
      </c>
      <c r="K101" t="str">
        <f t="shared" si="13"/>
        <v>2-423 feedback2</v>
      </c>
      <c r="L101">
        <v>1</v>
      </c>
      <c r="M101" t="s">
        <v>1299</v>
      </c>
      <c r="N101">
        <v>100</v>
      </c>
    </row>
    <row r="102" spans="1:14">
      <c r="A102">
        <v>8</v>
      </c>
      <c r="B102">
        <f t="shared" si="14"/>
        <v>2</v>
      </c>
      <c r="C102">
        <v>424</v>
      </c>
      <c r="D102">
        <f t="shared" ca="1" si="7"/>
        <v>3</v>
      </c>
      <c r="E102" t="str">
        <f t="shared" si="8"/>
        <v>2-424 arg1</v>
      </c>
      <c r="F102">
        <f t="shared" ca="1" si="9"/>
        <v>1</v>
      </c>
      <c r="G102" t="str">
        <f t="shared" si="10"/>
        <v>2-424 feedback1</v>
      </c>
      <c r="H102">
        <v>1</v>
      </c>
      <c r="I102">
        <f t="shared" ca="1" si="11"/>
        <v>1</v>
      </c>
      <c r="J102" t="str">
        <f t="shared" si="12"/>
        <v>2-424 arg2</v>
      </c>
      <c r="K102" t="str">
        <f t="shared" si="13"/>
        <v>2-424 feedback2</v>
      </c>
      <c r="L102">
        <v>1</v>
      </c>
      <c r="M102" t="s">
        <v>1299</v>
      </c>
      <c r="N102">
        <v>101</v>
      </c>
    </row>
    <row r="103" spans="1:14">
      <c r="A103">
        <v>8</v>
      </c>
      <c r="B103">
        <f t="shared" si="14"/>
        <v>2</v>
      </c>
      <c r="C103">
        <v>425</v>
      </c>
      <c r="D103">
        <f t="shared" ca="1" si="7"/>
        <v>4</v>
      </c>
      <c r="E103" t="str">
        <f t="shared" si="8"/>
        <v>2-425 arg1</v>
      </c>
      <c r="F103">
        <f t="shared" ca="1" si="9"/>
        <v>3</v>
      </c>
      <c r="G103" t="str">
        <f t="shared" si="10"/>
        <v>2-425 feedback1</v>
      </c>
      <c r="H103">
        <v>1</v>
      </c>
      <c r="I103">
        <f t="shared" ca="1" si="11"/>
        <v>3</v>
      </c>
      <c r="J103" t="str">
        <f t="shared" si="12"/>
        <v>2-425 arg2</v>
      </c>
      <c r="K103" t="str">
        <f t="shared" si="13"/>
        <v>2-425 feedback2</v>
      </c>
      <c r="L103">
        <v>1</v>
      </c>
      <c r="M103" t="s">
        <v>1299</v>
      </c>
      <c r="N103">
        <v>102</v>
      </c>
    </row>
    <row r="104" spans="1:14">
      <c r="A104">
        <v>8</v>
      </c>
      <c r="B104">
        <f t="shared" si="14"/>
        <v>2</v>
      </c>
      <c r="C104">
        <v>426</v>
      </c>
      <c r="D104">
        <f t="shared" ca="1" si="7"/>
        <v>4</v>
      </c>
      <c r="E104" t="str">
        <f t="shared" si="8"/>
        <v>2-426 arg1</v>
      </c>
      <c r="F104">
        <f t="shared" ca="1" si="9"/>
        <v>2</v>
      </c>
      <c r="G104" t="str">
        <f t="shared" si="10"/>
        <v>2-426 feedback1</v>
      </c>
      <c r="H104">
        <v>1</v>
      </c>
      <c r="I104">
        <f t="shared" ca="1" si="11"/>
        <v>2</v>
      </c>
      <c r="J104" t="str">
        <f t="shared" si="12"/>
        <v>2-426 arg2</v>
      </c>
      <c r="K104" t="str">
        <f t="shared" si="13"/>
        <v>2-426 feedback2</v>
      </c>
      <c r="L104">
        <v>1</v>
      </c>
      <c r="M104" t="s">
        <v>1299</v>
      </c>
      <c r="N104">
        <v>103</v>
      </c>
    </row>
    <row r="105" spans="1:14">
      <c r="A105">
        <v>8</v>
      </c>
      <c r="B105">
        <f t="shared" si="14"/>
        <v>2</v>
      </c>
      <c r="C105">
        <v>427</v>
      </c>
      <c r="D105">
        <f t="shared" ca="1" si="7"/>
        <v>5</v>
      </c>
      <c r="E105" t="str">
        <f t="shared" si="8"/>
        <v>2-427 arg1</v>
      </c>
      <c r="F105">
        <f t="shared" ca="1" si="9"/>
        <v>4</v>
      </c>
      <c r="G105" t="str">
        <f t="shared" si="10"/>
        <v>2-427 feedback1</v>
      </c>
      <c r="H105">
        <v>1</v>
      </c>
      <c r="I105">
        <f t="shared" ca="1" si="11"/>
        <v>5</v>
      </c>
      <c r="J105" t="str">
        <f t="shared" si="12"/>
        <v>2-427 arg2</v>
      </c>
      <c r="K105" t="str">
        <f t="shared" si="13"/>
        <v>2-427 feedback2</v>
      </c>
      <c r="L105">
        <v>1</v>
      </c>
      <c r="M105" t="s">
        <v>1299</v>
      </c>
      <c r="N105">
        <v>104</v>
      </c>
    </row>
    <row r="106" spans="1:14">
      <c r="A106">
        <v>8</v>
      </c>
      <c r="B106">
        <f t="shared" si="14"/>
        <v>2</v>
      </c>
      <c r="C106">
        <v>428</v>
      </c>
      <c r="D106">
        <f t="shared" ca="1" si="7"/>
        <v>4</v>
      </c>
      <c r="E106" t="str">
        <f t="shared" si="8"/>
        <v>2-428 arg1</v>
      </c>
      <c r="F106">
        <f t="shared" ca="1" si="9"/>
        <v>3</v>
      </c>
      <c r="G106" t="str">
        <f t="shared" si="10"/>
        <v>2-428 feedback1</v>
      </c>
      <c r="H106">
        <v>1</v>
      </c>
      <c r="I106">
        <f t="shared" ca="1" si="11"/>
        <v>3</v>
      </c>
      <c r="J106" t="str">
        <f t="shared" si="12"/>
        <v>2-428 arg2</v>
      </c>
      <c r="K106" t="str">
        <f t="shared" si="13"/>
        <v>2-428 feedback2</v>
      </c>
      <c r="L106">
        <v>1</v>
      </c>
      <c r="M106" t="s">
        <v>1299</v>
      </c>
      <c r="N106">
        <v>105</v>
      </c>
    </row>
    <row r="107" spans="1:14">
      <c r="A107">
        <v>8</v>
      </c>
      <c r="B107">
        <f t="shared" si="14"/>
        <v>2</v>
      </c>
      <c r="C107">
        <v>429</v>
      </c>
      <c r="D107">
        <f t="shared" ca="1" si="7"/>
        <v>3</v>
      </c>
      <c r="E107" t="str">
        <f t="shared" si="8"/>
        <v>2-429 arg1</v>
      </c>
      <c r="F107">
        <f t="shared" ca="1" si="9"/>
        <v>1</v>
      </c>
      <c r="G107" t="str">
        <f t="shared" si="10"/>
        <v>2-429 feedback1</v>
      </c>
      <c r="H107">
        <v>1</v>
      </c>
      <c r="I107">
        <f t="shared" ca="1" si="11"/>
        <v>1</v>
      </c>
      <c r="J107" t="str">
        <f t="shared" si="12"/>
        <v>2-429 arg2</v>
      </c>
      <c r="K107" t="str">
        <f t="shared" si="13"/>
        <v>2-429 feedback2</v>
      </c>
      <c r="L107">
        <v>1</v>
      </c>
      <c r="M107" t="s">
        <v>1299</v>
      </c>
      <c r="N107">
        <v>106</v>
      </c>
    </row>
    <row r="108" spans="1:14">
      <c r="A108">
        <v>8</v>
      </c>
      <c r="B108">
        <f t="shared" si="14"/>
        <v>2</v>
      </c>
      <c r="C108">
        <v>430</v>
      </c>
      <c r="D108">
        <f t="shared" ca="1" si="7"/>
        <v>3</v>
      </c>
      <c r="E108" t="str">
        <f t="shared" si="8"/>
        <v>2-430 arg1</v>
      </c>
      <c r="F108">
        <f t="shared" ca="1" si="9"/>
        <v>2</v>
      </c>
      <c r="G108" t="str">
        <f t="shared" si="10"/>
        <v>2-430 feedback1</v>
      </c>
      <c r="H108">
        <v>1</v>
      </c>
      <c r="I108">
        <f t="shared" ca="1" si="11"/>
        <v>3</v>
      </c>
      <c r="J108" t="str">
        <f t="shared" si="12"/>
        <v>2-430 arg2</v>
      </c>
      <c r="K108" t="str">
        <f t="shared" si="13"/>
        <v>2-430 feedback2</v>
      </c>
      <c r="L108">
        <v>1</v>
      </c>
      <c r="M108" t="s">
        <v>1299</v>
      </c>
      <c r="N108">
        <v>107</v>
      </c>
    </row>
    <row r="109" spans="1:14">
      <c r="A109">
        <v>8</v>
      </c>
      <c r="B109">
        <f t="shared" si="14"/>
        <v>2</v>
      </c>
      <c r="C109">
        <v>431</v>
      </c>
      <c r="D109">
        <f t="shared" ca="1" si="7"/>
        <v>4</v>
      </c>
      <c r="E109" t="str">
        <f t="shared" si="8"/>
        <v>2-431 arg1</v>
      </c>
      <c r="F109">
        <f t="shared" ca="1" si="9"/>
        <v>2</v>
      </c>
      <c r="G109" t="str">
        <f t="shared" si="10"/>
        <v>2-431 feedback1</v>
      </c>
      <c r="H109">
        <v>1</v>
      </c>
      <c r="I109">
        <f t="shared" ca="1" si="11"/>
        <v>3</v>
      </c>
      <c r="J109" t="str">
        <f t="shared" si="12"/>
        <v>2-431 arg2</v>
      </c>
      <c r="K109" t="str">
        <f t="shared" si="13"/>
        <v>2-431 feedback2</v>
      </c>
      <c r="L109">
        <v>1</v>
      </c>
      <c r="M109" t="s">
        <v>1299</v>
      </c>
      <c r="N109">
        <v>108</v>
      </c>
    </row>
    <row r="110" spans="1:14">
      <c r="A110">
        <v>8</v>
      </c>
      <c r="B110">
        <f t="shared" si="14"/>
        <v>2</v>
      </c>
      <c r="C110">
        <v>432</v>
      </c>
      <c r="D110">
        <f t="shared" ca="1" si="7"/>
        <v>3</v>
      </c>
      <c r="E110" t="str">
        <f t="shared" si="8"/>
        <v>2-432 arg1</v>
      </c>
      <c r="F110">
        <f t="shared" ca="1" si="9"/>
        <v>2</v>
      </c>
      <c r="G110" t="str">
        <f t="shared" si="10"/>
        <v>2-432 feedback1</v>
      </c>
      <c r="H110">
        <v>1</v>
      </c>
      <c r="I110">
        <f t="shared" ca="1" si="11"/>
        <v>3</v>
      </c>
      <c r="J110" t="str">
        <f t="shared" si="12"/>
        <v>2-432 arg2</v>
      </c>
      <c r="K110" t="str">
        <f t="shared" si="13"/>
        <v>2-432 feedback2</v>
      </c>
      <c r="L110">
        <v>1</v>
      </c>
      <c r="M110" t="s">
        <v>1299</v>
      </c>
      <c r="N110">
        <v>109</v>
      </c>
    </row>
    <row r="111" spans="1:14">
      <c r="A111">
        <v>8</v>
      </c>
      <c r="B111">
        <f t="shared" si="14"/>
        <v>2</v>
      </c>
      <c r="C111">
        <v>433</v>
      </c>
      <c r="D111">
        <f t="shared" ca="1" si="7"/>
        <v>3</v>
      </c>
      <c r="E111" t="str">
        <f t="shared" si="8"/>
        <v>2-433 arg1</v>
      </c>
      <c r="F111">
        <f t="shared" ca="1" si="9"/>
        <v>1</v>
      </c>
      <c r="G111" t="str">
        <f t="shared" si="10"/>
        <v>2-433 feedback1</v>
      </c>
      <c r="H111">
        <v>1</v>
      </c>
      <c r="I111">
        <f t="shared" ca="1" si="11"/>
        <v>2</v>
      </c>
      <c r="J111" t="str">
        <f t="shared" si="12"/>
        <v>2-433 arg2</v>
      </c>
      <c r="K111" t="str">
        <f t="shared" si="13"/>
        <v>2-433 feedback2</v>
      </c>
      <c r="L111">
        <v>1</v>
      </c>
      <c r="M111" t="s">
        <v>1299</v>
      </c>
      <c r="N111">
        <v>110</v>
      </c>
    </row>
    <row r="112" spans="1:14">
      <c r="A112">
        <v>8</v>
      </c>
      <c r="B112">
        <f t="shared" si="14"/>
        <v>2</v>
      </c>
      <c r="C112">
        <v>434</v>
      </c>
      <c r="D112">
        <f t="shared" ca="1" si="7"/>
        <v>4</v>
      </c>
      <c r="E112" t="str">
        <f t="shared" si="8"/>
        <v>2-434 arg1</v>
      </c>
      <c r="F112">
        <f t="shared" ca="1" si="9"/>
        <v>3</v>
      </c>
      <c r="G112" t="str">
        <f t="shared" si="10"/>
        <v>2-434 feedback1</v>
      </c>
      <c r="H112">
        <v>1</v>
      </c>
      <c r="I112">
        <f t="shared" ca="1" si="11"/>
        <v>4</v>
      </c>
      <c r="J112" t="str">
        <f t="shared" si="12"/>
        <v>2-434 arg2</v>
      </c>
      <c r="K112" t="str">
        <f t="shared" si="13"/>
        <v>2-434 feedback2</v>
      </c>
      <c r="L112">
        <v>1</v>
      </c>
      <c r="M112" t="s">
        <v>1299</v>
      </c>
      <c r="N112">
        <v>111</v>
      </c>
    </row>
    <row r="113" spans="1:14">
      <c r="A113">
        <v>8</v>
      </c>
      <c r="B113">
        <f t="shared" si="14"/>
        <v>2</v>
      </c>
      <c r="C113">
        <v>435</v>
      </c>
      <c r="D113">
        <f t="shared" ca="1" si="7"/>
        <v>4</v>
      </c>
      <c r="E113" t="str">
        <f t="shared" si="8"/>
        <v>2-435 arg1</v>
      </c>
      <c r="F113">
        <f t="shared" ca="1" si="9"/>
        <v>3</v>
      </c>
      <c r="G113" t="str">
        <f t="shared" si="10"/>
        <v>2-435 feedback1</v>
      </c>
      <c r="H113">
        <v>1</v>
      </c>
      <c r="I113">
        <f t="shared" ca="1" si="11"/>
        <v>4</v>
      </c>
      <c r="J113" t="str">
        <f t="shared" si="12"/>
        <v>2-435 arg2</v>
      </c>
      <c r="K113" t="str">
        <f t="shared" si="13"/>
        <v>2-435 feedback2</v>
      </c>
      <c r="L113">
        <v>1</v>
      </c>
      <c r="M113" t="s">
        <v>1299</v>
      </c>
      <c r="N113">
        <v>112</v>
      </c>
    </row>
    <row r="114" spans="1:14">
      <c r="A114">
        <v>8</v>
      </c>
      <c r="B114">
        <f t="shared" si="14"/>
        <v>2</v>
      </c>
      <c r="C114">
        <v>436</v>
      </c>
      <c r="D114">
        <f t="shared" ca="1" si="7"/>
        <v>4</v>
      </c>
      <c r="E114" t="str">
        <f t="shared" si="8"/>
        <v>2-436 arg1</v>
      </c>
      <c r="F114">
        <f t="shared" ca="1" si="9"/>
        <v>3</v>
      </c>
      <c r="G114" t="str">
        <f t="shared" si="10"/>
        <v>2-436 feedback1</v>
      </c>
      <c r="H114">
        <v>1</v>
      </c>
      <c r="I114">
        <f t="shared" ca="1" si="11"/>
        <v>3</v>
      </c>
      <c r="J114" t="str">
        <f t="shared" si="12"/>
        <v>2-436 arg2</v>
      </c>
      <c r="K114" t="str">
        <f t="shared" si="13"/>
        <v>2-436 feedback2</v>
      </c>
      <c r="L114">
        <v>1</v>
      </c>
      <c r="M114" t="s">
        <v>1299</v>
      </c>
      <c r="N114">
        <v>113</v>
      </c>
    </row>
    <row r="115" spans="1:14">
      <c r="A115">
        <v>8</v>
      </c>
      <c r="B115">
        <f t="shared" si="14"/>
        <v>2</v>
      </c>
      <c r="C115">
        <v>437</v>
      </c>
      <c r="D115">
        <f t="shared" ca="1" si="7"/>
        <v>3</v>
      </c>
      <c r="E115" t="str">
        <f t="shared" si="8"/>
        <v>2-437 arg1</v>
      </c>
      <c r="F115">
        <f t="shared" ca="1" si="9"/>
        <v>2</v>
      </c>
      <c r="G115" t="str">
        <f t="shared" si="10"/>
        <v>2-437 feedback1</v>
      </c>
      <c r="H115">
        <v>1</v>
      </c>
      <c r="I115">
        <f t="shared" ca="1" si="11"/>
        <v>2</v>
      </c>
      <c r="J115" t="str">
        <f t="shared" si="12"/>
        <v>2-437 arg2</v>
      </c>
      <c r="K115" t="str">
        <f t="shared" si="13"/>
        <v>2-437 feedback2</v>
      </c>
      <c r="L115">
        <v>1</v>
      </c>
      <c r="M115" t="s">
        <v>1299</v>
      </c>
      <c r="N115">
        <v>114</v>
      </c>
    </row>
    <row r="116" spans="1:14">
      <c r="A116">
        <v>8</v>
      </c>
      <c r="B116">
        <f t="shared" si="14"/>
        <v>2</v>
      </c>
      <c r="C116">
        <v>438</v>
      </c>
      <c r="D116">
        <f t="shared" ca="1" si="7"/>
        <v>4</v>
      </c>
      <c r="E116" t="str">
        <f t="shared" si="8"/>
        <v>2-438 arg1</v>
      </c>
      <c r="F116">
        <f t="shared" ca="1" si="9"/>
        <v>3</v>
      </c>
      <c r="G116" t="str">
        <f t="shared" si="10"/>
        <v>2-438 feedback1</v>
      </c>
      <c r="H116">
        <v>1</v>
      </c>
      <c r="I116">
        <f t="shared" ca="1" si="11"/>
        <v>3</v>
      </c>
      <c r="J116" t="str">
        <f t="shared" si="12"/>
        <v>2-438 arg2</v>
      </c>
      <c r="K116" t="str">
        <f t="shared" si="13"/>
        <v>2-438 feedback2</v>
      </c>
      <c r="L116">
        <v>1</v>
      </c>
      <c r="M116" t="s">
        <v>1299</v>
      </c>
      <c r="N116">
        <v>115</v>
      </c>
    </row>
    <row r="117" spans="1:14">
      <c r="A117">
        <v>8</v>
      </c>
      <c r="B117">
        <f t="shared" si="14"/>
        <v>2</v>
      </c>
      <c r="C117">
        <v>439</v>
      </c>
      <c r="D117">
        <f t="shared" ca="1" si="7"/>
        <v>4</v>
      </c>
      <c r="E117" t="str">
        <f t="shared" si="8"/>
        <v>2-439 arg1</v>
      </c>
      <c r="F117">
        <f t="shared" ca="1" si="9"/>
        <v>3</v>
      </c>
      <c r="G117" t="str">
        <f t="shared" si="10"/>
        <v>2-439 feedback1</v>
      </c>
      <c r="H117">
        <v>1</v>
      </c>
      <c r="I117">
        <f t="shared" ca="1" si="11"/>
        <v>3</v>
      </c>
      <c r="J117" t="str">
        <f t="shared" si="12"/>
        <v>2-439 arg2</v>
      </c>
      <c r="K117" t="str">
        <f t="shared" si="13"/>
        <v>2-439 feedback2</v>
      </c>
      <c r="L117">
        <v>1</v>
      </c>
      <c r="M117" t="s">
        <v>1299</v>
      </c>
      <c r="N117">
        <v>116</v>
      </c>
    </row>
    <row r="118" spans="1:14">
      <c r="A118">
        <v>8</v>
      </c>
      <c r="B118">
        <f t="shared" si="14"/>
        <v>2</v>
      </c>
      <c r="C118">
        <v>440</v>
      </c>
      <c r="D118">
        <f t="shared" ca="1" si="7"/>
        <v>3</v>
      </c>
      <c r="E118" t="str">
        <f t="shared" si="8"/>
        <v>2-440 arg1</v>
      </c>
      <c r="F118">
        <f t="shared" ca="1" si="9"/>
        <v>3</v>
      </c>
      <c r="G118" t="str">
        <f t="shared" si="10"/>
        <v>2-440 feedback1</v>
      </c>
      <c r="H118">
        <v>1</v>
      </c>
      <c r="I118">
        <f t="shared" ca="1" si="11"/>
        <v>4</v>
      </c>
      <c r="J118" t="str">
        <f t="shared" si="12"/>
        <v>2-440 arg2</v>
      </c>
      <c r="K118" t="str">
        <f t="shared" si="13"/>
        <v>2-440 feedback2</v>
      </c>
      <c r="L118">
        <v>1</v>
      </c>
      <c r="M118" t="s">
        <v>1299</v>
      </c>
      <c r="N118">
        <v>117</v>
      </c>
    </row>
    <row r="119" spans="1:14">
      <c r="A119">
        <v>8</v>
      </c>
      <c r="B119">
        <f t="shared" si="14"/>
        <v>2</v>
      </c>
      <c r="C119">
        <v>441</v>
      </c>
      <c r="D119">
        <f t="shared" ca="1" si="7"/>
        <v>5</v>
      </c>
      <c r="E119" t="str">
        <f t="shared" si="8"/>
        <v>2-441 arg1</v>
      </c>
      <c r="F119">
        <f t="shared" ca="1" si="9"/>
        <v>5</v>
      </c>
      <c r="G119" t="str">
        <f t="shared" si="10"/>
        <v>2-441 feedback1</v>
      </c>
      <c r="H119">
        <v>1</v>
      </c>
      <c r="I119">
        <f t="shared" ca="1" si="11"/>
        <v>5</v>
      </c>
      <c r="J119" t="str">
        <f t="shared" si="12"/>
        <v>2-441 arg2</v>
      </c>
      <c r="K119" t="str">
        <f t="shared" si="13"/>
        <v>2-441 feedback2</v>
      </c>
      <c r="L119">
        <v>1</v>
      </c>
      <c r="M119" t="s">
        <v>1299</v>
      </c>
      <c r="N119">
        <v>118</v>
      </c>
    </row>
    <row r="120" spans="1:14">
      <c r="A120">
        <v>8</v>
      </c>
      <c r="B120">
        <f t="shared" si="14"/>
        <v>2</v>
      </c>
      <c r="C120">
        <v>442</v>
      </c>
      <c r="D120">
        <f t="shared" ca="1" si="7"/>
        <v>3</v>
      </c>
      <c r="E120" t="str">
        <f t="shared" si="8"/>
        <v>2-442 arg1</v>
      </c>
      <c r="F120">
        <f t="shared" ca="1" si="9"/>
        <v>3</v>
      </c>
      <c r="G120" t="str">
        <f t="shared" si="10"/>
        <v>2-442 feedback1</v>
      </c>
      <c r="H120">
        <v>1</v>
      </c>
      <c r="I120">
        <f t="shared" ca="1" si="11"/>
        <v>3</v>
      </c>
      <c r="J120" t="str">
        <f t="shared" si="12"/>
        <v>2-442 arg2</v>
      </c>
      <c r="K120" t="str">
        <f t="shared" si="13"/>
        <v>2-442 feedback2</v>
      </c>
      <c r="L120">
        <v>1</v>
      </c>
      <c r="M120" t="s">
        <v>1299</v>
      </c>
      <c r="N120">
        <v>119</v>
      </c>
    </row>
    <row r="121" spans="1:14">
      <c r="A121">
        <v>8</v>
      </c>
      <c r="B121">
        <f t="shared" si="14"/>
        <v>2</v>
      </c>
      <c r="C121">
        <v>443</v>
      </c>
      <c r="D121">
        <f t="shared" ca="1" si="7"/>
        <v>4</v>
      </c>
      <c r="E121" t="str">
        <f t="shared" si="8"/>
        <v>2-443 arg1</v>
      </c>
      <c r="F121">
        <f t="shared" ca="1" si="9"/>
        <v>3</v>
      </c>
      <c r="G121" t="str">
        <f t="shared" si="10"/>
        <v>2-443 feedback1</v>
      </c>
      <c r="H121">
        <v>1</v>
      </c>
      <c r="I121">
        <f t="shared" ca="1" si="11"/>
        <v>3</v>
      </c>
      <c r="J121" t="str">
        <f t="shared" si="12"/>
        <v>2-443 arg2</v>
      </c>
      <c r="K121" t="str">
        <f t="shared" si="13"/>
        <v>2-443 feedback2</v>
      </c>
      <c r="L121">
        <v>1</v>
      </c>
      <c r="M121" t="s">
        <v>1299</v>
      </c>
      <c r="N121">
        <v>120</v>
      </c>
    </row>
    <row r="122" spans="1:14">
      <c r="A122">
        <v>8</v>
      </c>
      <c r="B122">
        <f t="shared" si="14"/>
        <v>2</v>
      </c>
      <c r="C122">
        <v>444</v>
      </c>
      <c r="D122">
        <f t="shared" ca="1" si="7"/>
        <v>5</v>
      </c>
      <c r="E122" t="str">
        <f t="shared" si="8"/>
        <v>2-444 arg1</v>
      </c>
      <c r="F122">
        <f t="shared" ca="1" si="9"/>
        <v>4</v>
      </c>
      <c r="G122" t="str">
        <f t="shared" si="10"/>
        <v>2-444 feedback1</v>
      </c>
      <c r="H122">
        <v>1</v>
      </c>
      <c r="I122">
        <f t="shared" ca="1" si="11"/>
        <v>5</v>
      </c>
      <c r="J122" t="str">
        <f t="shared" si="12"/>
        <v>2-444 arg2</v>
      </c>
      <c r="K122" t="str">
        <f t="shared" si="13"/>
        <v>2-444 feedback2</v>
      </c>
      <c r="L122">
        <v>1</v>
      </c>
      <c r="M122" t="s">
        <v>1299</v>
      </c>
      <c r="N122">
        <v>121</v>
      </c>
    </row>
    <row r="123" spans="1:14">
      <c r="A123">
        <v>8</v>
      </c>
      <c r="B123">
        <f t="shared" si="14"/>
        <v>2</v>
      </c>
      <c r="C123">
        <v>445</v>
      </c>
      <c r="D123">
        <f t="shared" ca="1" si="7"/>
        <v>4</v>
      </c>
      <c r="E123" t="str">
        <f t="shared" si="8"/>
        <v>2-445 arg1</v>
      </c>
      <c r="F123">
        <f t="shared" ca="1" si="9"/>
        <v>2</v>
      </c>
      <c r="G123" t="str">
        <f t="shared" si="10"/>
        <v>2-445 feedback1</v>
      </c>
      <c r="H123">
        <v>1</v>
      </c>
      <c r="I123">
        <f t="shared" ca="1" si="11"/>
        <v>3</v>
      </c>
      <c r="J123" t="str">
        <f t="shared" si="12"/>
        <v>2-445 arg2</v>
      </c>
      <c r="K123" t="str">
        <f t="shared" si="13"/>
        <v>2-445 feedback2</v>
      </c>
      <c r="L123">
        <v>1</v>
      </c>
      <c r="M123" t="s">
        <v>1299</v>
      </c>
      <c r="N123">
        <v>122</v>
      </c>
    </row>
    <row r="124" spans="1:14">
      <c r="A124">
        <v>8</v>
      </c>
      <c r="B124">
        <f t="shared" si="14"/>
        <v>2</v>
      </c>
      <c r="C124">
        <v>446</v>
      </c>
      <c r="D124">
        <f t="shared" ca="1" si="7"/>
        <v>3</v>
      </c>
      <c r="E124" t="str">
        <f t="shared" si="8"/>
        <v>2-446 arg1</v>
      </c>
      <c r="F124">
        <f t="shared" ca="1" si="9"/>
        <v>2</v>
      </c>
      <c r="G124" t="str">
        <f t="shared" si="10"/>
        <v>2-446 feedback1</v>
      </c>
      <c r="H124">
        <v>1</v>
      </c>
      <c r="I124">
        <f t="shared" ca="1" si="11"/>
        <v>3</v>
      </c>
      <c r="J124" t="str">
        <f t="shared" si="12"/>
        <v>2-446 arg2</v>
      </c>
      <c r="K124" t="str">
        <f t="shared" si="13"/>
        <v>2-446 feedback2</v>
      </c>
      <c r="L124">
        <v>1</v>
      </c>
      <c r="M124" t="s">
        <v>1299</v>
      </c>
      <c r="N124">
        <v>123</v>
      </c>
    </row>
    <row r="125" spans="1:14">
      <c r="A125">
        <v>8</v>
      </c>
      <c r="B125">
        <f t="shared" si="14"/>
        <v>2</v>
      </c>
      <c r="C125">
        <v>447</v>
      </c>
      <c r="D125">
        <f t="shared" ca="1" si="7"/>
        <v>3</v>
      </c>
      <c r="E125" t="str">
        <f t="shared" si="8"/>
        <v>2-447 arg1</v>
      </c>
      <c r="F125">
        <f t="shared" ca="1" si="9"/>
        <v>1</v>
      </c>
      <c r="G125" t="str">
        <f t="shared" si="10"/>
        <v>2-447 feedback1</v>
      </c>
      <c r="H125">
        <v>1</v>
      </c>
      <c r="I125">
        <f t="shared" ca="1" si="11"/>
        <v>1</v>
      </c>
      <c r="J125" t="str">
        <f t="shared" si="12"/>
        <v>2-447 arg2</v>
      </c>
      <c r="K125" t="str">
        <f t="shared" si="13"/>
        <v>2-447 feedback2</v>
      </c>
      <c r="L125">
        <v>1</v>
      </c>
      <c r="M125" t="s">
        <v>1299</v>
      </c>
      <c r="N125">
        <v>124</v>
      </c>
    </row>
    <row r="126" spans="1:14">
      <c r="A126">
        <v>8</v>
      </c>
      <c r="B126">
        <f t="shared" si="14"/>
        <v>2</v>
      </c>
      <c r="C126">
        <v>448</v>
      </c>
      <c r="D126">
        <f t="shared" ca="1" si="7"/>
        <v>5</v>
      </c>
      <c r="E126" t="str">
        <f t="shared" si="8"/>
        <v>2-448 arg1</v>
      </c>
      <c r="F126">
        <f t="shared" ca="1" si="9"/>
        <v>4</v>
      </c>
      <c r="G126" t="str">
        <f t="shared" si="10"/>
        <v>2-448 feedback1</v>
      </c>
      <c r="H126">
        <v>1</v>
      </c>
      <c r="I126">
        <f t="shared" ca="1" si="11"/>
        <v>5</v>
      </c>
      <c r="J126" t="str">
        <f t="shared" si="12"/>
        <v>2-448 arg2</v>
      </c>
      <c r="K126" t="str">
        <f t="shared" si="13"/>
        <v>2-448 feedback2</v>
      </c>
      <c r="L126">
        <v>1</v>
      </c>
      <c r="M126" t="s">
        <v>1299</v>
      </c>
      <c r="N126">
        <v>125</v>
      </c>
    </row>
    <row r="127" spans="1:14">
      <c r="A127">
        <v>8</v>
      </c>
      <c r="B127">
        <f t="shared" si="14"/>
        <v>2</v>
      </c>
      <c r="C127">
        <v>449</v>
      </c>
      <c r="D127">
        <f t="shared" ca="1" si="7"/>
        <v>5</v>
      </c>
      <c r="E127" t="str">
        <f t="shared" si="8"/>
        <v>2-449 arg1</v>
      </c>
      <c r="F127">
        <f t="shared" ca="1" si="9"/>
        <v>4</v>
      </c>
      <c r="G127" t="str">
        <f t="shared" si="10"/>
        <v>2-449 feedback1</v>
      </c>
      <c r="H127">
        <v>1</v>
      </c>
      <c r="I127">
        <f t="shared" ca="1" si="11"/>
        <v>4</v>
      </c>
      <c r="J127" t="str">
        <f t="shared" si="12"/>
        <v>2-449 arg2</v>
      </c>
      <c r="K127" t="str">
        <f t="shared" si="13"/>
        <v>2-449 feedback2</v>
      </c>
      <c r="L127">
        <v>1</v>
      </c>
      <c r="M127" t="s">
        <v>1299</v>
      </c>
      <c r="N127">
        <v>126</v>
      </c>
    </row>
    <row r="128" spans="1:14">
      <c r="A128">
        <v>8</v>
      </c>
      <c r="B128">
        <f t="shared" si="14"/>
        <v>2</v>
      </c>
      <c r="C128">
        <v>450</v>
      </c>
      <c r="D128">
        <f t="shared" ca="1" si="7"/>
        <v>4</v>
      </c>
      <c r="E128" t="str">
        <f t="shared" si="8"/>
        <v>2-450 arg1</v>
      </c>
      <c r="F128">
        <f t="shared" ca="1" si="9"/>
        <v>3</v>
      </c>
      <c r="G128" t="str">
        <f t="shared" si="10"/>
        <v>2-450 feedback1</v>
      </c>
      <c r="H128">
        <v>1</v>
      </c>
      <c r="I128">
        <f t="shared" ca="1" si="11"/>
        <v>4</v>
      </c>
      <c r="J128" t="str">
        <f t="shared" si="12"/>
        <v>2-450 arg2</v>
      </c>
      <c r="K128" t="str">
        <f t="shared" si="13"/>
        <v>2-450 feedback2</v>
      </c>
      <c r="L128">
        <v>1</v>
      </c>
      <c r="M128" t="s">
        <v>1299</v>
      </c>
      <c r="N128">
        <v>127</v>
      </c>
    </row>
    <row r="129" spans="1:14">
      <c r="A129">
        <v>8</v>
      </c>
      <c r="B129">
        <f t="shared" si="14"/>
        <v>2</v>
      </c>
      <c r="C129">
        <v>451</v>
      </c>
      <c r="D129">
        <f t="shared" ca="1" si="7"/>
        <v>3</v>
      </c>
      <c r="E129" t="str">
        <f t="shared" si="8"/>
        <v>2-451 arg1</v>
      </c>
      <c r="F129">
        <f t="shared" ca="1" si="9"/>
        <v>2</v>
      </c>
      <c r="G129" t="str">
        <f t="shared" si="10"/>
        <v>2-451 feedback1</v>
      </c>
      <c r="H129">
        <v>1</v>
      </c>
      <c r="I129">
        <f t="shared" ca="1" si="11"/>
        <v>3</v>
      </c>
      <c r="J129" t="str">
        <f t="shared" si="12"/>
        <v>2-451 arg2</v>
      </c>
      <c r="K129" t="str">
        <f t="shared" si="13"/>
        <v>2-451 feedback2</v>
      </c>
      <c r="L129">
        <v>1</v>
      </c>
      <c r="M129" t="s">
        <v>1299</v>
      </c>
      <c r="N129">
        <v>128</v>
      </c>
    </row>
    <row r="130" spans="1:14">
      <c r="A130">
        <v>8</v>
      </c>
      <c r="B130">
        <f t="shared" si="14"/>
        <v>2</v>
      </c>
      <c r="C130">
        <v>452</v>
      </c>
      <c r="D130">
        <f t="shared" ca="1" si="7"/>
        <v>3</v>
      </c>
      <c r="E130" t="str">
        <f t="shared" si="8"/>
        <v>2-452 arg1</v>
      </c>
      <c r="F130">
        <f t="shared" ca="1" si="9"/>
        <v>2</v>
      </c>
      <c r="G130" t="str">
        <f t="shared" si="10"/>
        <v>2-452 feedback1</v>
      </c>
      <c r="H130">
        <v>1</v>
      </c>
      <c r="I130">
        <f t="shared" ca="1" si="11"/>
        <v>3</v>
      </c>
      <c r="J130" t="str">
        <f t="shared" si="12"/>
        <v>2-452 arg2</v>
      </c>
      <c r="K130" t="str">
        <f t="shared" si="13"/>
        <v>2-452 feedback2</v>
      </c>
      <c r="L130">
        <v>1</v>
      </c>
      <c r="M130" t="s">
        <v>1299</v>
      </c>
      <c r="N130">
        <v>129</v>
      </c>
    </row>
    <row r="131" spans="1:14">
      <c r="A131">
        <v>8</v>
      </c>
      <c r="B131">
        <f t="shared" si="14"/>
        <v>2</v>
      </c>
      <c r="C131">
        <v>453</v>
      </c>
      <c r="D131">
        <f t="shared" ref="D131:D194" ca="1" si="15">ROUND(3+2*RAND(),0)</f>
        <v>4</v>
      </c>
      <c r="E131" t="str">
        <f t="shared" ref="E131:E194" si="16">_xlfn.CONCAT(B131,"-",C131," arg1")</f>
        <v>2-453 arg1</v>
      </c>
      <c r="F131">
        <f t="shared" ref="F131:F171" ca="1" si="17">D131-ROUND(2*RAND(),0)</f>
        <v>3</v>
      </c>
      <c r="G131" t="str">
        <f t="shared" ref="G131:G194" si="18">_xlfn.CONCAT(B131,"-",C131," feedback1")</f>
        <v>2-453 feedback1</v>
      </c>
      <c r="H131">
        <v>1</v>
      </c>
      <c r="I131">
        <f t="shared" ref="I131:I194" ca="1" si="19">MIN(5,F131+ROUND(RAND(),0))</f>
        <v>3</v>
      </c>
      <c r="J131" t="str">
        <f t="shared" ref="J131:J194" si="20">_xlfn.CONCAT(B131,"-",C131," arg2")</f>
        <v>2-453 arg2</v>
      </c>
      <c r="K131" t="str">
        <f t="shared" ref="K131:K194" si="21">_xlfn.CONCAT(B131,"-",C131," feedback2")</f>
        <v>2-453 feedback2</v>
      </c>
      <c r="L131">
        <v>1</v>
      </c>
      <c r="M131" t="s">
        <v>1299</v>
      </c>
      <c r="N131">
        <v>130</v>
      </c>
    </row>
    <row r="132" spans="1:14">
      <c r="A132">
        <v>8</v>
      </c>
      <c r="B132">
        <f t="shared" si="14"/>
        <v>2</v>
      </c>
      <c r="C132">
        <v>454</v>
      </c>
      <c r="D132">
        <f t="shared" ca="1" si="15"/>
        <v>5</v>
      </c>
      <c r="E132" t="str">
        <f t="shared" si="16"/>
        <v>2-454 arg1</v>
      </c>
      <c r="F132">
        <f t="shared" ca="1" si="17"/>
        <v>4</v>
      </c>
      <c r="G132" t="str">
        <f t="shared" si="18"/>
        <v>2-454 feedback1</v>
      </c>
      <c r="H132">
        <v>1</v>
      </c>
      <c r="I132">
        <f t="shared" ca="1" si="19"/>
        <v>5</v>
      </c>
      <c r="J132" t="str">
        <f t="shared" si="20"/>
        <v>2-454 arg2</v>
      </c>
      <c r="K132" t="str">
        <f t="shared" si="21"/>
        <v>2-454 feedback2</v>
      </c>
      <c r="L132">
        <v>1</v>
      </c>
      <c r="M132" t="s">
        <v>1299</v>
      </c>
      <c r="N132">
        <v>131</v>
      </c>
    </row>
    <row r="133" spans="1:14">
      <c r="A133">
        <v>8</v>
      </c>
      <c r="B133">
        <f t="shared" si="14"/>
        <v>2</v>
      </c>
      <c r="C133">
        <v>455</v>
      </c>
      <c r="D133">
        <f t="shared" ca="1" si="15"/>
        <v>4</v>
      </c>
      <c r="E133" t="str">
        <f t="shared" si="16"/>
        <v>2-455 arg1</v>
      </c>
      <c r="F133">
        <f t="shared" ca="1" si="17"/>
        <v>4</v>
      </c>
      <c r="G133" t="str">
        <f t="shared" si="18"/>
        <v>2-455 feedback1</v>
      </c>
      <c r="H133">
        <v>1</v>
      </c>
      <c r="I133">
        <f t="shared" ca="1" si="19"/>
        <v>4</v>
      </c>
      <c r="J133" t="str">
        <f t="shared" si="20"/>
        <v>2-455 arg2</v>
      </c>
      <c r="K133" t="str">
        <f t="shared" si="21"/>
        <v>2-455 feedback2</v>
      </c>
      <c r="L133">
        <v>1</v>
      </c>
      <c r="M133" t="s">
        <v>1299</v>
      </c>
      <c r="N133">
        <v>132</v>
      </c>
    </row>
    <row r="134" spans="1:14">
      <c r="A134">
        <v>8</v>
      </c>
      <c r="B134">
        <f t="shared" si="14"/>
        <v>2</v>
      </c>
      <c r="C134">
        <v>456</v>
      </c>
      <c r="D134">
        <f t="shared" ca="1" si="15"/>
        <v>5</v>
      </c>
      <c r="E134" t="str">
        <f t="shared" si="16"/>
        <v>2-456 arg1</v>
      </c>
      <c r="F134">
        <f t="shared" ca="1" si="17"/>
        <v>3</v>
      </c>
      <c r="G134" t="str">
        <f t="shared" si="18"/>
        <v>2-456 feedback1</v>
      </c>
      <c r="H134">
        <v>1</v>
      </c>
      <c r="I134">
        <f t="shared" ca="1" si="19"/>
        <v>3</v>
      </c>
      <c r="J134" t="str">
        <f t="shared" si="20"/>
        <v>2-456 arg2</v>
      </c>
      <c r="K134" t="str">
        <f t="shared" si="21"/>
        <v>2-456 feedback2</v>
      </c>
      <c r="L134">
        <v>1</v>
      </c>
      <c r="M134" t="s">
        <v>1299</v>
      </c>
      <c r="N134">
        <v>133</v>
      </c>
    </row>
    <row r="135" spans="1:14">
      <c r="A135">
        <v>8</v>
      </c>
      <c r="B135">
        <f t="shared" si="14"/>
        <v>2</v>
      </c>
      <c r="C135">
        <v>457</v>
      </c>
      <c r="D135">
        <f t="shared" ca="1" si="15"/>
        <v>5</v>
      </c>
      <c r="E135" t="str">
        <f t="shared" si="16"/>
        <v>2-457 arg1</v>
      </c>
      <c r="F135">
        <f t="shared" ca="1" si="17"/>
        <v>5</v>
      </c>
      <c r="G135" t="str">
        <f t="shared" si="18"/>
        <v>2-457 feedback1</v>
      </c>
      <c r="H135">
        <v>1</v>
      </c>
      <c r="I135">
        <f t="shared" ca="1" si="19"/>
        <v>5</v>
      </c>
      <c r="J135" t="str">
        <f t="shared" si="20"/>
        <v>2-457 arg2</v>
      </c>
      <c r="K135" t="str">
        <f t="shared" si="21"/>
        <v>2-457 feedback2</v>
      </c>
      <c r="L135">
        <v>1</v>
      </c>
      <c r="M135" t="s">
        <v>1299</v>
      </c>
      <c r="N135">
        <v>134</v>
      </c>
    </row>
    <row r="136" spans="1:14">
      <c r="A136">
        <v>8</v>
      </c>
      <c r="B136">
        <f t="shared" si="14"/>
        <v>2</v>
      </c>
      <c r="C136">
        <v>458</v>
      </c>
      <c r="D136">
        <f t="shared" ca="1" si="15"/>
        <v>4</v>
      </c>
      <c r="E136" t="str">
        <f t="shared" si="16"/>
        <v>2-458 arg1</v>
      </c>
      <c r="F136">
        <f t="shared" ca="1" si="17"/>
        <v>4</v>
      </c>
      <c r="G136" t="str">
        <f t="shared" si="18"/>
        <v>2-458 feedback1</v>
      </c>
      <c r="H136">
        <v>1</v>
      </c>
      <c r="I136">
        <f t="shared" ca="1" si="19"/>
        <v>5</v>
      </c>
      <c r="J136" t="str">
        <f t="shared" si="20"/>
        <v>2-458 arg2</v>
      </c>
      <c r="K136" t="str">
        <f t="shared" si="21"/>
        <v>2-458 feedback2</v>
      </c>
      <c r="L136">
        <v>1</v>
      </c>
      <c r="M136" t="s">
        <v>1299</v>
      </c>
      <c r="N136">
        <v>135</v>
      </c>
    </row>
    <row r="137" spans="1:14">
      <c r="A137">
        <v>8</v>
      </c>
      <c r="B137">
        <f t="shared" si="14"/>
        <v>2</v>
      </c>
      <c r="C137">
        <v>459</v>
      </c>
      <c r="D137">
        <f t="shared" ca="1" si="15"/>
        <v>3</v>
      </c>
      <c r="E137" t="str">
        <f t="shared" si="16"/>
        <v>2-459 arg1</v>
      </c>
      <c r="F137">
        <f t="shared" ca="1" si="17"/>
        <v>3</v>
      </c>
      <c r="G137" t="str">
        <f t="shared" si="18"/>
        <v>2-459 feedback1</v>
      </c>
      <c r="H137">
        <v>1</v>
      </c>
      <c r="I137">
        <f t="shared" ca="1" si="19"/>
        <v>3</v>
      </c>
      <c r="J137" t="str">
        <f t="shared" si="20"/>
        <v>2-459 arg2</v>
      </c>
      <c r="K137" t="str">
        <f t="shared" si="21"/>
        <v>2-459 feedback2</v>
      </c>
      <c r="L137">
        <v>1</v>
      </c>
      <c r="M137" t="s">
        <v>1299</v>
      </c>
      <c r="N137">
        <v>136</v>
      </c>
    </row>
    <row r="138" spans="1:14">
      <c r="A138">
        <v>8</v>
      </c>
      <c r="B138">
        <f t="shared" si="14"/>
        <v>2</v>
      </c>
      <c r="C138">
        <v>460</v>
      </c>
      <c r="D138">
        <f t="shared" ca="1" si="15"/>
        <v>4</v>
      </c>
      <c r="E138" t="str">
        <f t="shared" si="16"/>
        <v>2-460 arg1</v>
      </c>
      <c r="F138">
        <f t="shared" ca="1" si="17"/>
        <v>3</v>
      </c>
      <c r="G138" t="str">
        <f t="shared" si="18"/>
        <v>2-460 feedback1</v>
      </c>
      <c r="H138">
        <v>1</v>
      </c>
      <c r="I138">
        <f t="shared" ca="1" si="19"/>
        <v>3</v>
      </c>
      <c r="J138" t="str">
        <f t="shared" si="20"/>
        <v>2-460 arg2</v>
      </c>
      <c r="K138" t="str">
        <f t="shared" si="21"/>
        <v>2-460 feedback2</v>
      </c>
      <c r="L138">
        <v>1</v>
      </c>
      <c r="M138" t="s">
        <v>1299</v>
      </c>
      <c r="N138">
        <v>137</v>
      </c>
    </row>
    <row r="139" spans="1:14">
      <c r="A139">
        <v>8</v>
      </c>
      <c r="B139">
        <f t="shared" si="14"/>
        <v>2</v>
      </c>
      <c r="C139">
        <v>461</v>
      </c>
      <c r="D139">
        <f t="shared" ca="1" si="15"/>
        <v>5</v>
      </c>
      <c r="E139" t="str">
        <f t="shared" si="16"/>
        <v>2-461 arg1</v>
      </c>
      <c r="F139">
        <f t="shared" ca="1" si="17"/>
        <v>4</v>
      </c>
      <c r="G139" t="str">
        <f t="shared" si="18"/>
        <v>2-461 feedback1</v>
      </c>
      <c r="H139">
        <v>1</v>
      </c>
      <c r="I139">
        <f t="shared" ca="1" si="19"/>
        <v>5</v>
      </c>
      <c r="J139" t="str">
        <f t="shared" si="20"/>
        <v>2-461 arg2</v>
      </c>
      <c r="K139" t="str">
        <f t="shared" si="21"/>
        <v>2-461 feedback2</v>
      </c>
      <c r="L139">
        <v>1</v>
      </c>
      <c r="M139" t="s">
        <v>1299</v>
      </c>
      <c r="N139">
        <v>138</v>
      </c>
    </row>
    <row r="140" spans="1:14">
      <c r="A140">
        <v>8</v>
      </c>
      <c r="B140">
        <f t="shared" si="14"/>
        <v>2</v>
      </c>
      <c r="C140">
        <v>462</v>
      </c>
      <c r="D140">
        <f t="shared" ca="1" si="15"/>
        <v>5</v>
      </c>
      <c r="E140" t="str">
        <f t="shared" si="16"/>
        <v>2-462 arg1</v>
      </c>
      <c r="F140">
        <f t="shared" ca="1" si="17"/>
        <v>4</v>
      </c>
      <c r="G140" t="str">
        <f t="shared" si="18"/>
        <v>2-462 feedback1</v>
      </c>
      <c r="H140">
        <v>1</v>
      </c>
      <c r="I140">
        <f t="shared" ca="1" si="19"/>
        <v>5</v>
      </c>
      <c r="J140" t="str">
        <f t="shared" si="20"/>
        <v>2-462 arg2</v>
      </c>
      <c r="K140" t="str">
        <f t="shared" si="21"/>
        <v>2-462 feedback2</v>
      </c>
      <c r="L140">
        <v>1</v>
      </c>
      <c r="M140" t="s">
        <v>1299</v>
      </c>
      <c r="N140">
        <v>139</v>
      </c>
    </row>
    <row r="141" spans="1:14">
      <c r="A141">
        <v>8</v>
      </c>
      <c r="B141">
        <f t="shared" si="14"/>
        <v>2</v>
      </c>
      <c r="C141">
        <v>463</v>
      </c>
      <c r="D141">
        <f t="shared" ca="1" si="15"/>
        <v>3</v>
      </c>
      <c r="E141" t="str">
        <f t="shared" si="16"/>
        <v>2-463 arg1</v>
      </c>
      <c r="F141">
        <f t="shared" ca="1" si="17"/>
        <v>3</v>
      </c>
      <c r="G141" t="str">
        <f t="shared" si="18"/>
        <v>2-463 feedback1</v>
      </c>
      <c r="H141">
        <v>1</v>
      </c>
      <c r="I141">
        <f t="shared" ca="1" si="19"/>
        <v>3</v>
      </c>
      <c r="J141" t="str">
        <f t="shared" si="20"/>
        <v>2-463 arg2</v>
      </c>
      <c r="K141" t="str">
        <f t="shared" si="21"/>
        <v>2-463 feedback2</v>
      </c>
      <c r="L141">
        <v>1</v>
      </c>
      <c r="M141" t="s">
        <v>1299</v>
      </c>
      <c r="N141">
        <v>140</v>
      </c>
    </row>
    <row r="142" spans="1:14">
      <c r="A142">
        <v>8</v>
      </c>
      <c r="B142">
        <f t="shared" si="14"/>
        <v>2</v>
      </c>
      <c r="C142">
        <v>464</v>
      </c>
      <c r="D142">
        <f t="shared" ca="1" si="15"/>
        <v>3</v>
      </c>
      <c r="E142" t="str">
        <f t="shared" si="16"/>
        <v>2-464 arg1</v>
      </c>
      <c r="F142">
        <f t="shared" ca="1" si="17"/>
        <v>2</v>
      </c>
      <c r="G142" t="str">
        <f t="shared" si="18"/>
        <v>2-464 feedback1</v>
      </c>
      <c r="H142">
        <v>1</v>
      </c>
      <c r="I142">
        <f t="shared" ca="1" si="19"/>
        <v>3</v>
      </c>
      <c r="J142" t="str">
        <f t="shared" si="20"/>
        <v>2-464 arg2</v>
      </c>
      <c r="K142" t="str">
        <f t="shared" si="21"/>
        <v>2-464 feedback2</v>
      </c>
      <c r="L142">
        <v>1</v>
      </c>
      <c r="M142" t="s">
        <v>1299</v>
      </c>
      <c r="N142">
        <v>141</v>
      </c>
    </row>
    <row r="143" spans="1:14">
      <c r="A143">
        <v>8</v>
      </c>
      <c r="B143">
        <f t="shared" si="14"/>
        <v>2</v>
      </c>
      <c r="C143">
        <v>465</v>
      </c>
      <c r="D143">
        <f t="shared" ca="1" si="15"/>
        <v>5</v>
      </c>
      <c r="E143" t="str">
        <f t="shared" si="16"/>
        <v>2-465 arg1</v>
      </c>
      <c r="F143">
        <f t="shared" ca="1" si="17"/>
        <v>4</v>
      </c>
      <c r="G143" t="str">
        <f t="shared" si="18"/>
        <v>2-465 feedback1</v>
      </c>
      <c r="H143">
        <v>1</v>
      </c>
      <c r="I143">
        <f t="shared" ca="1" si="19"/>
        <v>5</v>
      </c>
      <c r="J143" t="str">
        <f t="shared" si="20"/>
        <v>2-465 arg2</v>
      </c>
      <c r="K143" t="str">
        <f t="shared" si="21"/>
        <v>2-465 feedback2</v>
      </c>
      <c r="L143">
        <v>1</v>
      </c>
      <c r="M143" t="s">
        <v>1299</v>
      </c>
      <c r="N143">
        <v>142</v>
      </c>
    </row>
    <row r="144" spans="1:14">
      <c r="A144">
        <v>8</v>
      </c>
      <c r="B144">
        <f t="shared" si="14"/>
        <v>2</v>
      </c>
      <c r="C144">
        <v>466</v>
      </c>
      <c r="D144">
        <f t="shared" ca="1" si="15"/>
        <v>3</v>
      </c>
      <c r="E144" t="str">
        <f t="shared" si="16"/>
        <v>2-466 arg1</v>
      </c>
      <c r="F144">
        <f t="shared" ca="1" si="17"/>
        <v>3</v>
      </c>
      <c r="G144" t="str">
        <f t="shared" si="18"/>
        <v>2-466 feedback1</v>
      </c>
      <c r="H144">
        <v>1</v>
      </c>
      <c r="I144">
        <f t="shared" ca="1" si="19"/>
        <v>3</v>
      </c>
      <c r="J144" t="str">
        <f t="shared" si="20"/>
        <v>2-466 arg2</v>
      </c>
      <c r="K144" t="str">
        <f t="shared" si="21"/>
        <v>2-466 feedback2</v>
      </c>
      <c r="L144">
        <v>1</v>
      </c>
      <c r="M144" t="s">
        <v>1299</v>
      </c>
      <c r="N144">
        <v>143</v>
      </c>
    </row>
    <row r="145" spans="1:14">
      <c r="A145">
        <v>8</v>
      </c>
      <c r="B145">
        <f t="shared" si="14"/>
        <v>2</v>
      </c>
      <c r="C145">
        <v>467</v>
      </c>
      <c r="D145">
        <f t="shared" ca="1" si="15"/>
        <v>4</v>
      </c>
      <c r="E145" t="str">
        <f t="shared" si="16"/>
        <v>2-467 arg1</v>
      </c>
      <c r="F145">
        <f t="shared" ca="1" si="17"/>
        <v>3</v>
      </c>
      <c r="G145" t="str">
        <f t="shared" si="18"/>
        <v>2-467 feedback1</v>
      </c>
      <c r="H145">
        <v>1</v>
      </c>
      <c r="I145">
        <f t="shared" ca="1" si="19"/>
        <v>4</v>
      </c>
      <c r="J145" t="str">
        <f t="shared" si="20"/>
        <v>2-467 arg2</v>
      </c>
      <c r="K145" t="str">
        <f t="shared" si="21"/>
        <v>2-467 feedback2</v>
      </c>
      <c r="L145">
        <v>1</v>
      </c>
      <c r="M145" t="s">
        <v>1299</v>
      </c>
      <c r="N145">
        <v>144</v>
      </c>
    </row>
    <row r="146" spans="1:14">
      <c r="A146">
        <v>8</v>
      </c>
      <c r="B146">
        <f t="shared" si="14"/>
        <v>2</v>
      </c>
      <c r="C146">
        <v>468</v>
      </c>
      <c r="D146">
        <f t="shared" ca="1" si="15"/>
        <v>3</v>
      </c>
      <c r="E146" t="str">
        <f t="shared" si="16"/>
        <v>2-468 arg1</v>
      </c>
      <c r="F146">
        <f t="shared" ca="1" si="17"/>
        <v>3</v>
      </c>
      <c r="G146" t="str">
        <f t="shared" si="18"/>
        <v>2-468 feedback1</v>
      </c>
      <c r="H146">
        <v>1</v>
      </c>
      <c r="I146">
        <f t="shared" ca="1" si="19"/>
        <v>4</v>
      </c>
      <c r="J146" t="str">
        <f t="shared" si="20"/>
        <v>2-468 arg2</v>
      </c>
      <c r="K146" t="str">
        <f t="shared" si="21"/>
        <v>2-468 feedback2</v>
      </c>
      <c r="L146">
        <v>1</v>
      </c>
      <c r="M146" t="s">
        <v>1299</v>
      </c>
      <c r="N146">
        <v>145</v>
      </c>
    </row>
    <row r="147" spans="1:14">
      <c r="A147">
        <v>8</v>
      </c>
      <c r="B147">
        <f t="shared" si="14"/>
        <v>2</v>
      </c>
      <c r="C147">
        <v>469</v>
      </c>
      <c r="D147">
        <f t="shared" ca="1" si="15"/>
        <v>4</v>
      </c>
      <c r="E147" t="str">
        <f t="shared" si="16"/>
        <v>2-469 arg1</v>
      </c>
      <c r="F147">
        <f t="shared" ca="1" si="17"/>
        <v>2</v>
      </c>
      <c r="G147" t="str">
        <f t="shared" si="18"/>
        <v>2-469 feedback1</v>
      </c>
      <c r="H147">
        <v>1</v>
      </c>
      <c r="I147">
        <f t="shared" ca="1" si="19"/>
        <v>3</v>
      </c>
      <c r="J147" t="str">
        <f t="shared" si="20"/>
        <v>2-469 arg2</v>
      </c>
      <c r="K147" t="str">
        <f t="shared" si="21"/>
        <v>2-469 feedback2</v>
      </c>
      <c r="L147">
        <v>1</v>
      </c>
      <c r="M147" t="s">
        <v>1299</v>
      </c>
      <c r="N147">
        <v>146</v>
      </c>
    </row>
    <row r="148" spans="1:14">
      <c r="A148">
        <v>8</v>
      </c>
      <c r="B148">
        <f t="shared" si="14"/>
        <v>2</v>
      </c>
      <c r="C148">
        <v>470</v>
      </c>
      <c r="D148">
        <f t="shared" ca="1" si="15"/>
        <v>5</v>
      </c>
      <c r="E148" t="str">
        <f t="shared" si="16"/>
        <v>2-470 arg1</v>
      </c>
      <c r="F148">
        <f t="shared" ca="1" si="17"/>
        <v>4</v>
      </c>
      <c r="G148" t="str">
        <f t="shared" si="18"/>
        <v>2-470 feedback1</v>
      </c>
      <c r="H148">
        <v>1</v>
      </c>
      <c r="I148">
        <f t="shared" ca="1" si="19"/>
        <v>5</v>
      </c>
      <c r="J148" t="str">
        <f t="shared" si="20"/>
        <v>2-470 arg2</v>
      </c>
      <c r="K148" t="str">
        <f t="shared" si="21"/>
        <v>2-470 feedback2</v>
      </c>
      <c r="L148">
        <v>1</v>
      </c>
      <c r="M148" t="s">
        <v>1299</v>
      </c>
      <c r="N148">
        <v>147</v>
      </c>
    </row>
    <row r="149" spans="1:14">
      <c r="A149">
        <v>8</v>
      </c>
      <c r="B149">
        <f t="shared" si="14"/>
        <v>2</v>
      </c>
      <c r="C149">
        <v>471</v>
      </c>
      <c r="D149">
        <f t="shared" ca="1" si="15"/>
        <v>4</v>
      </c>
      <c r="E149" t="str">
        <f t="shared" si="16"/>
        <v>2-471 arg1</v>
      </c>
      <c r="F149">
        <f t="shared" ca="1" si="17"/>
        <v>4</v>
      </c>
      <c r="G149" t="str">
        <f t="shared" si="18"/>
        <v>2-471 feedback1</v>
      </c>
      <c r="H149">
        <v>1</v>
      </c>
      <c r="I149">
        <f t="shared" ca="1" si="19"/>
        <v>4</v>
      </c>
      <c r="J149" t="str">
        <f t="shared" si="20"/>
        <v>2-471 arg2</v>
      </c>
      <c r="K149" t="str">
        <f t="shared" si="21"/>
        <v>2-471 feedback2</v>
      </c>
      <c r="L149">
        <v>1</v>
      </c>
      <c r="M149" t="s">
        <v>1299</v>
      </c>
      <c r="N149">
        <v>148</v>
      </c>
    </row>
    <row r="150" spans="1:14">
      <c r="A150">
        <v>8</v>
      </c>
      <c r="B150">
        <f t="shared" si="14"/>
        <v>2</v>
      </c>
      <c r="C150">
        <v>472</v>
      </c>
      <c r="D150">
        <f t="shared" ca="1" si="15"/>
        <v>4</v>
      </c>
      <c r="E150" t="str">
        <f t="shared" si="16"/>
        <v>2-472 arg1</v>
      </c>
      <c r="F150">
        <f t="shared" ca="1" si="17"/>
        <v>3</v>
      </c>
      <c r="G150" t="str">
        <f t="shared" si="18"/>
        <v>2-472 feedback1</v>
      </c>
      <c r="H150">
        <v>1</v>
      </c>
      <c r="I150">
        <f t="shared" ca="1" si="19"/>
        <v>3</v>
      </c>
      <c r="J150" t="str">
        <f t="shared" si="20"/>
        <v>2-472 arg2</v>
      </c>
      <c r="K150" t="str">
        <f t="shared" si="21"/>
        <v>2-472 feedback2</v>
      </c>
      <c r="L150">
        <v>1</v>
      </c>
      <c r="M150" t="s">
        <v>1299</v>
      </c>
      <c r="N150">
        <v>149</v>
      </c>
    </row>
    <row r="151" spans="1:14">
      <c r="A151">
        <v>8</v>
      </c>
      <c r="B151">
        <f t="shared" si="14"/>
        <v>2</v>
      </c>
      <c r="C151">
        <v>473</v>
      </c>
      <c r="D151">
        <f t="shared" ca="1" si="15"/>
        <v>3</v>
      </c>
      <c r="E151" t="str">
        <f t="shared" si="16"/>
        <v>2-473 arg1</v>
      </c>
      <c r="F151">
        <f t="shared" ca="1" si="17"/>
        <v>2</v>
      </c>
      <c r="G151" t="str">
        <f t="shared" si="18"/>
        <v>2-473 feedback1</v>
      </c>
      <c r="H151">
        <v>1</v>
      </c>
      <c r="I151">
        <f t="shared" ca="1" si="19"/>
        <v>2</v>
      </c>
      <c r="J151" t="str">
        <f t="shared" si="20"/>
        <v>2-473 arg2</v>
      </c>
      <c r="K151" t="str">
        <f t="shared" si="21"/>
        <v>2-473 feedback2</v>
      </c>
      <c r="L151">
        <v>1</v>
      </c>
      <c r="M151" t="s">
        <v>1299</v>
      </c>
      <c r="N151">
        <v>150</v>
      </c>
    </row>
    <row r="152" spans="1:14">
      <c r="A152">
        <v>8</v>
      </c>
      <c r="B152">
        <f t="shared" ref="B152:B212" si="22">B67+1</f>
        <v>2</v>
      </c>
      <c r="C152">
        <v>474</v>
      </c>
      <c r="D152">
        <f t="shared" ca="1" si="15"/>
        <v>5</v>
      </c>
      <c r="E152" t="str">
        <f t="shared" si="16"/>
        <v>2-474 arg1</v>
      </c>
      <c r="F152">
        <f t="shared" ca="1" si="17"/>
        <v>4</v>
      </c>
      <c r="G152" t="str">
        <f t="shared" si="18"/>
        <v>2-474 feedback1</v>
      </c>
      <c r="H152">
        <v>1</v>
      </c>
      <c r="I152">
        <f t="shared" ca="1" si="19"/>
        <v>5</v>
      </c>
      <c r="J152" t="str">
        <f t="shared" si="20"/>
        <v>2-474 arg2</v>
      </c>
      <c r="K152" t="str">
        <f t="shared" si="21"/>
        <v>2-474 feedback2</v>
      </c>
      <c r="L152">
        <v>1</v>
      </c>
      <c r="M152" t="s">
        <v>1299</v>
      </c>
      <c r="N152">
        <v>151</v>
      </c>
    </row>
    <row r="153" spans="1:14">
      <c r="A153">
        <v>8</v>
      </c>
      <c r="B153">
        <f t="shared" si="22"/>
        <v>2</v>
      </c>
      <c r="C153">
        <v>475</v>
      </c>
      <c r="D153">
        <f t="shared" ca="1" si="15"/>
        <v>4</v>
      </c>
      <c r="E153" t="str">
        <f t="shared" si="16"/>
        <v>2-475 arg1</v>
      </c>
      <c r="F153">
        <f t="shared" ca="1" si="17"/>
        <v>3</v>
      </c>
      <c r="G153" t="str">
        <f t="shared" si="18"/>
        <v>2-475 feedback1</v>
      </c>
      <c r="H153">
        <v>1</v>
      </c>
      <c r="I153">
        <f t="shared" ca="1" si="19"/>
        <v>4</v>
      </c>
      <c r="J153" t="str">
        <f t="shared" si="20"/>
        <v>2-475 arg2</v>
      </c>
      <c r="K153" t="str">
        <f t="shared" si="21"/>
        <v>2-475 feedback2</v>
      </c>
      <c r="L153">
        <v>1</v>
      </c>
      <c r="M153" t="s">
        <v>1299</v>
      </c>
      <c r="N153">
        <v>152</v>
      </c>
    </row>
    <row r="154" spans="1:14">
      <c r="A154">
        <v>8</v>
      </c>
      <c r="B154">
        <f t="shared" si="22"/>
        <v>2</v>
      </c>
      <c r="C154">
        <v>476</v>
      </c>
      <c r="D154">
        <f t="shared" ca="1" si="15"/>
        <v>3</v>
      </c>
      <c r="E154" t="str">
        <f t="shared" si="16"/>
        <v>2-476 arg1</v>
      </c>
      <c r="F154">
        <f t="shared" ca="1" si="17"/>
        <v>3</v>
      </c>
      <c r="G154" t="str">
        <f t="shared" si="18"/>
        <v>2-476 feedback1</v>
      </c>
      <c r="H154">
        <v>1</v>
      </c>
      <c r="I154">
        <f t="shared" ca="1" si="19"/>
        <v>4</v>
      </c>
      <c r="J154" t="str">
        <f t="shared" si="20"/>
        <v>2-476 arg2</v>
      </c>
      <c r="K154" t="str">
        <f t="shared" si="21"/>
        <v>2-476 feedback2</v>
      </c>
      <c r="L154">
        <v>1</v>
      </c>
      <c r="M154" t="s">
        <v>1299</v>
      </c>
      <c r="N154">
        <v>153</v>
      </c>
    </row>
    <row r="155" spans="1:14">
      <c r="A155">
        <v>8</v>
      </c>
      <c r="B155">
        <f t="shared" si="22"/>
        <v>2</v>
      </c>
      <c r="C155">
        <v>477</v>
      </c>
      <c r="D155">
        <f t="shared" ca="1" si="15"/>
        <v>4</v>
      </c>
      <c r="E155" t="str">
        <f t="shared" si="16"/>
        <v>2-477 arg1</v>
      </c>
      <c r="F155">
        <f t="shared" ca="1" si="17"/>
        <v>2</v>
      </c>
      <c r="G155" t="str">
        <f t="shared" si="18"/>
        <v>2-477 feedback1</v>
      </c>
      <c r="H155">
        <v>1</v>
      </c>
      <c r="I155">
        <f t="shared" ca="1" si="19"/>
        <v>3</v>
      </c>
      <c r="J155" t="str">
        <f t="shared" si="20"/>
        <v>2-477 arg2</v>
      </c>
      <c r="K155" t="str">
        <f t="shared" si="21"/>
        <v>2-477 feedback2</v>
      </c>
      <c r="L155">
        <v>1</v>
      </c>
      <c r="M155" t="s">
        <v>1299</v>
      </c>
      <c r="N155">
        <v>154</v>
      </c>
    </row>
    <row r="156" spans="1:14">
      <c r="A156">
        <v>8</v>
      </c>
      <c r="B156">
        <f t="shared" si="22"/>
        <v>2</v>
      </c>
      <c r="C156">
        <v>478</v>
      </c>
      <c r="D156">
        <f t="shared" ca="1" si="15"/>
        <v>4</v>
      </c>
      <c r="E156" t="str">
        <f t="shared" si="16"/>
        <v>2-478 arg1</v>
      </c>
      <c r="F156">
        <f t="shared" ca="1" si="17"/>
        <v>3</v>
      </c>
      <c r="G156" t="str">
        <f t="shared" si="18"/>
        <v>2-478 feedback1</v>
      </c>
      <c r="H156">
        <v>1</v>
      </c>
      <c r="I156">
        <f t="shared" ca="1" si="19"/>
        <v>3</v>
      </c>
      <c r="J156" t="str">
        <f t="shared" si="20"/>
        <v>2-478 arg2</v>
      </c>
      <c r="K156" t="str">
        <f t="shared" si="21"/>
        <v>2-478 feedback2</v>
      </c>
      <c r="L156">
        <v>1</v>
      </c>
      <c r="M156" t="s">
        <v>1299</v>
      </c>
      <c r="N156">
        <v>155</v>
      </c>
    </row>
    <row r="157" spans="1:14">
      <c r="A157">
        <v>8</v>
      </c>
      <c r="B157">
        <f t="shared" si="22"/>
        <v>2</v>
      </c>
      <c r="C157">
        <v>479</v>
      </c>
      <c r="D157">
        <f t="shared" ca="1" si="15"/>
        <v>4</v>
      </c>
      <c r="E157" t="str">
        <f t="shared" si="16"/>
        <v>2-479 arg1</v>
      </c>
      <c r="F157">
        <f t="shared" ca="1" si="17"/>
        <v>3</v>
      </c>
      <c r="G157" t="str">
        <f t="shared" si="18"/>
        <v>2-479 feedback1</v>
      </c>
      <c r="H157">
        <v>1</v>
      </c>
      <c r="I157">
        <f t="shared" ca="1" si="19"/>
        <v>4</v>
      </c>
      <c r="J157" t="str">
        <f t="shared" si="20"/>
        <v>2-479 arg2</v>
      </c>
      <c r="K157" t="str">
        <f t="shared" si="21"/>
        <v>2-479 feedback2</v>
      </c>
      <c r="L157">
        <v>1</v>
      </c>
      <c r="M157" t="s">
        <v>1299</v>
      </c>
      <c r="N157">
        <v>156</v>
      </c>
    </row>
    <row r="158" spans="1:14">
      <c r="A158">
        <v>8</v>
      </c>
      <c r="B158">
        <f t="shared" si="22"/>
        <v>2</v>
      </c>
      <c r="C158">
        <v>480</v>
      </c>
      <c r="D158">
        <f t="shared" ca="1" si="15"/>
        <v>5</v>
      </c>
      <c r="E158" t="str">
        <f t="shared" si="16"/>
        <v>2-480 arg1</v>
      </c>
      <c r="F158">
        <f t="shared" ca="1" si="17"/>
        <v>4</v>
      </c>
      <c r="G158" t="str">
        <f t="shared" si="18"/>
        <v>2-480 feedback1</v>
      </c>
      <c r="H158">
        <v>1</v>
      </c>
      <c r="I158">
        <f t="shared" ca="1" si="19"/>
        <v>4</v>
      </c>
      <c r="J158" t="str">
        <f t="shared" si="20"/>
        <v>2-480 arg2</v>
      </c>
      <c r="K158" t="str">
        <f t="shared" si="21"/>
        <v>2-480 feedback2</v>
      </c>
      <c r="L158">
        <v>1</v>
      </c>
      <c r="M158" t="s">
        <v>1299</v>
      </c>
      <c r="N158">
        <v>157</v>
      </c>
    </row>
    <row r="159" spans="1:14">
      <c r="A159">
        <v>8</v>
      </c>
      <c r="B159">
        <f t="shared" si="22"/>
        <v>2</v>
      </c>
      <c r="C159">
        <v>481</v>
      </c>
      <c r="D159">
        <f t="shared" ca="1" si="15"/>
        <v>5</v>
      </c>
      <c r="E159" t="str">
        <f t="shared" si="16"/>
        <v>2-481 arg1</v>
      </c>
      <c r="F159">
        <f t="shared" ca="1" si="17"/>
        <v>3</v>
      </c>
      <c r="G159" t="str">
        <f t="shared" si="18"/>
        <v>2-481 feedback1</v>
      </c>
      <c r="H159">
        <v>1</v>
      </c>
      <c r="I159">
        <f t="shared" ca="1" si="19"/>
        <v>4</v>
      </c>
      <c r="J159" t="str">
        <f t="shared" si="20"/>
        <v>2-481 arg2</v>
      </c>
      <c r="K159" t="str">
        <f t="shared" si="21"/>
        <v>2-481 feedback2</v>
      </c>
      <c r="L159">
        <v>1</v>
      </c>
      <c r="M159" t="s">
        <v>1299</v>
      </c>
      <c r="N159">
        <v>158</v>
      </c>
    </row>
    <row r="160" spans="1:14">
      <c r="A160">
        <v>8</v>
      </c>
      <c r="B160">
        <f t="shared" si="22"/>
        <v>2</v>
      </c>
      <c r="C160">
        <v>482</v>
      </c>
      <c r="D160">
        <f t="shared" ca="1" si="15"/>
        <v>4</v>
      </c>
      <c r="E160" t="str">
        <f t="shared" si="16"/>
        <v>2-482 arg1</v>
      </c>
      <c r="F160">
        <f t="shared" ca="1" si="17"/>
        <v>4</v>
      </c>
      <c r="G160" t="str">
        <f t="shared" si="18"/>
        <v>2-482 feedback1</v>
      </c>
      <c r="H160">
        <v>1</v>
      </c>
      <c r="I160">
        <f t="shared" ca="1" si="19"/>
        <v>4</v>
      </c>
      <c r="J160" t="str">
        <f t="shared" si="20"/>
        <v>2-482 arg2</v>
      </c>
      <c r="K160" t="str">
        <f t="shared" si="21"/>
        <v>2-482 feedback2</v>
      </c>
      <c r="L160">
        <v>1</v>
      </c>
      <c r="M160" t="s">
        <v>1299</v>
      </c>
      <c r="N160">
        <v>159</v>
      </c>
    </row>
    <row r="161" spans="1:14">
      <c r="A161">
        <v>8</v>
      </c>
      <c r="B161">
        <f t="shared" si="22"/>
        <v>2</v>
      </c>
      <c r="C161">
        <v>483</v>
      </c>
      <c r="D161">
        <f t="shared" ca="1" si="15"/>
        <v>4</v>
      </c>
      <c r="E161" t="str">
        <f t="shared" si="16"/>
        <v>2-483 arg1</v>
      </c>
      <c r="F161">
        <f t="shared" ca="1" si="17"/>
        <v>3</v>
      </c>
      <c r="G161" t="str">
        <f t="shared" si="18"/>
        <v>2-483 feedback1</v>
      </c>
      <c r="H161">
        <v>1</v>
      </c>
      <c r="I161">
        <f t="shared" ca="1" si="19"/>
        <v>4</v>
      </c>
      <c r="J161" t="str">
        <f t="shared" si="20"/>
        <v>2-483 arg2</v>
      </c>
      <c r="K161" t="str">
        <f t="shared" si="21"/>
        <v>2-483 feedback2</v>
      </c>
      <c r="L161">
        <v>1</v>
      </c>
      <c r="M161" t="s">
        <v>1299</v>
      </c>
      <c r="N161">
        <v>160</v>
      </c>
    </row>
    <row r="162" spans="1:14">
      <c r="A162">
        <v>8</v>
      </c>
      <c r="B162">
        <f t="shared" si="22"/>
        <v>2</v>
      </c>
      <c r="C162">
        <v>484</v>
      </c>
      <c r="D162">
        <f t="shared" ca="1" si="15"/>
        <v>5</v>
      </c>
      <c r="E162" t="str">
        <f t="shared" si="16"/>
        <v>2-484 arg1</v>
      </c>
      <c r="F162">
        <f t="shared" ca="1" si="17"/>
        <v>4</v>
      </c>
      <c r="G162" t="str">
        <f t="shared" si="18"/>
        <v>2-484 feedback1</v>
      </c>
      <c r="H162">
        <v>1</v>
      </c>
      <c r="I162">
        <f t="shared" ca="1" si="19"/>
        <v>4</v>
      </c>
      <c r="J162" t="str">
        <f t="shared" si="20"/>
        <v>2-484 arg2</v>
      </c>
      <c r="K162" t="str">
        <f t="shared" si="21"/>
        <v>2-484 feedback2</v>
      </c>
      <c r="L162">
        <v>1</v>
      </c>
      <c r="M162" t="s">
        <v>1299</v>
      </c>
      <c r="N162">
        <v>161</v>
      </c>
    </row>
    <row r="163" spans="1:14">
      <c r="A163">
        <v>8</v>
      </c>
      <c r="B163">
        <f t="shared" si="22"/>
        <v>2</v>
      </c>
      <c r="C163">
        <v>485</v>
      </c>
      <c r="D163">
        <f t="shared" ca="1" si="15"/>
        <v>3</v>
      </c>
      <c r="E163" t="str">
        <f t="shared" si="16"/>
        <v>2-485 arg1</v>
      </c>
      <c r="F163">
        <f t="shared" ca="1" si="17"/>
        <v>2</v>
      </c>
      <c r="G163" t="str">
        <f t="shared" si="18"/>
        <v>2-485 feedback1</v>
      </c>
      <c r="H163">
        <v>1</v>
      </c>
      <c r="I163">
        <f t="shared" ca="1" si="19"/>
        <v>2</v>
      </c>
      <c r="J163" t="str">
        <f t="shared" si="20"/>
        <v>2-485 arg2</v>
      </c>
      <c r="K163" t="str">
        <f t="shared" si="21"/>
        <v>2-485 feedback2</v>
      </c>
      <c r="L163">
        <v>1</v>
      </c>
      <c r="M163" t="s">
        <v>1299</v>
      </c>
      <c r="N163">
        <v>162</v>
      </c>
    </row>
    <row r="164" spans="1:14">
      <c r="A164">
        <v>8</v>
      </c>
      <c r="B164">
        <f t="shared" si="22"/>
        <v>2</v>
      </c>
      <c r="C164">
        <v>486</v>
      </c>
      <c r="D164">
        <f t="shared" ca="1" si="15"/>
        <v>4</v>
      </c>
      <c r="E164" t="str">
        <f t="shared" si="16"/>
        <v>2-486 arg1</v>
      </c>
      <c r="F164">
        <f t="shared" ca="1" si="17"/>
        <v>3</v>
      </c>
      <c r="G164" t="str">
        <f t="shared" si="18"/>
        <v>2-486 feedback1</v>
      </c>
      <c r="H164">
        <v>1</v>
      </c>
      <c r="I164">
        <f t="shared" ca="1" si="19"/>
        <v>4</v>
      </c>
      <c r="J164" t="str">
        <f t="shared" si="20"/>
        <v>2-486 arg2</v>
      </c>
      <c r="K164" t="str">
        <f t="shared" si="21"/>
        <v>2-486 feedback2</v>
      </c>
      <c r="L164">
        <v>1</v>
      </c>
      <c r="M164" t="s">
        <v>1299</v>
      </c>
      <c r="N164">
        <v>163</v>
      </c>
    </row>
    <row r="165" spans="1:14">
      <c r="A165">
        <v>8</v>
      </c>
      <c r="B165">
        <f t="shared" si="22"/>
        <v>2</v>
      </c>
      <c r="C165">
        <v>487</v>
      </c>
      <c r="D165">
        <f t="shared" ca="1" si="15"/>
        <v>4</v>
      </c>
      <c r="E165" t="str">
        <f t="shared" si="16"/>
        <v>2-487 arg1</v>
      </c>
      <c r="F165">
        <f t="shared" ca="1" si="17"/>
        <v>2</v>
      </c>
      <c r="G165" t="str">
        <f t="shared" si="18"/>
        <v>2-487 feedback1</v>
      </c>
      <c r="H165">
        <v>1</v>
      </c>
      <c r="I165">
        <f t="shared" ca="1" si="19"/>
        <v>2</v>
      </c>
      <c r="J165" t="str">
        <f t="shared" si="20"/>
        <v>2-487 arg2</v>
      </c>
      <c r="K165" t="str">
        <f t="shared" si="21"/>
        <v>2-487 feedback2</v>
      </c>
      <c r="L165">
        <v>1</v>
      </c>
      <c r="M165" t="s">
        <v>1299</v>
      </c>
      <c r="N165">
        <v>164</v>
      </c>
    </row>
    <row r="166" spans="1:14">
      <c r="A166">
        <v>8</v>
      </c>
      <c r="B166">
        <f t="shared" si="22"/>
        <v>2</v>
      </c>
      <c r="C166">
        <v>488</v>
      </c>
      <c r="D166">
        <f t="shared" ca="1" si="15"/>
        <v>4</v>
      </c>
      <c r="E166" t="str">
        <f t="shared" si="16"/>
        <v>2-488 arg1</v>
      </c>
      <c r="F166">
        <f t="shared" ca="1" si="17"/>
        <v>3</v>
      </c>
      <c r="G166" t="str">
        <f t="shared" si="18"/>
        <v>2-488 feedback1</v>
      </c>
      <c r="H166">
        <v>1</v>
      </c>
      <c r="I166">
        <f t="shared" ca="1" si="19"/>
        <v>4</v>
      </c>
      <c r="J166" t="str">
        <f t="shared" si="20"/>
        <v>2-488 arg2</v>
      </c>
      <c r="K166" t="str">
        <f t="shared" si="21"/>
        <v>2-488 feedback2</v>
      </c>
      <c r="L166">
        <v>1</v>
      </c>
      <c r="M166" t="s">
        <v>1299</v>
      </c>
      <c r="N166">
        <v>165</v>
      </c>
    </row>
    <row r="167" spans="1:14">
      <c r="A167">
        <v>8</v>
      </c>
      <c r="B167">
        <f t="shared" si="22"/>
        <v>2</v>
      </c>
      <c r="C167">
        <v>489</v>
      </c>
      <c r="D167">
        <f t="shared" ca="1" si="15"/>
        <v>5</v>
      </c>
      <c r="E167" t="str">
        <f t="shared" si="16"/>
        <v>2-489 arg1</v>
      </c>
      <c r="F167">
        <f t="shared" ca="1" si="17"/>
        <v>5</v>
      </c>
      <c r="G167" t="str">
        <f t="shared" si="18"/>
        <v>2-489 feedback1</v>
      </c>
      <c r="H167">
        <v>1</v>
      </c>
      <c r="I167">
        <f t="shared" ca="1" si="19"/>
        <v>5</v>
      </c>
      <c r="J167" t="str">
        <f t="shared" si="20"/>
        <v>2-489 arg2</v>
      </c>
      <c r="K167" t="str">
        <f t="shared" si="21"/>
        <v>2-489 feedback2</v>
      </c>
      <c r="L167">
        <v>1</v>
      </c>
      <c r="M167" t="s">
        <v>1299</v>
      </c>
      <c r="N167">
        <v>166</v>
      </c>
    </row>
    <row r="168" spans="1:14">
      <c r="A168">
        <v>8</v>
      </c>
      <c r="B168">
        <f t="shared" si="22"/>
        <v>2</v>
      </c>
      <c r="C168">
        <v>490</v>
      </c>
      <c r="D168">
        <f t="shared" ca="1" si="15"/>
        <v>5</v>
      </c>
      <c r="E168" t="str">
        <f t="shared" si="16"/>
        <v>2-490 arg1</v>
      </c>
      <c r="F168">
        <f t="shared" ca="1" si="17"/>
        <v>4</v>
      </c>
      <c r="G168" t="str">
        <f t="shared" si="18"/>
        <v>2-490 feedback1</v>
      </c>
      <c r="H168">
        <v>1</v>
      </c>
      <c r="I168">
        <f t="shared" ca="1" si="19"/>
        <v>5</v>
      </c>
      <c r="J168" t="str">
        <f t="shared" si="20"/>
        <v>2-490 arg2</v>
      </c>
      <c r="K168" t="str">
        <f t="shared" si="21"/>
        <v>2-490 feedback2</v>
      </c>
      <c r="L168">
        <v>1</v>
      </c>
      <c r="M168" t="s">
        <v>1299</v>
      </c>
      <c r="N168">
        <v>167</v>
      </c>
    </row>
    <row r="169" spans="1:14">
      <c r="A169">
        <v>8</v>
      </c>
      <c r="B169">
        <f t="shared" si="22"/>
        <v>2</v>
      </c>
      <c r="C169">
        <v>491</v>
      </c>
      <c r="D169">
        <f t="shared" ca="1" si="15"/>
        <v>3</v>
      </c>
      <c r="E169" t="str">
        <f t="shared" si="16"/>
        <v>2-491 arg1</v>
      </c>
      <c r="F169">
        <f t="shared" ca="1" si="17"/>
        <v>1</v>
      </c>
      <c r="G169" t="str">
        <f t="shared" si="18"/>
        <v>2-491 feedback1</v>
      </c>
      <c r="H169">
        <v>1</v>
      </c>
      <c r="I169">
        <f t="shared" ca="1" si="19"/>
        <v>1</v>
      </c>
      <c r="J169" t="str">
        <f t="shared" si="20"/>
        <v>2-491 arg2</v>
      </c>
      <c r="K169" t="str">
        <f t="shared" si="21"/>
        <v>2-491 feedback2</v>
      </c>
      <c r="L169">
        <v>1</v>
      </c>
      <c r="M169" t="s">
        <v>1299</v>
      </c>
      <c r="N169">
        <v>168</v>
      </c>
    </row>
    <row r="170" spans="1:14">
      <c r="A170">
        <v>8</v>
      </c>
      <c r="B170">
        <f t="shared" si="22"/>
        <v>2</v>
      </c>
      <c r="C170">
        <v>492</v>
      </c>
      <c r="D170">
        <f t="shared" ca="1" si="15"/>
        <v>5</v>
      </c>
      <c r="E170" t="str">
        <f t="shared" si="16"/>
        <v>2-492 arg1</v>
      </c>
      <c r="F170">
        <f t="shared" ca="1" si="17"/>
        <v>4</v>
      </c>
      <c r="G170" t="str">
        <f t="shared" si="18"/>
        <v>2-492 feedback1</v>
      </c>
      <c r="H170">
        <v>1</v>
      </c>
      <c r="I170">
        <f t="shared" ca="1" si="19"/>
        <v>4</v>
      </c>
      <c r="J170" t="str">
        <f t="shared" si="20"/>
        <v>2-492 arg2</v>
      </c>
      <c r="K170" t="str">
        <f t="shared" si="21"/>
        <v>2-492 feedback2</v>
      </c>
      <c r="L170">
        <v>1</v>
      </c>
      <c r="M170" t="s">
        <v>1299</v>
      </c>
      <c r="N170">
        <v>169</v>
      </c>
    </row>
    <row r="171" spans="1:14">
      <c r="A171">
        <v>8</v>
      </c>
      <c r="B171">
        <f t="shared" si="22"/>
        <v>2</v>
      </c>
      <c r="C171">
        <v>493</v>
      </c>
      <c r="D171">
        <f t="shared" ca="1" si="15"/>
        <v>4</v>
      </c>
      <c r="E171" t="str">
        <f t="shared" si="16"/>
        <v>2-493 arg1</v>
      </c>
      <c r="F171">
        <f t="shared" ca="1" si="17"/>
        <v>4</v>
      </c>
      <c r="G171" t="str">
        <f t="shared" si="18"/>
        <v>2-493 feedback1</v>
      </c>
      <c r="H171">
        <v>1</v>
      </c>
      <c r="I171">
        <f t="shared" ca="1" si="19"/>
        <v>5</v>
      </c>
      <c r="J171" t="str">
        <f t="shared" si="20"/>
        <v>2-493 arg2</v>
      </c>
      <c r="K171" t="str">
        <f t="shared" si="21"/>
        <v>2-493 feedback2</v>
      </c>
      <c r="L171">
        <v>1</v>
      </c>
      <c r="M171" t="s">
        <v>1299</v>
      </c>
      <c r="N171">
        <v>170</v>
      </c>
    </row>
    <row r="172" spans="1:14">
      <c r="A172">
        <v>8</v>
      </c>
      <c r="B172">
        <f t="shared" si="22"/>
        <v>3</v>
      </c>
      <c r="C172">
        <v>409</v>
      </c>
      <c r="D172">
        <f t="shared" ca="1" si="15"/>
        <v>4</v>
      </c>
      <c r="E172" t="str">
        <f t="shared" si="16"/>
        <v>3-409 arg1</v>
      </c>
      <c r="F172">
        <f ca="1">D172-ROUND(2*RAND(),0)</f>
        <v>3</v>
      </c>
      <c r="G172" t="str">
        <f t="shared" si="18"/>
        <v>3-409 feedback1</v>
      </c>
      <c r="H172">
        <v>1</v>
      </c>
      <c r="I172">
        <f t="shared" ca="1" si="19"/>
        <v>3</v>
      </c>
      <c r="J172" t="str">
        <f t="shared" si="20"/>
        <v>3-409 arg2</v>
      </c>
      <c r="K172" t="str">
        <f t="shared" si="21"/>
        <v>3-409 feedback2</v>
      </c>
      <c r="L172">
        <v>1</v>
      </c>
      <c r="M172" t="s">
        <v>1299</v>
      </c>
      <c r="N172">
        <v>171</v>
      </c>
    </row>
    <row r="173" spans="1:14">
      <c r="A173">
        <v>8</v>
      </c>
      <c r="B173">
        <f t="shared" si="22"/>
        <v>3</v>
      </c>
      <c r="C173">
        <v>410</v>
      </c>
      <c r="D173">
        <f t="shared" ca="1" si="15"/>
        <v>5</v>
      </c>
      <c r="E173" t="str">
        <f t="shared" si="16"/>
        <v>3-410 arg1</v>
      </c>
      <c r="F173">
        <f t="shared" ref="F173:F236" ca="1" si="23">D173-ROUND(2*RAND(),0)</f>
        <v>5</v>
      </c>
      <c r="G173" t="str">
        <f t="shared" si="18"/>
        <v>3-410 feedback1</v>
      </c>
      <c r="H173">
        <v>1</v>
      </c>
      <c r="I173">
        <f t="shared" ca="1" si="19"/>
        <v>5</v>
      </c>
      <c r="J173" t="str">
        <f t="shared" si="20"/>
        <v>3-410 arg2</v>
      </c>
      <c r="K173" t="str">
        <f t="shared" si="21"/>
        <v>3-410 feedback2</v>
      </c>
      <c r="L173">
        <v>1</v>
      </c>
      <c r="M173" t="s">
        <v>1299</v>
      </c>
      <c r="N173">
        <v>172</v>
      </c>
    </row>
    <row r="174" spans="1:14">
      <c r="A174">
        <v>8</v>
      </c>
      <c r="B174">
        <f t="shared" si="22"/>
        <v>3</v>
      </c>
      <c r="C174">
        <v>411</v>
      </c>
      <c r="D174">
        <f t="shared" ca="1" si="15"/>
        <v>5</v>
      </c>
      <c r="E174" t="str">
        <f t="shared" si="16"/>
        <v>3-411 arg1</v>
      </c>
      <c r="F174">
        <f t="shared" ca="1" si="23"/>
        <v>4</v>
      </c>
      <c r="G174" t="str">
        <f t="shared" si="18"/>
        <v>3-411 feedback1</v>
      </c>
      <c r="H174">
        <v>1</v>
      </c>
      <c r="I174">
        <f t="shared" ca="1" si="19"/>
        <v>5</v>
      </c>
      <c r="J174" t="str">
        <f t="shared" si="20"/>
        <v>3-411 arg2</v>
      </c>
      <c r="K174" t="str">
        <f t="shared" si="21"/>
        <v>3-411 feedback2</v>
      </c>
      <c r="L174">
        <v>1</v>
      </c>
      <c r="M174" t="s">
        <v>1299</v>
      </c>
      <c r="N174">
        <v>173</v>
      </c>
    </row>
    <row r="175" spans="1:14">
      <c r="A175">
        <v>8</v>
      </c>
      <c r="B175">
        <f t="shared" si="22"/>
        <v>3</v>
      </c>
      <c r="C175">
        <v>412</v>
      </c>
      <c r="D175">
        <f t="shared" ca="1" si="15"/>
        <v>4</v>
      </c>
      <c r="E175" t="str">
        <f t="shared" si="16"/>
        <v>3-412 arg1</v>
      </c>
      <c r="F175">
        <f t="shared" ca="1" si="23"/>
        <v>2</v>
      </c>
      <c r="G175" t="str">
        <f t="shared" si="18"/>
        <v>3-412 feedback1</v>
      </c>
      <c r="H175">
        <v>1</v>
      </c>
      <c r="I175">
        <f t="shared" ca="1" si="19"/>
        <v>3</v>
      </c>
      <c r="J175" t="str">
        <f t="shared" si="20"/>
        <v>3-412 arg2</v>
      </c>
      <c r="K175" t="str">
        <f t="shared" si="21"/>
        <v>3-412 feedback2</v>
      </c>
      <c r="L175">
        <v>1</v>
      </c>
      <c r="M175" t="s">
        <v>1299</v>
      </c>
      <c r="N175">
        <v>174</v>
      </c>
    </row>
    <row r="176" spans="1:14">
      <c r="A176">
        <v>8</v>
      </c>
      <c r="B176">
        <f t="shared" si="22"/>
        <v>3</v>
      </c>
      <c r="C176">
        <v>413</v>
      </c>
      <c r="D176">
        <f t="shared" ca="1" si="15"/>
        <v>4</v>
      </c>
      <c r="E176" t="str">
        <f t="shared" si="16"/>
        <v>3-413 arg1</v>
      </c>
      <c r="F176">
        <f t="shared" ca="1" si="23"/>
        <v>2</v>
      </c>
      <c r="G176" t="str">
        <f t="shared" si="18"/>
        <v>3-413 feedback1</v>
      </c>
      <c r="H176">
        <v>1</v>
      </c>
      <c r="I176">
        <f t="shared" ca="1" si="19"/>
        <v>3</v>
      </c>
      <c r="J176" t="str">
        <f t="shared" si="20"/>
        <v>3-413 arg2</v>
      </c>
      <c r="K176" t="str">
        <f t="shared" si="21"/>
        <v>3-413 feedback2</v>
      </c>
      <c r="L176">
        <v>1</v>
      </c>
      <c r="M176" t="s">
        <v>1299</v>
      </c>
      <c r="N176">
        <v>175</v>
      </c>
    </row>
    <row r="177" spans="1:14">
      <c r="A177">
        <v>8</v>
      </c>
      <c r="B177">
        <f t="shared" si="22"/>
        <v>3</v>
      </c>
      <c r="C177">
        <v>414</v>
      </c>
      <c r="D177">
        <f t="shared" ca="1" si="15"/>
        <v>3</v>
      </c>
      <c r="E177" t="str">
        <f t="shared" si="16"/>
        <v>3-414 arg1</v>
      </c>
      <c r="F177">
        <f t="shared" ca="1" si="23"/>
        <v>3</v>
      </c>
      <c r="G177" t="str">
        <f t="shared" si="18"/>
        <v>3-414 feedback1</v>
      </c>
      <c r="H177">
        <v>1</v>
      </c>
      <c r="I177">
        <f t="shared" ca="1" si="19"/>
        <v>3</v>
      </c>
      <c r="J177" t="str">
        <f t="shared" si="20"/>
        <v>3-414 arg2</v>
      </c>
      <c r="K177" t="str">
        <f t="shared" si="21"/>
        <v>3-414 feedback2</v>
      </c>
      <c r="L177">
        <v>1</v>
      </c>
      <c r="M177" t="s">
        <v>1299</v>
      </c>
      <c r="N177">
        <v>176</v>
      </c>
    </row>
    <row r="178" spans="1:14">
      <c r="A178">
        <v>8</v>
      </c>
      <c r="B178">
        <f t="shared" si="22"/>
        <v>3</v>
      </c>
      <c r="C178">
        <v>415</v>
      </c>
      <c r="D178">
        <f t="shared" ca="1" si="15"/>
        <v>3</v>
      </c>
      <c r="E178" t="str">
        <f t="shared" si="16"/>
        <v>3-415 arg1</v>
      </c>
      <c r="F178">
        <f t="shared" ca="1" si="23"/>
        <v>3</v>
      </c>
      <c r="G178" t="str">
        <f t="shared" si="18"/>
        <v>3-415 feedback1</v>
      </c>
      <c r="H178">
        <v>1</v>
      </c>
      <c r="I178">
        <f t="shared" ca="1" si="19"/>
        <v>4</v>
      </c>
      <c r="J178" t="str">
        <f t="shared" si="20"/>
        <v>3-415 arg2</v>
      </c>
      <c r="K178" t="str">
        <f t="shared" si="21"/>
        <v>3-415 feedback2</v>
      </c>
      <c r="L178">
        <v>1</v>
      </c>
      <c r="M178" t="s">
        <v>1299</v>
      </c>
      <c r="N178">
        <v>177</v>
      </c>
    </row>
    <row r="179" spans="1:14">
      <c r="A179">
        <v>8</v>
      </c>
      <c r="B179">
        <f t="shared" si="22"/>
        <v>3</v>
      </c>
      <c r="C179">
        <v>416</v>
      </c>
      <c r="D179">
        <f t="shared" ca="1" si="15"/>
        <v>4</v>
      </c>
      <c r="E179" t="str">
        <f t="shared" si="16"/>
        <v>3-416 arg1</v>
      </c>
      <c r="F179">
        <f t="shared" ca="1" si="23"/>
        <v>3</v>
      </c>
      <c r="G179" t="str">
        <f t="shared" si="18"/>
        <v>3-416 feedback1</v>
      </c>
      <c r="H179">
        <v>1</v>
      </c>
      <c r="I179">
        <f t="shared" ca="1" si="19"/>
        <v>4</v>
      </c>
      <c r="J179" t="str">
        <f t="shared" si="20"/>
        <v>3-416 arg2</v>
      </c>
      <c r="K179" t="str">
        <f t="shared" si="21"/>
        <v>3-416 feedback2</v>
      </c>
      <c r="L179">
        <v>1</v>
      </c>
      <c r="M179" t="s">
        <v>1299</v>
      </c>
      <c r="N179">
        <v>178</v>
      </c>
    </row>
    <row r="180" spans="1:14">
      <c r="A180">
        <v>8</v>
      </c>
      <c r="B180">
        <f t="shared" si="22"/>
        <v>3</v>
      </c>
      <c r="C180">
        <v>417</v>
      </c>
      <c r="D180">
        <f t="shared" ca="1" si="15"/>
        <v>4</v>
      </c>
      <c r="E180" t="str">
        <f t="shared" si="16"/>
        <v>3-417 arg1</v>
      </c>
      <c r="F180">
        <f t="shared" ca="1" si="23"/>
        <v>4</v>
      </c>
      <c r="G180" t="str">
        <f t="shared" si="18"/>
        <v>3-417 feedback1</v>
      </c>
      <c r="H180">
        <v>1</v>
      </c>
      <c r="I180">
        <f t="shared" ca="1" si="19"/>
        <v>4</v>
      </c>
      <c r="J180" t="str">
        <f t="shared" si="20"/>
        <v>3-417 arg2</v>
      </c>
      <c r="K180" t="str">
        <f t="shared" si="21"/>
        <v>3-417 feedback2</v>
      </c>
      <c r="L180">
        <v>1</v>
      </c>
      <c r="M180" t="s">
        <v>1299</v>
      </c>
      <c r="N180">
        <v>179</v>
      </c>
    </row>
    <row r="181" spans="1:14">
      <c r="A181">
        <v>8</v>
      </c>
      <c r="B181">
        <f t="shared" si="22"/>
        <v>3</v>
      </c>
      <c r="C181">
        <v>418</v>
      </c>
      <c r="D181">
        <f t="shared" ca="1" si="15"/>
        <v>4</v>
      </c>
      <c r="E181" t="str">
        <f t="shared" si="16"/>
        <v>3-418 arg1</v>
      </c>
      <c r="F181">
        <f t="shared" ca="1" si="23"/>
        <v>2</v>
      </c>
      <c r="G181" t="str">
        <f t="shared" si="18"/>
        <v>3-418 feedback1</v>
      </c>
      <c r="H181">
        <v>1</v>
      </c>
      <c r="I181">
        <f t="shared" ca="1" si="19"/>
        <v>2</v>
      </c>
      <c r="J181" t="str">
        <f t="shared" si="20"/>
        <v>3-418 arg2</v>
      </c>
      <c r="K181" t="str">
        <f t="shared" si="21"/>
        <v>3-418 feedback2</v>
      </c>
      <c r="L181">
        <v>1</v>
      </c>
      <c r="M181" t="s">
        <v>1299</v>
      </c>
      <c r="N181">
        <v>180</v>
      </c>
    </row>
    <row r="182" spans="1:14">
      <c r="A182">
        <v>8</v>
      </c>
      <c r="B182">
        <f t="shared" si="22"/>
        <v>3</v>
      </c>
      <c r="C182">
        <v>419</v>
      </c>
      <c r="D182">
        <f t="shared" ca="1" si="15"/>
        <v>4</v>
      </c>
      <c r="E182" t="str">
        <f t="shared" si="16"/>
        <v>3-419 arg1</v>
      </c>
      <c r="F182">
        <f t="shared" ca="1" si="23"/>
        <v>3</v>
      </c>
      <c r="G182" t="str">
        <f t="shared" si="18"/>
        <v>3-419 feedback1</v>
      </c>
      <c r="H182">
        <v>1</v>
      </c>
      <c r="I182">
        <f t="shared" ca="1" si="19"/>
        <v>3</v>
      </c>
      <c r="J182" t="str">
        <f t="shared" si="20"/>
        <v>3-419 arg2</v>
      </c>
      <c r="K182" t="str">
        <f t="shared" si="21"/>
        <v>3-419 feedback2</v>
      </c>
      <c r="L182">
        <v>1</v>
      </c>
      <c r="M182" t="s">
        <v>1299</v>
      </c>
      <c r="N182">
        <v>181</v>
      </c>
    </row>
    <row r="183" spans="1:14">
      <c r="A183">
        <v>8</v>
      </c>
      <c r="B183">
        <f t="shared" si="22"/>
        <v>3</v>
      </c>
      <c r="C183">
        <v>420</v>
      </c>
      <c r="D183">
        <f t="shared" ca="1" si="15"/>
        <v>5</v>
      </c>
      <c r="E183" t="str">
        <f t="shared" si="16"/>
        <v>3-420 arg1</v>
      </c>
      <c r="F183">
        <f t="shared" ca="1" si="23"/>
        <v>5</v>
      </c>
      <c r="G183" t="str">
        <f t="shared" si="18"/>
        <v>3-420 feedback1</v>
      </c>
      <c r="H183">
        <v>1</v>
      </c>
      <c r="I183">
        <f t="shared" ca="1" si="19"/>
        <v>5</v>
      </c>
      <c r="J183" t="str">
        <f t="shared" si="20"/>
        <v>3-420 arg2</v>
      </c>
      <c r="K183" t="str">
        <f t="shared" si="21"/>
        <v>3-420 feedback2</v>
      </c>
      <c r="L183">
        <v>1</v>
      </c>
      <c r="M183" t="s">
        <v>1299</v>
      </c>
      <c r="N183">
        <v>182</v>
      </c>
    </row>
    <row r="184" spans="1:14">
      <c r="A184">
        <v>8</v>
      </c>
      <c r="B184">
        <f t="shared" si="22"/>
        <v>3</v>
      </c>
      <c r="C184">
        <v>421</v>
      </c>
      <c r="D184">
        <f t="shared" ca="1" si="15"/>
        <v>3</v>
      </c>
      <c r="E184" t="str">
        <f t="shared" si="16"/>
        <v>3-421 arg1</v>
      </c>
      <c r="F184">
        <f t="shared" ca="1" si="23"/>
        <v>1</v>
      </c>
      <c r="G184" t="str">
        <f t="shared" si="18"/>
        <v>3-421 feedback1</v>
      </c>
      <c r="H184">
        <v>1</v>
      </c>
      <c r="I184">
        <f t="shared" ca="1" si="19"/>
        <v>2</v>
      </c>
      <c r="J184" t="str">
        <f t="shared" si="20"/>
        <v>3-421 arg2</v>
      </c>
      <c r="K184" t="str">
        <f t="shared" si="21"/>
        <v>3-421 feedback2</v>
      </c>
      <c r="L184">
        <v>1</v>
      </c>
      <c r="M184" t="s">
        <v>1299</v>
      </c>
      <c r="N184">
        <v>183</v>
      </c>
    </row>
    <row r="185" spans="1:14">
      <c r="A185">
        <v>8</v>
      </c>
      <c r="B185">
        <f t="shared" si="22"/>
        <v>3</v>
      </c>
      <c r="C185">
        <v>422</v>
      </c>
      <c r="D185">
        <f t="shared" ca="1" si="15"/>
        <v>5</v>
      </c>
      <c r="E185" t="str">
        <f t="shared" si="16"/>
        <v>3-422 arg1</v>
      </c>
      <c r="F185">
        <f t="shared" ca="1" si="23"/>
        <v>5</v>
      </c>
      <c r="G185" t="str">
        <f t="shared" si="18"/>
        <v>3-422 feedback1</v>
      </c>
      <c r="H185">
        <v>1</v>
      </c>
      <c r="I185">
        <f t="shared" ca="1" si="19"/>
        <v>5</v>
      </c>
      <c r="J185" t="str">
        <f t="shared" si="20"/>
        <v>3-422 arg2</v>
      </c>
      <c r="K185" t="str">
        <f t="shared" si="21"/>
        <v>3-422 feedback2</v>
      </c>
      <c r="L185">
        <v>1</v>
      </c>
      <c r="M185" t="s">
        <v>1299</v>
      </c>
      <c r="N185">
        <v>184</v>
      </c>
    </row>
    <row r="186" spans="1:14">
      <c r="A186">
        <v>8</v>
      </c>
      <c r="B186">
        <f t="shared" si="22"/>
        <v>3</v>
      </c>
      <c r="C186">
        <v>423</v>
      </c>
      <c r="D186">
        <f t="shared" ca="1" si="15"/>
        <v>3</v>
      </c>
      <c r="E186" t="str">
        <f t="shared" si="16"/>
        <v>3-423 arg1</v>
      </c>
      <c r="F186">
        <f t="shared" ca="1" si="23"/>
        <v>1</v>
      </c>
      <c r="G186" t="str">
        <f t="shared" si="18"/>
        <v>3-423 feedback1</v>
      </c>
      <c r="H186">
        <v>1</v>
      </c>
      <c r="I186">
        <f t="shared" ca="1" si="19"/>
        <v>1</v>
      </c>
      <c r="J186" t="str">
        <f t="shared" si="20"/>
        <v>3-423 arg2</v>
      </c>
      <c r="K186" t="str">
        <f t="shared" si="21"/>
        <v>3-423 feedback2</v>
      </c>
      <c r="L186">
        <v>1</v>
      </c>
      <c r="M186" t="s">
        <v>1299</v>
      </c>
      <c r="N186">
        <v>185</v>
      </c>
    </row>
    <row r="187" spans="1:14">
      <c r="A187">
        <v>8</v>
      </c>
      <c r="B187">
        <f t="shared" si="22"/>
        <v>3</v>
      </c>
      <c r="C187">
        <v>424</v>
      </c>
      <c r="D187">
        <f t="shared" ca="1" si="15"/>
        <v>3</v>
      </c>
      <c r="E187" t="str">
        <f t="shared" si="16"/>
        <v>3-424 arg1</v>
      </c>
      <c r="F187">
        <f t="shared" ca="1" si="23"/>
        <v>2</v>
      </c>
      <c r="G187" t="str">
        <f t="shared" si="18"/>
        <v>3-424 feedback1</v>
      </c>
      <c r="H187">
        <v>1</v>
      </c>
      <c r="I187">
        <f t="shared" ca="1" si="19"/>
        <v>2</v>
      </c>
      <c r="J187" t="str">
        <f t="shared" si="20"/>
        <v>3-424 arg2</v>
      </c>
      <c r="K187" t="str">
        <f t="shared" si="21"/>
        <v>3-424 feedback2</v>
      </c>
      <c r="L187">
        <v>1</v>
      </c>
      <c r="M187" t="s">
        <v>1299</v>
      </c>
      <c r="N187">
        <v>186</v>
      </c>
    </row>
    <row r="188" spans="1:14">
      <c r="A188">
        <v>8</v>
      </c>
      <c r="B188">
        <f t="shared" si="22"/>
        <v>3</v>
      </c>
      <c r="C188">
        <v>425</v>
      </c>
      <c r="D188">
        <f t="shared" ca="1" si="15"/>
        <v>5</v>
      </c>
      <c r="E188" t="str">
        <f t="shared" si="16"/>
        <v>3-425 arg1</v>
      </c>
      <c r="F188">
        <f t="shared" ca="1" si="23"/>
        <v>4</v>
      </c>
      <c r="G188" t="str">
        <f t="shared" si="18"/>
        <v>3-425 feedback1</v>
      </c>
      <c r="H188">
        <v>1</v>
      </c>
      <c r="I188">
        <f t="shared" ca="1" si="19"/>
        <v>4</v>
      </c>
      <c r="J188" t="str">
        <f t="shared" si="20"/>
        <v>3-425 arg2</v>
      </c>
      <c r="K188" t="str">
        <f t="shared" si="21"/>
        <v>3-425 feedback2</v>
      </c>
      <c r="L188">
        <v>1</v>
      </c>
      <c r="M188" t="s">
        <v>1299</v>
      </c>
      <c r="N188">
        <v>187</v>
      </c>
    </row>
    <row r="189" spans="1:14">
      <c r="A189">
        <v>8</v>
      </c>
      <c r="B189">
        <f t="shared" si="22"/>
        <v>3</v>
      </c>
      <c r="C189">
        <v>426</v>
      </c>
      <c r="D189">
        <f t="shared" ca="1" si="15"/>
        <v>3</v>
      </c>
      <c r="E189" t="str">
        <f t="shared" si="16"/>
        <v>3-426 arg1</v>
      </c>
      <c r="F189">
        <f t="shared" ca="1" si="23"/>
        <v>1</v>
      </c>
      <c r="G189" t="str">
        <f t="shared" si="18"/>
        <v>3-426 feedback1</v>
      </c>
      <c r="H189">
        <v>1</v>
      </c>
      <c r="I189">
        <f t="shared" ca="1" si="19"/>
        <v>1</v>
      </c>
      <c r="J189" t="str">
        <f t="shared" si="20"/>
        <v>3-426 arg2</v>
      </c>
      <c r="K189" t="str">
        <f t="shared" si="21"/>
        <v>3-426 feedback2</v>
      </c>
      <c r="L189">
        <v>1</v>
      </c>
      <c r="M189" t="s">
        <v>1299</v>
      </c>
      <c r="N189">
        <v>188</v>
      </c>
    </row>
    <row r="190" spans="1:14">
      <c r="A190">
        <v>8</v>
      </c>
      <c r="B190">
        <f t="shared" si="22"/>
        <v>3</v>
      </c>
      <c r="C190">
        <v>427</v>
      </c>
      <c r="D190">
        <f t="shared" ca="1" si="15"/>
        <v>3</v>
      </c>
      <c r="E190" t="str">
        <f t="shared" si="16"/>
        <v>3-427 arg1</v>
      </c>
      <c r="F190">
        <f t="shared" ca="1" si="23"/>
        <v>2</v>
      </c>
      <c r="G190" t="str">
        <f t="shared" si="18"/>
        <v>3-427 feedback1</v>
      </c>
      <c r="H190">
        <v>1</v>
      </c>
      <c r="I190">
        <f t="shared" ca="1" si="19"/>
        <v>2</v>
      </c>
      <c r="J190" t="str">
        <f t="shared" si="20"/>
        <v>3-427 arg2</v>
      </c>
      <c r="K190" t="str">
        <f t="shared" si="21"/>
        <v>3-427 feedback2</v>
      </c>
      <c r="L190">
        <v>1</v>
      </c>
      <c r="M190" t="s">
        <v>1299</v>
      </c>
      <c r="N190">
        <v>189</v>
      </c>
    </row>
    <row r="191" spans="1:14">
      <c r="A191">
        <v>8</v>
      </c>
      <c r="B191">
        <f t="shared" si="22"/>
        <v>3</v>
      </c>
      <c r="C191">
        <v>428</v>
      </c>
      <c r="D191">
        <f t="shared" ca="1" si="15"/>
        <v>4</v>
      </c>
      <c r="E191" t="str">
        <f t="shared" si="16"/>
        <v>3-428 arg1</v>
      </c>
      <c r="F191">
        <f t="shared" ca="1" si="23"/>
        <v>3</v>
      </c>
      <c r="G191" t="str">
        <f t="shared" si="18"/>
        <v>3-428 feedback1</v>
      </c>
      <c r="H191">
        <v>1</v>
      </c>
      <c r="I191">
        <f t="shared" ca="1" si="19"/>
        <v>4</v>
      </c>
      <c r="J191" t="str">
        <f t="shared" si="20"/>
        <v>3-428 arg2</v>
      </c>
      <c r="K191" t="str">
        <f t="shared" si="21"/>
        <v>3-428 feedback2</v>
      </c>
      <c r="L191">
        <v>1</v>
      </c>
      <c r="M191" t="s">
        <v>1299</v>
      </c>
      <c r="N191">
        <v>190</v>
      </c>
    </row>
    <row r="192" spans="1:14">
      <c r="A192">
        <v>8</v>
      </c>
      <c r="B192">
        <f t="shared" si="22"/>
        <v>3</v>
      </c>
      <c r="C192">
        <v>429</v>
      </c>
      <c r="D192">
        <f t="shared" ca="1" si="15"/>
        <v>3</v>
      </c>
      <c r="E192" t="str">
        <f t="shared" si="16"/>
        <v>3-429 arg1</v>
      </c>
      <c r="F192">
        <f t="shared" ca="1" si="23"/>
        <v>1</v>
      </c>
      <c r="G192" t="str">
        <f t="shared" si="18"/>
        <v>3-429 feedback1</v>
      </c>
      <c r="H192">
        <v>1</v>
      </c>
      <c r="I192">
        <f t="shared" ca="1" si="19"/>
        <v>1</v>
      </c>
      <c r="J192" t="str">
        <f t="shared" si="20"/>
        <v>3-429 arg2</v>
      </c>
      <c r="K192" t="str">
        <f t="shared" si="21"/>
        <v>3-429 feedback2</v>
      </c>
      <c r="L192">
        <v>1</v>
      </c>
      <c r="M192" t="s">
        <v>1299</v>
      </c>
      <c r="N192">
        <v>191</v>
      </c>
    </row>
    <row r="193" spans="1:14">
      <c r="A193">
        <v>8</v>
      </c>
      <c r="B193">
        <f t="shared" si="22"/>
        <v>3</v>
      </c>
      <c r="C193">
        <v>430</v>
      </c>
      <c r="D193">
        <f t="shared" ca="1" si="15"/>
        <v>5</v>
      </c>
      <c r="E193" t="str">
        <f t="shared" si="16"/>
        <v>3-430 arg1</v>
      </c>
      <c r="F193">
        <f t="shared" ca="1" si="23"/>
        <v>5</v>
      </c>
      <c r="G193" t="str">
        <f t="shared" si="18"/>
        <v>3-430 feedback1</v>
      </c>
      <c r="H193">
        <v>1</v>
      </c>
      <c r="I193">
        <f t="shared" ca="1" si="19"/>
        <v>5</v>
      </c>
      <c r="J193" t="str">
        <f t="shared" si="20"/>
        <v>3-430 arg2</v>
      </c>
      <c r="K193" t="str">
        <f t="shared" si="21"/>
        <v>3-430 feedback2</v>
      </c>
      <c r="L193">
        <v>1</v>
      </c>
      <c r="M193" t="s">
        <v>1299</v>
      </c>
      <c r="N193">
        <v>192</v>
      </c>
    </row>
    <row r="194" spans="1:14">
      <c r="A194">
        <v>8</v>
      </c>
      <c r="B194">
        <f t="shared" si="22"/>
        <v>3</v>
      </c>
      <c r="C194">
        <v>431</v>
      </c>
      <c r="D194">
        <f t="shared" ca="1" si="15"/>
        <v>4</v>
      </c>
      <c r="E194" t="str">
        <f t="shared" si="16"/>
        <v>3-431 arg1</v>
      </c>
      <c r="F194">
        <f t="shared" ca="1" si="23"/>
        <v>4</v>
      </c>
      <c r="G194" t="str">
        <f t="shared" si="18"/>
        <v>3-431 feedback1</v>
      </c>
      <c r="H194">
        <v>1</v>
      </c>
      <c r="I194">
        <f t="shared" ca="1" si="19"/>
        <v>5</v>
      </c>
      <c r="J194" t="str">
        <f t="shared" si="20"/>
        <v>3-431 arg2</v>
      </c>
      <c r="K194" t="str">
        <f t="shared" si="21"/>
        <v>3-431 feedback2</v>
      </c>
      <c r="L194">
        <v>1</v>
      </c>
      <c r="M194" t="s">
        <v>1299</v>
      </c>
      <c r="N194">
        <v>193</v>
      </c>
    </row>
    <row r="195" spans="1:14">
      <c r="A195">
        <v>8</v>
      </c>
      <c r="B195">
        <f t="shared" si="22"/>
        <v>3</v>
      </c>
      <c r="C195">
        <v>432</v>
      </c>
      <c r="D195">
        <f t="shared" ref="D195:D256" ca="1" si="24">ROUND(3+2*RAND(),0)</f>
        <v>4</v>
      </c>
      <c r="E195" t="str">
        <f t="shared" ref="E195:E256" si="25">_xlfn.CONCAT(B195,"-",C195," arg1")</f>
        <v>3-432 arg1</v>
      </c>
      <c r="F195">
        <f t="shared" ca="1" si="23"/>
        <v>3</v>
      </c>
      <c r="G195" t="str">
        <f t="shared" ref="G195:G256" si="26">_xlfn.CONCAT(B195,"-",C195," feedback1")</f>
        <v>3-432 feedback1</v>
      </c>
      <c r="H195">
        <v>1</v>
      </c>
      <c r="I195">
        <f t="shared" ref="I195:I256" ca="1" si="27">MIN(5,F195+ROUND(RAND(),0))</f>
        <v>3</v>
      </c>
      <c r="J195" t="str">
        <f t="shared" ref="J195:J256" si="28">_xlfn.CONCAT(B195,"-",C195," arg2")</f>
        <v>3-432 arg2</v>
      </c>
      <c r="K195" t="str">
        <f t="shared" ref="K195:K256" si="29">_xlfn.CONCAT(B195,"-",C195," feedback2")</f>
        <v>3-432 feedback2</v>
      </c>
      <c r="L195">
        <v>1</v>
      </c>
      <c r="M195" t="s">
        <v>1299</v>
      </c>
      <c r="N195">
        <v>194</v>
      </c>
    </row>
    <row r="196" spans="1:14">
      <c r="A196">
        <v>8</v>
      </c>
      <c r="B196">
        <f t="shared" si="22"/>
        <v>3</v>
      </c>
      <c r="C196">
        <v>433</v>
      </c>
      <c r="D196">
        <f t="shared" ca="1" si="24"/>
        <v>4</v>
      </c>
      <c r="E196" t="str">
        <f t="shared" si="25"/>
        <v>3-433 arg1</v>
      </c>
      <c r="F196">
        <f t="shared" ca="1" si="23"/>
        <v>4</v>
      </c>
      <c r="G196" t="str">
        <f t="shared" si="26"/>
        <v>3-433 feedback1</v>
      </c>
      <c r="H196">
        <v>1</v>
      </c>
      <c r="I196">
        <f t="shared" ca="1" si="27"/>
        <v>4</v>
      </c>
      <c r="J196" t="str">
        <f t="shared" si="28"/>
        <v>3-433 arg2</v>
      </c>
      <c r="K196" t="str">
        <f t="shared" si="29"/>
        <v>3-433 feedback2</v>
      </c>
      <c r="L196">
        <v>1</v>
      </c>
      <c r="M196" t="s">
        <v>1299</v>
      </c>
      <c r="N196">
        <v>195</v>
      </c>
    </row>
    <row r="197" spans="1:14">
      <c r="A197">
        <v>8</v>
      </c>
      <c r="B197">
        <f t="shared" si="22"/>
        <v>3</v>
      </c>
      <c r="C197">
        <v>434</v>
      </c>
      <c r="D197">
        <f t="shared" ca="1" si="24"/>
        <v>5</v>
      </c>
      <c r="E197" t="str">
        <f t="shared" si="25"/>
        <v>3-434 arg1</v>
      </c>
      <c r="F197">
        <f t="shared" ca="1" si="23"/>
        <v>3</v>
      </c>
      <c r="G197" t="str">
        <f t="shared" si="26"/>
        <v>3-434 feedback1</v>
      </c>
      <c r="H197">
        <v>1</v>
      </c>
      <c r="I197">
        <f t="shared" ca="1" si="27"/>
        <v>3</v>
      </c>
      <c r="J197" t="str">
        <f t="shared" si="28"/>
        <v>3-434 arg2</v>
      </c>
      <c r="K197" t="str">
        <f t="shared" si="29"/>
        <v>3-434 feedback2</v>
      </c>
      <c r="L197">
        <v>1</v>
      </c>
      <c r="M197" t="s">
        <v>1299</v>
      </c>
      <c r="N197">
        <v>196</v>
      </c>
    </row>
    <row r="198" spans="1:14">
      <c r="A198">
        <v>8</v>
      </c>
      <c r="B198">
        <f t="shared" si="22"/>
        <v>3</v>
      </c>
      <c r="C198">
        <v>435</v>
      </c>
      <c r="D198">
        <f t="shared" ca="1" si="24"/>
        <v>4</v>
      </c>
      <c r="E198" t="str">
        <f t="shared" si="25"/>
        <v>3-435 arg1</v>
      </c>
      <c r="F198">
        <f t="shared" ca="1" si="23"/>
        <v>4</v>
      </c>
      <c r="G198" t="str">
        <f t="shared" si="26"/>
        <v>3-435 feedback1</v>
      </c>
      <c r="H198">
        <v>1</v>
      </c>
      <c r="I198">
        <f t="shared" ca="1" si="27"/>
        <v>4</v>
      </c>
      <c r="J198" t="str">
        <f t="shared" si="28"/>
        <v>3-435 arg2</v>
      </c>
      <c r="K198" t="str">
        <f t="shared" si="29"/>
        <v>3-435 feedback2</v>
      </c>
      <c r="L198">
        <v>1</v>
      </c>
      <c r="M198" t="s">
        <v>1299</v>
      </c>
      <c r="N198">
        <v>197</v>
      </c>
    </row>
    <row r="199" spans="1:14">
      <c r="A199">
        <v>8</v>
      </c>
      <c r="B199">
        <f t="shared" si="22"/>
        <v>3</v>
      </c>
      <c r="C199">
        <v>436</v>
      </c>
      <c r="D199">
        <f t="shared" ca="1" si="24"/>
        <v>4</v>
      </c>
      <c r="E199" t="str">
        <f t="shared" si="25"/>
        <v>3-436 arg1</v>
      </c>
      <c r="F199">
        <f t="shared" ca="1" si="23"/>
        <v>3</v>
      </c>
      <c r="G199" t="str">
        <f t="shared" si="26"/>
        <v>3-436 feedback1</v>
      </c>
      <c r="H199">
        <v>1</v>
      </c>
      <c r="I199">
        <f t="shared" ca="1" si="27"/>
        <v>3</v>
      </c>
      <c r="J199" t="str">
        <f t="shared" si="28"/>
        <v>3-436 arg2</v>
      </c>
      <c r="K199" t="str">
        <f t="shared" si="29"/>
        <v>3-436 feedback2</v>
      </c>
      <c r="L199">
        <v>1</v>
      </c>
      <c r="M199" t="s">
        <v>1299</v>
      </c>
      <c r="N199">
        <v>198</v>
      </c>
    </row>
    <row r="200" spans="1:14">
      <c r="A200">
        <v>8</v>
      </c>
      <c r="B200">
        <f t="shared" si="22"/>
        <v>3</v>
      </c>
      <c r="C200">
        <v>437</v>
      </c>
      <c r="D200">
        <f t="shared" ca="1" si="24"/>
        <v>4</v>
      </c>
      <c r="E200" t="str">
        <f t="shared" si="25"/>
        <v>3-437 arg1</v>
      </c>
      <c r="F200">
        <f t="shared" ca="1" si="23"/>
        <v>4</v>
      </c>
      <c r="G200" t="str">
        <f t="shared" si="26"/>
        <v>3-437 feedback1</v>
      </c>
      <c r="H200">
        <v>1</v>
      </c>
      <c r="I200">
        <f t="shared" ca="1" si="27"/>
        <v>4</v>
      </c>
      <c r="J200" t="str">
        <f t="shared" si="28"/>
        <v>3-437 arg2</v>
      </c>
      <c r="K200" t="str">
        <f t="shared" si="29"/>
        <v>3-437 feedback2</v>
      </c>
      <c r="L200">
        <v>1</v>
      </c>
      <c r="M200" t="s">
        <v>1299</v>
      </c>
      <c r="N200">
        <v>199</v>
      </c>
    </row>
    <row r="201" spans="1:14">
      <c r="A201">
        <v>8</v>
      </c>
      <c r="B201">
        <f t="shared" si="22"/>
        <v>3</v>
      </c>
      <c r="C201">
        <v>438</v>
      </c>
      <c r="D201">
        <f t="shared" ca="1" si="24"/>
        <v>4</v>
      </c>
      <c r="E201" t="str">
        <f t="shared" si="25"/>
        <v>3-438 arg1</v>
      </c>
      <c r="F201">
        <f t="shared" ca="1" si="23"/>
        <v>2</v>
      </c>
      <c r="G201" t="str">
        <f t="shared" si="26"/>
        <v>3-438 feedback1</v>
      </c>
      <c r="H201">
        <v>1</v>
      </c>
      <c r="I201">
        <f t="shared" ca="1" si="27"/>
        <v>3</v>
      </c>
      <c r="J201" t="str">
        <f t="shared" si="28"/>
        <v>3-438 arg2</v>
      </c>
      <c r="K201" t="str">
        <f t="shared" si="29"/>
        <v>3-438 feedback2</v>
      </c>
      <c r="L201">
        <v>1</v>
      </c>
      <c r="M201" t="s">
        <v>1299</v>
      </c>
      <c r="N201">
        <v>200</v>
      </c>
    </row>
    <row r="202" spans="1:14">
      <c r="A202">
        <v>8</v>
      </c>
      <c r="B202">
        <f t="shared" si="22"/>
        <v>3</v>
      </c>
      <c r="C202">
        <v>439</v>
      </c>
      <c r="D202">
        <f t="shared" ca="1" si="24"/>
        <v>4</v>
      </c>
      <c r="E202" t="str">
        <f t="shared" si="25"/>
        <v>3-439 arg1</v>
      </c>
      <c r="F202">
        <f t="shared" ca="1" si="23"/>
        <v>3</v>
      </c>
      <c r="G202" t="str">
        <f t="shared" si="26"/>
        <v>3-439 feedback1</v>
      </c>
      <c r="H202">
        <v>1</v>
      </c>
      <c r="I202">
        <f t="shared" ca="1" si="27"/>
        <v>4</v>
      </c>
      <c r="J202" t="str">
        <f t="shared" si="28"/>
        <v>3-439 arg2</v>
      </c>
      <c r="K202" t="str">
        <f t="shared" si="29"/>
        <v>3-439 feedback2</v>
      </c>
      <c r="L202">
        <v>1</v>
      </c>
      <c r="M202" t="s">
        <v>1299</v>
      </c>
      <c r="N202">
        <v>201</v>
      </c>
    </row>
    <row r="203" spans="1:14">
      <c r="A203">
        <v>8</v>
      </c>
      <c r="B203">
        <f t="shared" si="22"/>
        <v>3</v>
      </c>
      <c r="C203">
        <v>440</v>
      </c>
      <c r="D203">
        <f t="shared" ca="1" si="24"/>
        <v>3</v>
      </c>
      <c r="E203" t="str">
        <f t="shared" si="25"/>
        <v>3-440 arg1</v>
      </c>
      <c r="F203">
        <f t="shared" ca="1" si="23"/>
        <v>2</v>
      </c>
      <c r="G203" t="str">
        <f t="shared" si="26"/>
        <v>3-440 feedback1</v>
      </c>
      <c r="H203">
        <v>1</v>
      </c>
      <c r="I203">
        <f t="shared" ca="1" si="27"/>
        <v>3</v>
      </c>
      <c r="J203" t="str">
        <f t="shared" si="28"/>
        <v>3-440 arg2</v>
      </c>
      <c r="K203" t="str">
        <f t="shared" si="29"/>
        <v>3-440 feedback2</v>
      </c>
      <c r="L203">
        <v>1</v>
      </c>
      <c r="M203" t="s">
        <v>1299</v>
      </c>
      <c r="N203">
        <v>202</v>
      </c>
    </row>
    <row r="204" spans="1:14">
      <c r="A204">
        <v>8</v>
      </c>
      <c r="B204">
        <f t="shared" si="22"/>
        <v>3</v>
      </c>
      <c r="C204">
        <v>441</v>
      </c>
      <c r="D204">
        <f t="shared" ca="1" si="24"/>
        <v>4</v>
      </c>
      <c r="E204" t="str">
        <f t="shared" si="25"/>
        <v>3-441 arg1</v>
      </c>
      <c r="F204">
        <f t="shared" ca="1" si="23"/>
        <v>3</v>
      </c>
      <c r="G204" t="str">
        <f t="shared" si="26"/>
        <v>3-441 feedback1</v>
      </c>
      <c r="H204">
        <v>1</v>
      </c>
      <c r="I204">
        <f t="shared" ca="1" si="27"/>
        <v>4</v>
      </c>
      <c r="J204" t="str">
        <f t="shared" si="28"/>
        <v>3-441 arg2</v>
      </c>
      <c r="K204" t="str">
        <f t="shared" si="29"/>
        <v>3-441 feedback2</v>
      </c>
      <c r="L204">
        <v>1</v>
      </c>
      <c r="M204" t="s">
        <v>1299</v>
      </c>
      <c r="N204">
        <v>203</v>
      </c>
    </row>
    <row r="205" spans="1:14">
      <c r="A205">
        <v>8</v>
      </c>
      <c r="B205">
        <f t="shared" si="22"/>
        <v>3</v>
      </c>
      <c r="C205">
        <v>442</v>
      </c>
      <c r="D205">
        <f t="shared" ca="1" si="24"/>
        <v>4</v>
      </c>
      <c r="E205" t="str">
        <f t="shared" si="25"/>
        <v>3-442 arg1</v>
      </c>
      <c r="F205">
        <f t="shared" ca="1" si="23"/>
        <v>3</v>
      </c>
      <c r="G205" t="str">
        <f t="shared" si="26"/>
        <v>3-442 feedback1</v>
      </c>
      <c r="H205">
        <v>1</v>
      </c>
      <c r="I205">
        <f t="shared" ca="1" si="27"/>
        <v>3</v>
      </c>
      <c r="J205" t="str">
        <f t="shared" si="28"/>
        <v>3-442 arg2</v>
      </c>
      <c r="K205" t="str">
        <f t="shared" si="29"/>
        <v>3-442 feedback2</v>
      </c>
      <c r="L205">
        <v>1</v>
      </c>
      <c r="M205" t="s">
        <v>1299</v>
      </c>
      <c r="N205">
        <v>204</v>
      </c>
    </row>
    <row r="206" spans="1:14">
      <c r="A206">
        <v>8</v>
      </c>
      <c r="B206">
        <f t="shared" si="22"/>
        <v>3</v>
      </c>
      <c r="C206">
        <v>443</v>
      </c>
      <c r="D206">
        <f t="shared" ca="1" si="24"/>
        <v>4</v>
      </c>
      <c r="E206" t="str">
        <f t="shared" si="25"/>
        <v>3-443 arg1</v>
      </c>
      <c r="F206">
        <f t="shared" ca="1" si="23"/>
        <v>3</v>
      </c>
      <c r="G206" t="str">
        <f t="shared" si="26"/>
        <v>3-443 feedback1</v>
      </c>
      <c r="H206">
        <v>1</v>
      </c>
      <c r="I206">
        <f t="shared" ca="1" si="27"/>
        <v>4</v>
      </c>
      <c r="J206" t="str">
        <f t="shared" si="28"/>
        <v>3-443 arg2</v>
      </c>
      <c r="K206" t="str">
        <f t="shared" si="29"/>
        <v>3-443 feedback2</v>
      </c>
      <c r="L206">
        <v>1</v>
      </c>
      <c r="M206" t="s">
        <v>1299</v>
      </c>
      <c r="N206">
        <v>205</v>
      </c>
    </row>
    <row r="207" spans="1:14">
      <c r="A207">
        <v>8</v>
      </c>
      <c r="B207">
        <f t="shared" si="22"/>
        <v>3</v>
      </c>
      <c r="C207">
        <v>444</v>
      </c>
      <c r="D207">
        <f t="shared" ca="1" si="24"/>
        <v>5</v>
      </c>
      <c r="E207" t="str">
        <f t="shared" si="25"/>
        <v>3-444 arg1</v>
      </c>
      <c r="F207">
        <f t="shared" ca="1" si="23"/>
        <v>3</v>
      </c>
      <c r="G207" t="str">
        <f t="shared" si="26"/>
        <v>3-444 feedback1</v>
      </c>
      <c r="H207">
        <v>1</v>
      </c>
      <c r="I207">
        <f t="shared" ca="1" si="27"/>
        <v>3</v>
      </c>
      <c r="J207" t="str">
        <f t="shared" si="28"/>
        <v>3-444 arg2</v>
      </c>
      <c r="K207" t="str">
        <f t="shared" si="29"/>
        <v>3-444 feedback2</v>
      </c>
      <c r="L207">
        <v>1</v>
      </c>
      <c r="M207" t="s">
        <v>1299</v>
      </c>
      <c r="N207">
        <v>206</v>
      </c>
    </row>
    <row r="208" spans="1:14">
      <c r="A208">
        <v>8</v>
      </c>
      <c r="B208">
        <f t="shared" si="22"/>
        <v>3</v>
      </c>
      <c r="C208">
        <v>445</v>
      </c>
      <c r="D208">
        <f t="shared" ca="1" si="24"/>
        <v>5</v>
      </c>
      <c r="E208" t="str">
        <f t="shared" si="25"/>
        <v>3-445 arg1</v>
      </c>
      <c r="F208">
        <f t="shared" ca="1" si="23"/>
        <v>3</v>
      </c>
      <c r="G208" t="str">
        <f t="shared" si="26"/>
        <v>3-445 feedback1</v>
      </c>
      <c r="H208">
        <v>1</v>
      </c>
      <c r="I208">
        <f t="shared" ca="1" si="27"/>
        <v>4</v>
      </c>
      <c r="J208" t="str">
        <f t="shared" si="28"/>
        <v>3-445 arg2</v>
      </c>
      <c r="K208" t="str">
        <f t="shared" si="29"/>
        <v>3-445 feedback2</v>
      </c>
      <c r="L208">
        <v>1</v>
      </c>
      <c r="M208" t="s">
        <v>1299</v>
      </c>
      <c r="N208">
        <v>207</v>
      </c>
    </row>
    <row r="209" spans="1:14">
      <c r="A209">
        <v>8</v>
      </c>
      <c r="B209">
        <f t="shared" si="22"/>
        <v>3</v>
      </c>
      <c r="C209">
        <v>446</v>
      </c>
      <c r="D209">
        <f t="shared" ca="1" si="24"/>
        <v>4</v>
      </c>
      <c r="E209" t="str">
        <f t="shared" si="25"/>
        <v>3-446 arg1</v>
      </c>
      <c r="F209">
        <f t="shared" ca="1" si="23"/>
        <v>3</v>
      </c>
      <c r="G209" t="str">
        <f t="shared" si="26"/>
        <v>3-446 feedback1</v>
      </c>
      <c r="H209">
        <v>1</v>
      </c>
      <c r="I209">
        <f t="shared" ca="1" si="27"/>
        <v>4</v>
      </c>
      <c r="J209" t="str">
        <f t="shared" si="28"/>
        <v>3-446 arg2</v>
      </c>
      <c r="K209" t="str">
        <f t="shared" si="29"/>
        <v>3-446 feedback2</v>
      </c>
      <c r="L209">
        <v>1</v>
      </c>
      <c r="M209" t="s">
        <v>1299</v>
      </c>
      <c r="N209">
        <v>208</v>
      </c>
    </row>
    <row r="210" spans="1:14">
      <c r="A210">
        <v>8</v>
      </c>
      <c r="B210">
        <f t="shared" si="22"/>
        <v>3</v>
      </c>
      <c r="C210">
        <v>447</v>
      </c>
      <c r="D210">
        <f t="shared" ca="1" si="24"/>
        <v>4</v>
      </c>
      <c r="E210" t="str">
        <f t="shared" si="25"/>
        <v>3-447 arg1</v>
      </c>
      <c r="F210">
        <f t="shared" ca="1" si="23"/>
        <v>3</v>
      </c>
      <c r="G210" t="str">
        <f t="shared" si="26"/>
        <v>3-447 feedback1</v>
      </c>
      <c r="H210">
        <v>1</v>
      </c>
      <c r="I210">
        <f t="shared" ca="1" si="27"/>
        <v>4</v>
      </c>
      <c r="J210" t="str">
        <f t="shared" si="28"/>
        <v>3-447 arg2</v>
      </c>
      <c r="K210" t="str">
        <f t="shared" si="29"/>
        <v>3-447 feedback2</v>
      </c>
      <c r="L210">
        <v>1</v>
      </c>
      <c r="M210" t="s">
        <v>1299</v>
      </c>
      <c r="N210">
        <v>209</v>
      </c>
    </row>
    <row r="211" spans="1:14">
      <c r="A211">
        <v>8</v>
      </c>
      <c r="B211">
        <f t="shared" si="22"/>
        <v>3</v>
      </c>
      <c r="C211">
        <v>448</v>
      </c>
      <c r="D211">
        <f t="shared" ca="1" si="24"/>
        <v>3</v>
      </c>
      <c r="E211" t="str">
        <f t="shared" si="25"/>
        <v>3-448 arg1</v>
      </c>
      <c r="F211">
        <f t="shared" ca="1" si="23"/>
        <v>1</v>
      </c>
      <c r="G211" t="str">
        <f t="shared" si="26"/>
        <v>3-448 feedback1</v>
      </c>
      <c r="H211">
        <v>1</v>
      </c>
      <c r="I211">
        <f t="shared" ca="1" si="27"/>
        <v>1</v>
      </c>
      <c r="J211" t="str">
        <f t="shared" si="28"/>
        <v>3-448 arg2</v>
      </c>
      <c r="K211" t="str">
        <f t="shared" si="29"/>
        <v>3-448 feedback2</v>
      </c>
      <c r="L211">
        <v>1</v>
      </c>
      <c r="M211" t="s">
        <v>1299</v>
      </c>
      <c r="N211">
        <v>210</v>
      </c>
    </row>
    <row r="212" spans="1:14">
      <c r="A212">
        <v>8</v>
      </c>
      <c r="B212">
        <f t="shared" si="22"/>
        <v>3</v>
      </c>
      <c r="C212">
        <v>449</v>
      </c>
      <c r="D212">
        <f t="shared" ca="1" si="24"/>
        <v>3</v>
      </c>
      <c r="E212" t="str">
        <f t="shared" si="25"/>
        <v>3-449 arg1</v>
      </c>
      <c r="F212">
        <f t="shared" ca="1" si="23"/>
        <v>3</v>
      </c>
      <c r="G212" t="str">
        <f t="shared" si="26"/>
        <v>3-449 feedback1</v>
      </c>
      <c r="H212">
        <v>1</v>
      </c>
      <c r="I212">
        <f t="shared" ca="1" si="27"/>
        <v>4</v>
      </c>
      <c r="J212" t="str">
        <f t="shared" si="28"/>
        <v>3-449 arg2</v>
      </c>
      <c r="K212" t="str">
        <f t="shared" si="29"/>
        <v>3-449 feedback2</v>
      </c>
      <c r="L212">
        <v>1</v>
      </c>
      <c r="M212" t="s">
        <v>1299</v>
      </c>
      <c r="N212">
        <v>211</v>
      </c>
    </row>
    <row r="213" spans="1:14">
      <c r="A213">
        <v>8</v>
      </c>
      <c r="B213">
        <f>B128+1</f>
        <v>3</v>
      </c>
      <c r="C213">
        <v>450</v>
      </c>
      <c r="D213">
        <f t="shared" ca="1" si="24"/>
        <v>3</v>
      </c>
      <c r="E213" t="str">
        <f t="shared" si="25"/>
        <v>3-450 arg1</v>
      </c>
      <c r="F213">
        <f t="shared" ca="1" si="23"/>
        <v>2</v>
      </c>
      <c r="G213" t="str">
        <f t="shared" si="26"/>
        <v>3-450 feedback1</v>
      </c>
      <c r="H213">
        <v>1</v>
      </c>
      <c r="I213">
        <f t="shared" ca="1" si="27"/>
        <v>2</v>
      </c>
      <c r="J213" t="str">
        <f t="shared" si="28"/>
        <v>3-450 arg2</v>
      </c>
      <c r="K213" t="str">
        <f t="shared" si="29"/>
        <v>3-450 feedback2</v>
      </c>
      <c r="L213">
        <v>1</v>
      </c>
      <c r="M213" t="s">
        <v>1299</v>
      </c>
      <c r="N213">
        <v>212</v>
      </c>
    </row>
    <row r="214" spans="1:14">
      <c r="A214">
        <v>8</v>
      </c>
      <c r="B214">
        <f t="shared" ref="B214:B244" si="30">B129+1</f>
        <v>3</v>
      </c>
      <c r="C214">
        <v>451</v>
      </c>
      <c r="D214">
        <f t="shared" ca="1" si="24"/>
        <v>5</v>
      </c>
      <c r="E214" t="str">
        <f t="shared" si="25"/>
        <v>3-451 arg1</v>
      </c>
      <c r="F214">
        <f t="shared" ca="1" si="23"/>
        <v>4</v>
      </c>
      <c r="G214" t="str">
        <f t="shared" si="26"/>
        <v>3-451 feedback1</v>
      </c>
      <c r="H214">
        <v>1</v>
      </c>
      <c r="I214">
        <f t="shared" ca="1" si="27"/>
        <v>4</v>
      </c>
      <c r="J214" t="str">
        <f t="shared" si="28"/>
        <v>3-451 arg2</v>
      </c>
      <c r="K214" t="str">
        <f t="shared" si="29"/>
        <v>3-451 feedback2</v>
      </c>
      <c r="L214">
        <v>1</v>
      </c>
      <c r="M214" t="s">
        <v>1299</v>
      </c>
      <c r="N214">
        <v>213</v>
      </c>
    </row>
    <row r="215" spans="1:14">
      <c r="A215">
        <v>8</v>
      </c>
      <c r="B215">
        <f t="shared" si="30"/>
        <v>3</v>
      </c>
      <c r="C215">
        <v>452</v>
      </c>
      <c r="D215">
        <f t="shared" ca="1" si="24"/>
        <v>4</v>
      </c>
      <c r="E215" t="str">
        <f t="shared" si="25"/>
        <v>3-452 arg1</v>
      </c>
      <c r="F215">
        <f t="shared" ca="1" si="23"/>
        <v>4</v>
      </c>
      <c r="G215" t="str">
        <f t="shared" si="26"/>
        <v>3-452 feedback1</v>
      </c>
      <c r="H215">
        <v>1</v>
      </c>
      <c r="I215">
        <f t="shared" ca="1" si="27"/>
        <v>5</v>
      </c>
      <c r="J215" t="str">
        <f t="shared" si="28"/>
        <v>3-452 arg2</v>
      </c>
      <c r="K215" t="str">
        <f t="shared" si="29"/>
        <v>3-452 feedback2</v>
      </c>
      <c r="L215">
        <v>1</v>
      </c>
      <c r="M215" t="s">
        <v>1299</v>
      </c>
      <c r="N215">
        <v>214</v>
      </c>
    </row>
    <row r="216" spans="1:14">
      <c r="A216">
        <v>8</v>
      </c>
      <c r="B216">
        <f t="shared" si="30"/>
        <v>3</v>
      </c>
      <c r="C216">
        <v>453</v>
      </c>
      <c r="D216">
        <f t="shared" ca="1" si="24"/>
        <v>5</v>
      </c>
      <c r="E216" t="str">
        <f t="shared" si="25"/>
        <v>3-453 arg1</v>
      </c>
      <c r="F216">
        <f t="shared" ca="1" si="23"/>
        <v>5</v>
      </c>
      <c r="G216" t="str">
        <f t="shared" si="26"/>
        <v>3-453 feedback1</v>
      </c>
      <c r="H216">
        <v>1</v>
      </c>
      <c r="I216">
        <f t="shared" ca="1" si="27"/>
        <v>5</v>
      </c>
      <c r="J216" t="str">
        <f t="shared" si="28"/>
        <v>3-453 arg2</v>
      </c>
      <c r="K216" t="str">
        <f t="shared" si="29"/>
        <v>3-453 feedback2</v>
      </c>
      <c r="L216">
        <v>1</v>
      </c>
      <c r="M216" t="s">
        <v>1299</v>
      </c>
      <c r="N216">
        <v>215</v>
      </c>
    </row>
    <row r="217" spans="1:14">
      <c r="A217">
        <v>8</v>
      </c>
      <c r="B217">
        <f t="shared" si="30"/>
        <v>3</v>
      </c>
      <c r="C217">
        <v>454</v>
      </c>
      <c r="D217">
        <f t="shared" ca="1" si="24"/>
        <v>4</v>
      </c>
      <c r="E217" t="str">
        <f t="shared" si="25"/>
        <v>3-454 arg1</v>
      </c>
      <c r="F217">
        <f t="shared" ca="1" si="23"/>
        <v>4</v>
      </c>
      <c r="G217" t="str">
        <f t="shared" si="26"/>
        <v>3-454 feedback1</v>
      </c>
      <c r="H217">
        <v>1</v>
      </c>
      <c r="I217">
        <f t="shared" ca="1" si="27"/>
        <v>5</v>
      </c>
      <c r="J217" t="str">
        <f t="shared" si="28"/>
        <v>3-454 arg2</v>
      </c>
      <c r="K217" t="str">
        <f t="shared" si="29"/>
        <v>3-454 feedback2</v>
      </c>
      <c r="L217">
        <v>1</v>
      </c>
      <c r="M217" t="s">
        <v>1299</v>
      </c>
      <c r="N217">
        <v>216</v>
      </c>
    </row>
    <row r="218" spans="1:14">
      <c r="A218">
        <v>8</v>
      </c>
      <c r="B218">
        <f t="shared" si="30"/>
        <v>3</v>
      </c>
      <c r="C218">
        <v>455</v>
      </c>
      <c r="D218">
        <f t="shared" ca="1" si="24"/>
        <v>5</v>
      </c>
      <c r="E218" t="str">
        <f t="shared" si="25"/>
        <v>3-455 arg1</v>
      </c>
      <c r="F218">
        <f t="shared" ca="1" si="23"/>
        <v>3</v>
      </c>
      <c r="G218" t="str">
        <f t="shared" si="26"/>
        <v>3-455 feedback1</v>
      </c>
      <c r="H218">
        <v>1</v>
      </c>
      <c r="I218">
        <f t="shared" ca="1" si="27"/>
        <v>3</v>
      </c>
      <c r="J218" t="str">
        <f t="shared" si="28"/>
        <v>3-455 arg2</v>
      </c>
      <c r="K218" t="str">
        <f t="shared" si="29"/>
        <v>3-455 feedback2</v>
      </c>
      <c r="L218">
        <v>1</v>
      </c>
      <c r="M218" t="s">
        <v>1299</v>
      </c>
      <c r="N218">
        <v>217</v>
      </c>
    </row>
    <row r="219" spans="1:14">
      <c r="A219">
        <v>8</v>
      </c>
      <c r="B219">
        <f t="shared" si="30"/>
        <v>3</v>
      </c>
      <c r="C219">
        <v>456</v>
      </c>
      <c r="D219">
        <f t="shared" ca="1" si="24"/>
        <v>4</v>
      </c>
      <c r="E219" t="str">
        <f t="shared" si="25"/>
        <v>3-456 arg1</v>
      </c>
      <c r="F219">
        <f t="shared" ca="1" si="23"/>
        <v>4</v>
      </c>
      <c r="G219" t="str">
        <f t="shared" si="26"/>
        <v>3-456 feedback1</v>
      </c>
      <c r="H219">
        <v>1</v>
      </c>
      <c r="I219">
        <f t="shared" ca="1" si="27"/>
        <v>4</v>
      </c>
      <c r="J219" t="str">
        <f t="shared" si="28"/>
        <v>3-456 arg2</v>
      </c>
      <c r="K219" t="str">
        <f t="shared" si="29"/>
        <v>3-456 feedback2</v>
      </c>
      <c r="L219">
        <v>1</v>
      </c>
      <c r="M219" t="s">
        <v>1299</v>
      </c>
      <c r="N219">
        <v>218</v>
      </c>
    </row>
    <row r="220" spans="1:14">
      <c r="A220">
        <v>8</v>
      </c>
      <c r="B220">
        <f t="shared" si="30"/>
        <v>3</v>
      </c>
      <c r="C220">
        <v>457</v>
      </c>
      <c r="D220">
        <f t="shared" ca="1" si="24"/>
        <v>5</v>
      </c>
      <c r="E220" t="str">
        <f t="shared" si="25"/>
        <v>3-457 arg1</v>
      </c>
      <c r="F220">
        <f t="shared" ca="1" si="23"/>
        <v>4</v>
      </c>
      <c r="G220" t="str">
        <f t="shared" si="26"/>
        <v>3-457 feedback1</v>
      </c>
      <c r="H220">
        <v>1</v>
      </c>
      <c r="I220">
        <f t="shared" ca="1" si="27"/>
        <v>4</v>
      </c>
      <c r="J220" t="str">
        <f t="shared" si="28"/>
        <v>3-457 arg2</v>
      </c>
      <c r="K220" t="str">
        <f t="shared" si="29"/>
        <v>3-457 feedback2</v>
      </c>
      <c r="L220">
        <v>1</v>
      </c>
      <c r="M220" t="s">
        <v>1299</v>
      </c>
      <c r="N220">
        <v>219</v>
      </c>
    </row>
    <row r="221" spans="1:14">
      <c r="A221">
        <v>8</v>
      </c>
      <c r="B221">
        <f t="shared" si="30"/>
        <v>3</v>
      </c>
      <c r="C221">
        <v>458</v>
      </c>
      <c r="D221">
        <f t="shared" ca="1" si="24"/>
        <v>3</v>
      </c>
      <c r="E221" t="str">
        <f t="shared" si="25"/>
        <v>3-458 arg1</v>
      </c>
      <c r="F221">
        <f t="shared" ca="1" si="23"/>
        <v>1</v>
      </c>
      <c r="G221" t="str">
        <f t="shared" si="26"/>
        <v>3-458 feedback1</v>
      </c>
      <c r="H221">
        <v>1</v>
      </c>
      <c r="I221">
        <f t="shared" ca="1" si="27"/>
        <v>2</v>
      </c>
      <c r="J221" t="str">
        <f t="shared" si="28"/>
        <v>3-458 arg2</v>
      </c>
      <c r="K221" t="str">
        <f t="shared" si="29"/>
        <v>3-458 feedback2</v>
      </c>
      <c r="L221">
        <v>1</v>
      </c>
      <c r="M221" t="s">
        <v>1299</v>
      </c>
      <c r="N221">
        <v>220</v>
      </c>
    </row>
    <row r="222" spans="1:14">
      <c r="A222">
        <v>8</v>
      </c>
      <c r="B222">
        <f t="shared" si="30"/>
        <v>3</v>
      </c>
      <c r="C222">
        <v>459</v>
      </c>
      <c r="D222">
        <f t="shared" ca="1" si="24"/>
        <v>4</v>
      </c>
      <c r="E222" t="str">
        <f t="shared" si="25"/>
        <v>3-459 arg1</v>
      </c>
      <c r="F222">
        <f t="shared" ca="1" si="23"/>
        <v>2</v>
      </c>
      <c r="G222" t="str">
        <f t="shared" si="26"/>
        <v>3-459 feedback1</v>
      </c>
      <c r="H222">
        <v>1</v>
      </c>
      <c r="I222">
        <f t="shared" ca="1" si="27"/>
        <v>2</v>
      </c>
      <c r="J222" t="str">
        <f t="shared" si="28"/>
        <v>3-459 arg2</v>
      </c>
      <c r="K222" t="str">
        <f t="shared" si="29"/>
        <v>3-459 feedback2</v>
      </c>
      <c r="L222">
        <v>1</v>
      </c>
      <c r="M222" t="s">
        <v>1299</v>
      </c>
      <c r="N222">
        <v>221</v>
      </c>
    </row>
    <row r="223" spans="1:14">
      <c r="A223">
        <v>8</v>
      </c>
      <c r="B223">
        <f t="shared" si="30"/>
        <v>3</v>
      </c>
      <c r="C223">
        <v>460</v>
      </c>
      <c r="D223">
        <f t="shared" ca="1" si="24"/>
        <v>4</v>
      </c>
      <c r="E223" t="str">
        <f t="shared" si="25"/>
        <v>3-460 arg1</v>
      </c>
      <c r="F223">
        <f t="shared" ca="1" si="23"/>
        <v>2</v>
      </c>
      <c r="G223" t="str">
        <f t="shared" si="26"/>
        <v>3-460 feedback1</v>
      </c>
      <c r="H223">
        <v>1</v>
      </c>
      <c r="I223">
        <f t="shared" ca="1" si="27"/>
        <v>3</v>
      </c>
      <c r="J223" t="str">
        <f t="shared" si="28"/>
        <v>3-460 arg2</v>
      </c>
      <c r="K223" t="str">
        <f t="shared" si="29"/>
        <v>3-460 feedback2</v>
      </c>
      <c r="L223">
        <v>1</v>
      </c>
      <c r="M223" t="s">
        <v>1299</v>
      </c>
      <c r="N223">
        <v>222</v>
      </c>
    </row>
    <row r="224" spans="1:14">
      <c r="A224">
        <v>8</v>
      </c>
      <c r="B224">
        <f t="shared" si="30"/>
        <v>3</v>
      </c>
      <c r="C224">
        <v>461</v>
      </c>
      <c r="D224">
        <f t="shared" ca="1" si="24"/>
        <v>3</v>
      </c>
      <c r="E224" t="str">
        <f t="shared" si="25"/>
        <v>3-461 arg1</v>
      </c>
      <c r="F224">
        <f t="shared" ca="1" si="23"/>
        <v>2</v>
      </c>
      <c r="G224" t="str">
        <f t="shared" si="26"/>
        <v>3-461 feedback1</v>
      </c>
      <c r="H224">
        <v>1</v>
      </c>
      <c r="I224">
        <f t="shared" ca="1" si="27"/>
        <v>2</v>
      </c>
      <c r="J224" t="str">
        <f t="shared" si="28"/>
        <v>3-461 arg2</v>
      </c>
      <c r="K224" t="str">
        <f t="shared" si="29"/>
        <v>3-461 feedback2</v>
      </c>
      <c r="L224">
        <v>1</v>
      </c>
      <c r="M224" t="s">
        <v>1299</v>
      </c>
      <c r="N224">
        <v>223</v>
      </c>
    </row>
    <row r="225" spans="1:14">
      <c r="A225">
        <v>8</v>
      </c>
      <c r="B225">
        <f t="shared" si="30"/>
        <v>3</v>
      </c>
      <c r="C225">
        <v>462</v>
      </c>
      <c r="D225">
        <f t="shared" ca="1" si="24"/>
        <v>4</v>
      </c>
      <c r="E225" t="str">
        <f t="shared" si="25"/>
        <v>3-462 arg1</v>
      </c>
      <c r="F225">
        <f t="shared" ca="1" si="23"/>
        <v>4</v>
      </c>
      <c r="G225" t="str">
        <f t="shared" si="26"/>
        <v>3-462 feedback1</v>
      </c>
      <c r="H225">
        <v>1</v>
      </c>
      <c r="I225">
        <f t="shared" ca="1" si="27"/>
        <v>5</v>
      </c>
      <c r="J225" t="str">
        <f t="shared" si="28"/>
        <v>3-462 arg2</v>
      </c>
      <c r="K225" t="str">
        <f t="shared" si="29"/>
        <v>3-462 feedback2</v>
      </c>
      <c r="L225">
        <v>1</v>
      </c>
      <c r="M225" t="s">
        <v>1299</v>
      </c>
      <c r="N225">
        <v>224</v>
      </c>
    </row>
    <row r="226" spans="1:14">
      <c r="A226">
        <v>8</v>
      </c>
      <c r="B226">
        <f t="shared" si="30"/>
        <v>3</v>
      </c>
      <c r="C226">
        <v>463</v>
      </c>
      <c r="D226">
        <f t="shared" ca="1" si="24"/>
        <v>5</v>
      </c>
      <c r="E226" t="str">
        <f t="shared" si="25"/>
        <v>3-463 arg1</v>
      </c>
      <c r="F226">
        <f t="shared" ca="1" si="23"/>
        <v>5</v>
      </c>
      <c r="G226" t="str">
        <f t="shared" si="26"/>
        <v>3-463 feedback1</v>
      </c>
      <c r="H226">
        <v>1</v>
      </c>
      <c r="I226">
        <f t="shared" ca="1" si="27"/>
        <v>5</v>
      </c>
      <c r="J226" t="str">
        <f t="shared" si="28"/>
        <v>3-463 arg2</v>
      </c>
      <c r="K226" t="str">
        <f t="shared" si="29"/>
        <v>3-463 feedback2</v>
      </c>
      <c r="L226">
        <v>1</v>
      </c>
      <c r="M226" t="s">
        <v>1299</v>
      </c>
      <c r="N226">
        <v>225</v>
      </c>
    </row>
    <row r="227" spans="1:14">
      <c r="A227">
        <v>8</v>
      </c>
      <c r="B227">
        <f t="shared" si="30"/>
        <v>3</v>
      </c>
      <c r="C227">
        <v>464</v>
      </c>
      <c r="D227">
        <f t="shared" ca="1" si="24"/>
        <v>5</v>
      </c>
      <c r="E227" t="str">
        <f t="shared" si="25"/>
        <v>3-464 arg1</v>
      </c>
      <c r="F227">
        <f t="shared" ca="1" si="23"/>
        <v>3</v>
      </c>
      <c r="G227" t="str">
        <f t="shared" si="26"/>
        <v>3-464 feedback1</v>
      </c>
      <c r="H227">
        <v>1</v>
      </c>
      <c r="I227">
        <f t="shared" ca="1" si="27"/>
        <v>3</v>
      </c>
      <c r="J227" t="str">
        <f t="shared" si="28"/>
        <v>3-464 arg2</v>
      </c>
      <c r="K227" t="str">
        <f t="shared" si="29"/>
        <v>3-464 feedback2</v>
      </c>
      <c r="L227">
        <v>1</v>
      </c>
      <c r="M227" t="s">
        <v>1299</v>
      </c>
      <c r="N227">
        <v>226</v>
      </c>
    </row>
    <row r="228" spans="1:14">
      <c r="A228">
        <v>8</v>
      </c>
      <c r="B228">
        <f t="shared" si="30"/>
        <v>3</v>
      </c>
      <c r="C228">
        <v>465</v>
      </c>
      <c r="D228">
        <f t="shared" ca="1" si="24"/>
        <v>4</v>
      </c>
      <c r="E228" t="str">
        <f t="shared" si="25"/>
        <v>3-465 arg1</v>
      </c>
      <c r="F228">
        <f t="shared" ca="1" si="23"/>
        <v>3</v>
      </c>
      <c r="G228" t="str">
        <f t="shared" si="26"/>
        <v>3-465 feedback1</v>
      </c>
      <c r="H228">
        <v>1</v>
      </c>
      <c r="I228">
        <f t="shared" ca="1" si="27"/>
        <v>3</v>
      </c>
      <c r="J228" t="str">
        <f t="shared" si="28"/>
        <v>3-465 arg2</v>
      </c>
      <c r="K228" t="str">
        <f t="shared" si="29"/>
        <v>3-465 feedback2</v>
      </c>
      <c r="L228">
        <v>1</v>
      </c>
      <c r="M228" t="s">
        <v>1299</v>
      </c>
      <c r="N228">
        <v>227</v>
      </c>
    </row>
    <row r="229" spans="1:14">
      <c r="A229">
        <v>8</v>
      </c>
      <c r="B229">
        <f t="shared" si="30"/>
        <v>3</v>
      </c>
      <c r="C229">
        <v>466</v>
      </c>
      <c r="D229">
        <f t="shared" ca="1" si="24"/>
        <v>5</v>
      </c>
      <c r="E229" t="str">
        <f t="shared" si="25"/>
        <v>3-466 arg1</v>
      </c>
      <c r="F229">
        <f t="shared" ca="1" si="23"/>
        <v>5</v>
      </c>
      <c r="G229" t="str">
        <f t="shared" si="26"/>
        <v>3-466 feedback1</v>
      </c>
      <c r="H229">
        <v>1</v>
      </c>
      <c r="I229">
        <f t="shared" ca="1" si="27"/>
        <v>5</v>
      </c>
      <c r="J229" t="str">
        <f t="shared" si="28"/>
        <v>3-466 arg2</v>
      </c>
      <c r="K229" t="str">
        <f t="shared" si="29"/>
        <v>3-466 feedback2</v>
      </c>
      <c r="L229">
        <v>1</v>
      </c>
      <c r="M229" t="s">
        <v>1299</v>
      </c>
      <c r="N229">
        <v>228</v>
      </c>
    </row>
    <row r="230" spans="1:14">
      <c r="A230">
        <v>8</v>
      </c>
      <c r="B230">
        <f t="shared" si="30"/>
        <v>3</v>
      </c>
      <c r="C230">
        <v>467</v>
      </c>
      <c r="D230">
        <f t="shared" ca="1" si="24"/>
        <v>4</v>
      </c>
      <c r="E230" t="str">
        <f t="shared" si="25"/>
        <v>3-467 arg1</v>
      </c>
      <c r="F230">
        <f t="shared" ca="1" si="23"/>
        <v>3</v>
      </c>
      <c r="G230" t="str">
        <f t="shared" si="26"/>
        <v>3-467 feedback1</v>
      </c>
      <c r="H230">
        <v>1</v>
      </c>
      <c r="I230">
        <f t="shared" ca="1" si="27"/>
        <v>3</v>
      </c>
      <c r="J230" t="str">
        <f t="shared" si="28"/>
        <v>3-467 arg2</v>
      </c>
      <c r="K230" t="str">
        <f t="shared" si="29"/>
        <v>3-467 feedback2</v>
      </c>
      <c r="L230">
        <v>1</v>
      </c>
      <c r="M230" t="s">
        <v>1299</v>
      </c>
      <c r="N230">
        <v>229</v>
      </c>
    </row>
    <row r="231" spans="1:14">
      <c r="A231">
        <v>8</v>
      </c>
      <c r="B231">
        <f t="shared" si="30"/>
        <v>3</v>
      </c>
      <c r="C231">
        <v>468</v>
      </c>
      <c r="D231">
        <f t="shared" ca="1" si="24"/>
        <v>3</v>
      </c>
      <c r="E231" t="str">
        <f t="shared" si="25"/>
        <v>3-468 arg1</v>
      </c>
      <c r="F231">
        <f t="shared" ca="1" si="23"/>
        <v>2</v>
      </c>
      <c r="G231" t="str">
        <f t="shared" si="26"/>
        <v>3-468 feedback1</v>
      </c>
      <c r="H231">
        <v>1</v>
      </c>
      <c r="I231">
        <f t="shared" ca="1" si="27"/>
        <v>2</v>
      </c>
      <c r="J231" t="str">
        <f t="shared" si="28"/>
        <v>3-468 arg2</v>
      </c>
      <c r="K231" t="str">
        <f t="shared" si="29"/>
        <v>3-468 feedback2</v>
      </c>
      <c r="L231">
        <v>1</v>
      </c>
      <c r="M231" t="s">
        <v>1299</v>
      </c>
      <c r="N231">
        <v>230</v>
      </c>
    </row>
    <row r="232" spans="1:14">
      <c r="A232">
        <v>8</v>
      </c>
      <c r="B232">
        <f t="shared" si="30"/>
        <v>3</v>
      </c>
      <c r="C232">
        <v>469</v>
      </c>
      <c r="D232">
        <f t="shared" ca="1" si="24"/>
        <v>5</v>
      </c>
      <c r="E232" t="str">
        <f t="shared" si="25"/>
        <v>3-469 arg1</v>
      </c>
      <c r="F232">
        <f t="shared" ca="1" si="23"/>
        <v>5</v>
      </c>
      <c r="G232" t="str">
        <f t="shared" si="26"/>
        <v>3-469 feedback1</v>
      </c>
      <c r="H232">
        <v>1</v>
      </c>
      <c r="I232">
        <f t="shared" ca="1" si="27"/>
        <v>5</v>
      </c>
      <c r="J232" t="str">
        <f t="shared" si="28"/>
        <v>3-469 arg2</v>
      </c>
      <c r="K232" t="str">
        <f t="shared" si="29"/>
        <v>3-469 feedback2</v>
      </c>
      <c r="L232">
        <v>1</v>
      </c>
      <c r="M232" t="s">
        <v>1299</v>
      </c>
      <c r="N232">
        <v>231</v>
      </c>
    </row>
    <row r="233" spans="1:14">
      <c r="A233">
        <v>8</v>
      </c>
      <c r="B233">
        <f t="shared" si="30"/>
        <v>3</v>
      </c>
      <c r="C233">
        <v>470</v>
      </c>
      <c r="D233">
        <f t="shared" ca="1" si="24"/>
        <v>3</v>
      </c>
      <c r="E233" t="str">
        <f t="shared" si="25"/>
        <v>3-470 arg1</v>
      </c>
      <c r="F233">
        <f t="shared" ca="1" si="23"/>
        <v>2</v>
      </c>
      <c r="G233" t="str">
        <f t="shared" si="26"/>
        <v>3-470 feedback1</v>
      </c>
      <c r="H233">
        <v>1</v>
      </c>
      <c r="I233">
        <f t="shared" ca="1" si="27"/>
        <v>3</v>
      </c>
      <c r="J233" t="str">
        <f t="shared" si="28"/>
        <v>3-470 arg2</v>
      </c>
      <c r="K233" t="str">
        <f t="shared" si="29"/>
        <v>3-470 feedback2</v>
      </c>
      <c r="L233">
        <v>1</v>
      </c>
      <c r="M233" t="s">
        <v>1299</v>
      </c>
      <c r="N233">
        <v>232</v>
      </c>
    </row>
    <row r="234" spans="1:14">
      <c r="A234">
        <v>8</v>
      </c>
      <c r="B234">
        <f t="shared" si="30"/>
        <v>3</v>
      </c>
      <c r="C234">
        <v>471</v>
      </c>
      <c r="D234">
        <f t="shared" ca="1" si="24"/>
        <v>3</v>
      </c>
      <c r="E234" t="str">
        <f t="shared" si="25"/>
        <v>3-471 arg1</v>
      </c>
      <c r="F234">
        <f t="shared" ca="1" si="23"/>
        <v>2</v>
      </c>
      <c r="G234" t="str">
        <f t="shared" si="26"/>
        <v>3-471 feedback1</v>
      </c>
      <c r="H234">
        <v>1</v>
      </c>
      <c r="I234">
        <f t="shared" ca="1" si="27"/>
        <v>2</v>
      </c>
      <c r="J234" t="str">
        <f t="shared" si="28"/>
        <v>3-471 arg2</v>
      </c>
      <c r="K234" t="str">
        <f t="shared" si="29"/>
        <v>3-471 feedback2</v>
      </c>
      <c r="L234">
        <v>1</v>
      </c>
      <c r="M234" t="s">
        <v>1299</v>
      </c>
      <c r="N234">
        <v>233</v>
      </c>
    </row>
    <row r="235" spans="1:14">
      <c r="A235">
        <v>8</v>
      </c>
      <c r="B235">
        <f t="shared" si="30"/>
        <v>3</v>
      </c>
      <c r="C235">
        <v>472</v>
      </c>
      <c r="D235">
        <f t="shared" ca="1" si="24"/>
        <v>4</v>
      </c>
      <c r="E235" t="str">
        <f t="shared" si="25"/>
        <v>3-472 arg1</v>
      </c>
      <c r="F235">
        <f t="shared" ca="1" si="23"/>
        <v>2</v>
      </c>
      <c r="G235" t="str">
        <f t="shared" si="26"/>
        <v>3-472 feedback1</v>
      </c>
      <c r="H235">
        <v>1</v>
      </c>
      <c r="I235">
        <f t="shared" ca="1" si="27"/>
        <v>2</v>
      </c>
      <c r="J235" t="str">
        <f t="shared" si="28"/>
        <v>3-472 arg2</v>
      </c>
      <c r="K235" t="str">
        <f t="shared" si="29"/>
        <v>3-472 feedback2</v>
      </c>
      <c r="L235">
        <v>1</v>
      </c>
      <c r="M235" t="s">
        <v>1299</v>
      </c>
      <c r="N235">
        <v>234</v>
      </c>
    </row>
    <row r="236" spans="1:14">
      <c r="A236">
        <v>8</v>
      </c>
      <c r="B236">
        <f t="shared" si="30"/>
        <v>3</v>
      </c>
      <c r="C236">
        <v>473</v>
      </c>
      <c r="D236">
        <f t="shared" ca="1" si="24"/>
        <v>3</v>
      </c>
      <c r="E236" t="str">
        <f t="shared" si="25"/>
        <v>3-473 arg1</v>
      </c>
      <c r="F236">
        <f t="shared" ca="1" si="23"/>
        <v>1</v>
      </c>
      <c r="G236" t="str">
        <f t="shared" si="26"/>
        <v>3-473 feedback1</v>
      </c>
      <c r="H236">
        <v>1</v>
      </c>
      <c r="I236">
        <f t="shared" ca="1" si="27"/>
        <v>1</v>
      </c>
      <c r="J236" t="str">
        <f t="shared" si="28"/>
        <v>3-473 arg2</v>
      </c>
      <c r="K236" t="str">
        <f t="shared" si="29"/>
        <v>3-473 feedback2</v>
      </c>
      <c r="L236">
        <v>1</v>
      </c>
      <c r="M236" t="s">
        <v>1299</v>
      </c>
      <c r="N236">
        <v>235</v>
      </c>
    </row>
    <row r="237" spans="1:14">
      <c r="A237">
        <v>8</v>
      </c>
      <c r="B237">
        <f t="shared" si="30"/>
        <v>3</v>
      </c>
      <c r="C237">
        <v>474</v>
      </c>
      <c r="D237">
        <f t="shared" ca="1" si="24"/>
        <v>5</v>
      </c>
      <c r="E237" t="str">
        <f t="shared" si="25"/>
        <v>3-474 arg1</v>
      </c>
      <c r="F237">
        <f t="shared" ref="F237:F256" ca="1" si="31">D237-ROUND(2*RAND(),0)</f>
        <v>4</v>
      </c>
      <c r="G237" t="str">
        <f t="shared" si="26"/>
        <v>3-474 feedback1</v>
      </c>
      <c r="H237">
        <v>1</v>
      </c>
      <c r="I237">
        <f t="shared" ca="1" si="27"/>
        <v>4</v>
      </c>
      <c r="J237" t="str">
        <f t="shared" si="28"/>
        <v>3-474 arg2</v>
      </c>
      <c r="K237" t="str">
        <f t="shared" si="29"/>
        <v>3-474 feedback2</v>
      </c>
      <c r="L237">
        <v>1</v>
      </c>
      <c r="M237" t="s">
        <v>1299</v>
      </c>
      <c r="N237">
        <v>236</v>
      </c>
    </row>
    <row r="238" spans="1:14">
      <c r="A238">
        <v>8</v>
      </c>
      <c r="B238">
        <f t="shared" si="30"/>
        <v>3</v>
      </c>
      <c r="C238">
        <v>475</v>
      </c>
      <c r="D238">
        <f t="shared" ca="1" si="24"/>
        <v>4</v>
      </c>
      <c r="E238" t="str">
        <f t="shared" si="25"/>
        <v>3-475 arg1</v>
      </c>
      <c r="F238">
        <f t="shared" ca="1" si="31"/>
        <v>4</v>
      </c>
      <c r="G238" t="str">
        <f t="shared" si="26"/>
        <v>3-475 feedback1</v>
      </c>
      <c r="H238">
        <v>1</v>
      </c>
      <c r="I238">
        <f t="shared" ca="1" si="27"/>
        <v>4</v>
      </c>
      <c r="J238" t="str">
        <f t="shared" si="28"/>
        <v>3-475 arg2</v>
      </c>
      <c r="K238" t="str">
        <f t="shared" si="29"/>
        <v>3-475 feedback2</v>
      </c>
      <c r="L238">
        <v>1</v>
      </c>
      <c r="M238" t="s">
        <v>1299</v>
      </c>
      <c r="N238">
        <v>237</v>
      </c>
    </row>
    <row r="239" spans="1:14">
      <c r="A239">
        <v>8</v>
      </c>
      <c r="B239">
        <f t="shared" si="30"/>
        <v>3</v>
      </c>
      <c r="C239">
        <v>476</v>
      </c>
      <c r="D239">
        <f t="shared" ca="1" si="24"/>
        <v>4</v>
      </c>
      <c r="E239" t="str">
        <f t="shared" si="25"/>
        <v>3-476 arg1</v>
      </c>
      <c r="F239">
        <f t="shared" ca="1" si="31"/>
        <v>2</v>
      </c>
      <c r="G239" t="str">
        <f t="shared" si="26"/>
        <v>3-476 feedback1</v>
      </c>
      <c r="H239">
        <v>1</v>
      </c>
      <c r="I239">
        <f t="shared" ca="1" si="27"/>
        <v>2</v>
      </c>
      <c r="J239" t="str">
        <f t="shared" si="28"/>
        <v>3-476 arg2</v>
      </c>
      <c r="K239" t="str">
        <f t="shared" si="29"/>
        <v>3-476 feedback2</v>
      </c>
      <c r="L239">
        <v>1</v>
      </c>
      <c r="M239" t="s">
        <v>1299</v>
      </c>
      <c r="N239">
        <v>238</v>
      </c>
    </row>
    <row r="240" spans="1:14">
      <c r="A240">
        <v>8</v>
      </c>
      <c r="B240">
        <f t="shared" si="30"/>
        <v>3</v>
      </c>
      <c r="C240">
        <v>477</v>
      </c>
      <c r="D240">
        <f t="shared" ca="1" si="24"/>
        <v>4</v>
      </c>
      <c r="E240" t="str">
        <f t="shared" si="25"/>
        <v>3-477 arg1</v>
      </c>
      <c r="F240">
        <f t="shared" ca="1" si="31"/>
        <v>4</v>
      </c>
      <c r="G240" t="str">
        <f t="shared" si="26"/>
        <v>3-477 feedback1</v>
      </c>
      <c r="H240">
        <v>1</v>
      </c>
      <c r="I240">
        <f t="shared" ca="1" si="27"/>
        <v>5</v>
      </c>
      <c r="J240" t="str">
        <f t="shared" si="28"/>
        <v>3-477 arg2</v>
      </c>
      <c r="K240" t="str">
        <f t="shared" si="29"/>
        <v>3-477 feedback2</v>
      </c>
      <c r="L240">
        <v>1</v>
      </c>
      <c r="M240" t="s">
        <v>1299</v>
      </c>
      <c r="N240">
        <v>239</v>
      </c>
    </row>
    <row r="241" spans="1:14">
      <c r="A241">
        <v>8</v>
      </c>
      <c r="B241">
        <f t="shared" si="30"/>
        <v>3</v>
      </c>
      <c r="C241">
        <v>478</v>
      </c>
      <c r="D241">
        <f t="shared" ca="1" si="24"/>
        <v>4</v>
      </c>
      <c r="E241" t="str">
        <f t="shared" si="25"/>
        <v>3-478 arg1</v>
      </c>
      <c r="F241">
        <f t="shared" ca="1" si="31"/>
        <v>4</v>
      </c>
      <c r="G241" t="str">
        <f t="shared" si="26"/>
        <v>3-478 feedback1</v>
      </c>
      <c r="H241">
        <v>1</v>
      </c>
      <c r="I241">
        <f t="shared" ca="1" si="27"/>
        <v>4</v>
      </c>
      <c r="J241" t="str">
        <f t="shared" si="28"/>
        <v>3-478 arg2</v>
      </c>
      <c r="K241" t="str">
        <f t="shared" si="29"/>
        <v>3-478 feedback2</v>
      </c>
      <c r="L241">
        <v>1</v>
      </c>
      <c r="M241" t="s">
        <v>1299</v>
      </c>
      <c r="N241">
        <v>240</v>
      </c>
    </row>
    <row r="242" spans="1:14">
      <c r="A242">
        <v>8</v>
      </c>
      <c r="B242">
        <f t="shared" si="30"/>
        <v>3</v>
      </c>
      <c r="C242">
        <v>479</v>
      </c>
      <c r="D242">
        <f t="shared" ca="1" si="24"/>
        <v>4</v>
      </c>
      <c r="E242" t="str">
        <f t="shared" si="25"/>
        <v>3-479 arg1</v>
      </c>
      <c r="F242">
        <f t="shared" ca="1" si="31"/>
        <v>2</v>
      </c>
      <c r="G242" t="str">
        <f t="shared" si="26"/>
        <v>3-479 feedback1</v>
      </c>
      <c r="H242">
        <v>1</v>
      </c>
      <c r="I242">
        <f t="shared" ca="1" si="27"/>
        <v>2</v>
      </c>
      <c r="J242" t="str">
        <f t="shared" si="28"/>
        <v>3-479 arg2</v>
      </c>
      <c r="K242" t="str">
        <f t="shared" si="29"/>
        <v>3-479 feedback2</v>
      </c>
      <c r="L242">
        <v>1</v>
      </c>
      <c r="M242" t="s">
        <v>1299</v>
      </c>
      <c r="N242">
        <v>241</v>
      </c>
    </row>
    <row r="243" spans="1:14">
      <c r="A243">
        <v>8</v>
      </c>
      <c r="B243">
        <f t="shared" si="30"/>
        <v>3</v>
      </c>
      <c r="C243">
        <v>480</v>
      </c>
      <c r="D243">
        <f t="shared" ca="1" si="24"/>
        <v>5</v>
      </c>
      <c r="E243" t="str">
        <f t="shared" si="25"/>
        <v>3-480 arg1</v>
      </c>
      <c r="F243">
        <f t="shared" ca="1" si="31"/>
        <v>5</v>
      </c>
      <c r="G243" t="str">
        <f t="shared" si="26"/>
        <v>3-480 feedback1</v>
      </c>
      <c r="H243">
        <v>1</v>
      </c>
      <c r="I243">
        <f t="shared" ca="1" si="27"/>
        <v>5</v>
      </c>
      <c r="J243" t="str">
        <f t="shared" si="28"/>
        <v>3-480 arg2</v>
      </c>
      <c r="K243" t="str">
        <f t="shared" si="29"/>
        <v>3-480 feedback2</v>
      </c>
      <c r="L243">
        <v>1</v>
      </c>
      <c r="M243" t="s">
        <v>1299</v>
      </c>
      <c r="N243">
        <v>242</v>
      </c>
    </row>
    <row r="244" spans="1:14">
      <c r="A244">
        <v>8</v>
      </c>
      <c r="B244">
        <f t="shared" si="30"/>
        <v>3</v>
      </c>
      <c r="C244">
        <v>481</v>
      </c>
      <c r="D244">
        <f t="shared" ca="1" si="24"/>
        <v>4</v>
      </c>
      <c r="E244" t="str">
        <f t="shared" si="25"/>
        <v>3-481 arg1</v>
      </c>
      <c r="F244">
        <f t="shared" ca="1" si="31"/>
        <v>4</v>
      </c>
      <c r="G244" t="str">
        <f t="shared" si="26"/>
        <v>3-481 feedback1</v>
      </c>
      <c r="H244">
        <v>1</v>
      </c>
      <c r="I244">
        <f t="shared" ca="1" si="27"/>
        <v>5</v>
      </c>
      <c r="J244" t="str">
        <f t="shared" si="28"/>
        <v>3-481 arg2</v>
      </c>
      <c r="K244" t="str">
        <f t="shared" si="29"/>
        <v>3-481 feedback2</v>
      </c>
      <c r="L244">
        <v>1</v>
      </c>
      <c r="M244" t="s">
        <v>1299</v>
      </c>
      <c r="N244">
        <v>243</v>
      </c>
    </row>
    <row r="245" spans="1:14">
      <c r="A245">
        <v>8</v>
      </c>
      <c r="B245">
        <f>B160+1</f>
        <v>3</v>
      </c>
      <c r="C245">
        <v>482</v>
      </c>
      <c r="D245">
        <f t="shared" ca="1" si="24"/>
        <v>4</v>
      </c>
      <c r="E245" t="str">
        <f t="shared" si="25"/>
        <v>3-482 arg1</v>
      </c>
      <c r="F245">
        <f t="shared" ca="1" si="31"/>
        <v>3</v>
      </c>
      <c r="G245" t="str">
        <f t="shared" si="26"/>
        <v>3-482 feedback1</v>
      </c>
      <c r="H245">
        <v>1</v>
      </c>
      <c r="I245">
        <f t="shared" ca="1" si="27"/>
        <v>3</v>
      </c>
      <c r="J245" t="str">
        <f t="shared" si="28"/>
        <v>3-482 arg2</v>
      </c>
      <c r="K245" t="str">
        <f t="shared" si="29"/>
        <v>3-482 feedback2</v>
      </c>
      <c r="L245">
        <v>1</v>
      </c>
      <c r="M245" t="s">
        <v>1299</v>
      </c>
      <c r="N245">
        <v>244</v>
      </c>
    </row>
    <row r="246" spans="1:14">
      <c r="A246">
        <v>8</v>
      </c>
      <c r="B246">
        <f t="shared" ref="B246:B256" si="32">B161+1</f>
        <v>3</v>
      </c>
      <c r="C246">
        <v>483</v>
      </c>
      <c r="D246">
        <f t="shared" ca="1" si="24"/>
        <v>5</v>
      </c>
      <c r="E246" t="str">
        <f t="shared" si="25"/>
        <v>3-483 arg1</v>
      </c>
      <c r="F246">
        <f t="shared" ca="1" si="31"/>
        <v>5</v>
      </c>
      <c r="G246" t="str">
        <f t="shared" si="26"/>
        <v>3-483 feedback1</v>
      </c>
      <c r="H246">
        <v>1</v>
      </c>
      <c r="I246">
        <f t="shared" ca="1" si="27"/>
        <v>5</v>
      </c>
      <c r="J246" t="str">
        <f t="shared" si="28"/>
        <v>3-483 arg2</v>
      </c>
      <c r="K246" t="str">
        <f t="shared" si="29"/>
        <v>3-483 feedback2</v>
      </c>
      <c r="L246">
        <v>1</v>
      </c>
      <c r="M246" t="s">
        <v>1299</v>
      </c>
      <c r="N246">
        <v>245</v>
      </c>
    </row>
    <row r="247" spans="1:14">
      <c r="A247">
        <v>8</v>
      </c>
      <c r="B247">
        <f t="shared" si="32"/>
        <v>3</v>
      </c>
      <c r="C247">
        <v>484</v>
      </c>
      <c r="D247">
        <f t="shared" ca="1" si="24"/>
        <v>4</v>
      </c>
      <c r="E247" t="str">
        <f t="shared" si="25"/>
        <v>3-484 arg1</v>
      </c>
      <c r="F247">
        <f t="shared" ca="1" si="31"/>
        <v>4</v>
      </c>
      <c r="G247" t="str">
        <f t="shared" si="26"/>
        <v>3-484 feedback1</v>
      </c>
      <c r="H247">
        <v>1</v>
      </c>
      <c r="I247">
        <f t="shared" ca="1" si="27"/>
        <v>4</v>
      </c>
      <c r="J247" t="str">
        <f t="shared" si="28"/>
        <v>3-484 arg2</v>
      </c>
      <c r="K247" t="str">
        <f t="shared" si="29"/>
        <v>3-484 feedback2</v>
      </c>
      <c r="L247">
        <v>1</v>
      </c>
      <c r="M247" t="s">
        <v>1299</v>
      </c>
      <c r="N247">
        <v>246</v>
      </c>
    </row>
    <row r="248" spans="1:14">
      <c r="A248">
        <v>8</v>
      </c>
      <c r="B248">
        <f t="shared" si="32"/>
        <v>3</v>
      </c>
      <c r="C248">
        <v>485</v>
      </c>
      <c r="D248">
        <f t="shared" ca="1" si="24"/>
        <v>3</v>
      </c>
      <c r="E248" t="str">
        <f t="shared" si="25"/>
        <v>3-485 arg1</v>
      </c>
      <c r="F248">
        <f t="shared" ca="1" si="31"/>
        <v>2</v>
      </c>
      <c r="G248" t="str">
        <f t="shared" si="26"/>
        <v>3-485 feedback1</v>
      </c>
      <c r="H248">
        <v>1</v>
      </c>
      <c r="I248">
        <f t="shared" ca="1" si="27"/>
        <v>3</v>
      </c>
      <c r="J248" t="str">
        <f t="shared" si="28"/>
        <v>3-485 arg2</v>
      </c>
      <c r="K248" t="str">
        <f t="shared" si="29"/>
        <v>3-485 feedback2</v>
      </c>
      <c r="L248">
        <v>1</v>
      </c>
      <c r="M248" t="s">
        <v>1299</v>
      </c>
      <c r="N248">
        <v>247</v>
      </c>
    </row>
    <row r="249" spans="1:14">
      <c r="A249">
        <v>8</v>
      </c>
      <c r="B249">
        <f t="shared" si="32"/>
        <v>3</v>
      </c>
      <c r="C249">
        <v>486</v>
      </c>
      <c r="D249">
        <f t="shared" ca="1" si="24"/>
        <v>4</v>
      </c>
      <c r="E249" t="str">
        <f t="shared" si="25"/>
        <v>3-486 arg1</v>
      </c>
      <c r="F249">
        <f t="shared" ca="1" si="31"/>
        <v>3</v>
      </c>
      <c r="G249" t="str">
        <f t="shared" si="26"/>
        <v>3-486 feedback1</v>
      </c>
      <c r="H249">
        <v>1</v>
      </c>
      <c r="I249">
        <f t="shared" ca="1" si="27"/>
        <v>3</v>
      </c>
      <c r="J249" t="str">
        <f t="shared" si="28"/>
        <v>3-486 arg2</v>
      </c>
      <c r="K249" t="str">
        <f t="shared" si="29"/>
        <v>3-486 feedback2</v>
      </c>
      <c r="L249">
        <v>1</v>
      </c>
      <c r="M249" t="s">
        <v>1299</v>
      </c>
      <c r="N249">
        <v>248</v>
      </c>
    </row>
    <row r="250" spans="1:14">
      <c r="A250">
        <v>8</v>
      </c>
      <c r="B250">
        <f t="shared" si="32"/>
        <v>3</v>
      </c>
      <c r="C250">
        <v>487</v>
      </c>
      <c r="D250">
        <f t="shared" ca="1" si="24"/>
        <v>3</v>
      </c>
      <c r="E250" t="str">
        <f t="shared" si="25"/>
        <v>3-487 arg1</v>
      </c>
      <c r="F250">
        <f t="shared" ca="1" si="31"/>
        <v>3</v>
      </c>
      <c r="G250" t="str">
        <f t="shared" si="26"/>
        <v>3-487 feedback1</v>
      </c>
      <c r="H250">
        <v>1</v>
      </c>
      <c r="I250">
        <f t="shared" ca="1" si="27"/>
        <v>3</v>
      </c>
      <c r="J250" t="str">
        <f t="shared" si="28"/>
        <v>3-487 arg2</v>
      </c>
      <c r="K250" t="str">
        <f t="shared" si="29"/>
        <v>3-487 feedback2</v>
      </c>
      <c r="L250">
        <v>1</v>
      </c>
      <c r="M250" t="s">
        <v>1299</v>
      </c>
      <c r="N250">
        <v>249</v>
      </c>
    </row>
    <row r="251" spans="1:14">
      <c r="A251">
        <v>8</v>
      </c>
      <c r="B251">
        <f t="shared" si="32"/>
        <v>3</v>
      </c>
      <c r="C251">
        <v>488</v>
      </c>
      <c r="D251">
        <f t="shared" ca="1" si="24"/>
        <v>4</v>
      </c>
      <c r="E251" t="str">
        <f t="shared" si="25"/>
        <v>3-488 arg1</v>
      </c>
      <c r="F251">
        <f t="shared" ca="1" si="31"/>
        <v>3</v>
      </c>
      <c r="G251" t="str">
        <f t="shared" si="26"/>
        <v>3-488 feedback1</v>
      </c>
      <c r="H251">
        <v>1</v>
      </c>
      <c r="I251">
        <f t="shared" ca="1" si="27"/>
        <v>4</v>
      </c>
      <c r="J251" t="str">
        <f t="shared" si="28"/>
        <v>3-488 arg2</v>
      </c>
      <c r="K251" t="str">
        <f t="shared" si="29"/>
        <v>3-488 feedback2</v>
      </c>
      <c r="L251">
        <v>1</v>
      </c>
      <c r="M251" t="s">
        <v>1299</v>
      </c>
      <c r="N251">
        <v>250</v>
      </c>
    </row>
    <row r="252" spans="1:14">
      <c r="A252">
        <v>8</v>
      </c>
      <c r="B252">
        <f t="shared" si="32"/>
        <v>3</v>
      </c>
      <c r="C252">
        <v>489</v>
      </c>
      <c r="D252">
        <f t="shared" ca="1" si="24"/>
        <v>4</v>
      </c>
      <c r="E252" t="str">
        <f t="shared" si="25"/>
        <v>3-489 arg1</v>
      </c>
      <c r="F252">
        <f t="shared" ca="1" si="31"/>
        <v>2</v>
      </c>
      <c r="G252" t="str">
        <f t="shared" si="26"/>
        <v>3-489 feedback1</v>
      </c>
      <c r="H252">
        <v>1</v>
      </c>
      <c r="I252">
        <f t="shared" ca="1" si="27"/>
        <v>3</v>
      </c>
      <c r="J252" t="str">
        <f t="shared" si="28"/>
        <v>3-489 arg2</v>
      </c>
      <c r="K252" t="str">
        <f t="shared" si="29"/>
        <v>3-489 feedback2</v>
      </c>
      <c r="L252">
        <v>1</v>
      </c>
      <c r="M252" t="s">
        <v>1299</v>
      </c>
      <c r="N252">
        <v>251</v>
      </c>
    </row>
    <row r="253" spans="1:14">
      <c r="A253">
        <v>8</v>
      </c>
      <c r="B253">
        <f t="shared" si="32"/>
        <v>3</v>
      </c>
      <c r="C253">
        <v>490</v>
      </c>
      <c r="D253">
        <f t="shared" ca="1" si="24"/>
        <v>3</v>
      </c>
      <c r="E253" t="str">
        <f t="shared" si="25"/>
        <v>3-490 arg1</v>
      </c>
      <c r="F253">
        <f t="shared" ca="1" si="31"/>
        <v>3</v>
      </c>
      <c r="G253" t="str">
        <f t="shared" si="26"/>
        <v>3-490 feedback1</v>
      </c>
      <c r="H253">
        <v>1</v>
      </c>
      <c r="I253">
        <f t="shared" ca="1" si="27"/>
        <v>3</v>
      </c>
      <c r="J253" t="str">
        <f t="shared" si="28"/>
        <v>3-490 arg2</v>
      </c>
      <c r="K253" t="str">
        <f t="shared" si="29"/>
        <v>3-490 feedback2</v>
      </c>
      <c r="L253">
        <v>1</v>
      </c>
      <c r="M253" t="s">
        <v>1299</v>
      </c>
      <c r="N253">
        <v>252</v>
      </c>
    </row>
    <row r="254" spans="1:14">
      <c r="A254">
        <v>8</v>
      </c>
      <c r="B254">
        <f t="shared" si="32"/>
        <v>3</v>
      </c>
      <c r="C254">
        <v>491</v>
      </c>
      <c r="D254">
        <f t="shared" ca="1" si="24"/>
        <v>5</v>
      </c>
      <c r="E254" t="str">
        <f t="shared" si="25"/>
        <v>3-491 arg1</v>
      </c>
      <c r="F254">
        <f t="shared" ca="1" si="31"/>
        <v>4</v>
      </c>
      <c r="G254" t="str">
        <f t="shared" si="26"/>
        <v>3-491 feedback1</v>
      </c>
      <c r="H254">
        <v>1</v>
      </c>
      <c r="I254">
        <f t="shared" ca="1" si="27"/>
        <v>4</v>
      </c>
      <c r="J254" t="str">
        <f t="shared" si="28"/>
        <v>3-491 arg2</v>
      </c>
      <c r="K254" t="str">
        <f t="shared" si="29"/>
        <v>3-491 feedback2</v>
      </c>
      <c r="L254">
        <v>1</v>
      </c>
      <c r="M254" t="s">
        <v>1299</v>
      </c>
      <c r="N254">
        <v>253</v>
      </c>
    </row>
    <row r="255" spans="1:14">
      <c r="A255">
        <v>8</v>
      </c>
      <c r="B255">
        <f t="shared" si="32"/>
        <v>3</v>
      </c>
      <c r="C255">
        <v>492</v>
      </c>
      <c r="D255">
        <f t="shared" ca="1" si="24"/>
        <v>3</v>
      </c>
      <c r="E255" t="str">
        <f t="shared" si="25"/>
        <v>3-492 arg1</v>
      </c>
      <c r="F255">
        <f t="shared" ca="1" si="31"/>
        <v>2</v>
      </c>
      <c r="G255" t="str">
        <f t="shared" si="26"/>
        <v>3-492 feedback1</v>
      </c>
      <c r="H255">
        <v>1</v>
      </c>
      <c r="I255">
        <f t="shared" ca="1" si="27"/>
        <v>2</v>
      </c>
      <c r="J255" t="str">
        <f t="shared" si="28"/>
        <v>3-492 arg2</v>
      </c>
      <c r="K255" t="str">
        <f t="shared" si="29"/>
        <v>3-492 feedback2</v>
      </c>
      <c r="L255">
        <v>1</v>
      </c>
      <c r="M255" t="s">
        <v>1299</v>
      </c>
      <c r="N255">
        <v>254</v>
      </c>
    </row>
    <row r="256" spans="1:14">
      <c r="A256">
        <v>8</v>
      </c>
      <c r="B256">
        <f t="shared" si="32"/>
        <v>3</v>
      </c>
      <c r="C256">
        <v>493</v>
      </c>
      <c r="D256">
        <f t="shared" ca="1" si="24"/>
        <v>4</v>
      </c>
      <c r="E256" t="str">
        <f t="shared" si="25"/>
        <v>3-493 arg1</v>
      </c>
      <c r="F256">
        <f t="shared" ca="1" si="31"/>
        <v>4</v>
      </c>
      <c r="G256" t="str">
        <f t="shared" si="26"/>
        <v>3-493 feedback1</v>
      </c>
      <c r="H256">
        <v>1</v>
      </c>
      <c r="I256">
        <f t="shared" ca="1" si="27"/>
        <v>4</v>
      </c>
      <c r="J256" t="str">
        <f t="shared" si="28"/>
        <v>3-493 arg2</v>
      </c>
      <c r="K256" t="str">
        <f t="shared" si="29"/>
        <v>3-493 feedback2</v>
      </c>
      <c r="L256">
        <v>1</v>
      </c>
      <c r="M256" t="s">
        <v>1299</v>
      </c>
      <c r="N256">
        <v>255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17F65-23DD-F649-B19C-026EE9C4CBF9}">
  <sheetPr codeName="Sheet19"/>
  <dimension ref="A1:AG302"/>
  <sheetViews>
    <sheetView topLeftCell="A33" workbookViewId="0">
      <selection activeCell="B199" sqref="B199"/>
    </sheetView>
  </sheetViews>
  <sheetFormatPr baseColWidth="10" defaultColWidth="8.83203125" defaultRowHeight="16"/>
  <cols>
    <col min="1" max="1" width="39.5" customWidth="1"/>
    <col min="2" max="2" width="16.5" style="63" customWidth="1"/>
    <col min="3" max="3" width="13.6640625" style="63" customWidth="1"/>
    <col min="4" max="15" width="16.5" style="63" customWidth="1"/>
    <col min="16" max="16" width="4.33203125" bestFit="1" customWidth="1"/>
    <col min="31" max="31" width="3.6640625" customWidth="1"/>
    <col min="32" max="32" width="8.83203125" style="63"/>
  </cols>
  <sheetData>
    <row r="1" spans="1:33">
      <c r="A1" t="s">
        <v>298</v>
      </c>
      <c r="B1" s="63">
        <v>1</v>
      </c>
      <c r="C1" s="63">
        <v>2</v>
      </c>
      <c r="D1" s="63">
        <v>3</v>
      </c>
      <c r="E1" s="63">
        <v>4</v>
      </c>
      <c r="F1" s="63">
        <v>5</v>
      </c>
      <c r="G1" s="63">
        <v>6</v>
      </c>
      <c r="H1" s="63">
        <v>7</v>
      </c>
      <c r="I1" s="63">
        <v>8</v>
      </c>
      <c r="J1" s="63">
        <v>9</v>
      </c>
      <c r="K1" s="63">
        <v>10</v>
      </c>
      <c r="L1" s="63">
        <v>11</v>
      </c>
      <c r="M1" s="63">
        <v>12</v>
      </c>
      <c r="N1" s="63">
        <v>13</v>
      </c>
      <c r="O1" s="63">
        <v>14</v>
      </c>
    </row>
    <row r="2" spans="1:33">
      <c r="A2" t="s">
        <v>298</v>
      </c>
    </row>
    <row r="3" spans="1:33" ht="48">
      <c r="A3" t="s">
        <v>298</v>
      </c>
      <c r="B3" s="59" t="s">
        <v>1241</v>
      </c>
      <c r="C3" s="59" t="s">
        <v>1242</v>
      </c>
      <c r="D3" s="59" t="s">
        <v>1243</v>
      </c>
      <c r="E3" s="59" t="s">
        <v>1244</v>
      </c>
      <c r="F3" s="59" t="s">
        <v>1245</v>
      </c>
      <c r="G3" s="59" t="s">
        <v>1246</v>
      </c>
      <c r="H3" s="59" t="s">
        <v>1247</v>
      </c>
      <c r="I3" s="59" t="s">
        <v>1248</v>
      </c>
      <c r="J3" s="59" t="s">
        <v>1249</v>
      </c>
      <c r="K3" s="59" t="s">
        <v>1250</v>
      </c>
      <c r="L3" s="59" t="s">
        <v>1251</v>
      </c>
      <c r="M3" s="64" t="s">
        <v>1303</v>
      </c>
      <c r="N3" s="64" t="s">
        <v>1304</v>
      </c>
      <c r="O3" s="64" t="s">
        <v>1305</v>
      </c>
      <c r="P3" s="65" t="s">
        <v>1306</v>
      </c>
      <c r="Q3" s="59" t="s">
        <v>1241</v>
      </c>
      <c r="R3" s="59" t="s">
        <v>1242</v>
      </c>
      <c r="S3" s="59" t="s">
        <v>1243</v>
      </c>
      <c r="T3" s="59" t="s">
        <v>1244</v>
      </c>
      <c r="U3" s="59" t="s">
        <v>1245</v>
      </c>
      <c r="V3" s="59" t="s">
        <v>1246</v>
      </c>
      <c r="W3" s="59" t="s">
        <v>1247</v>
      </c>
      <c r="X3" s="59" t="s">
        <v>1248</v>
      </c>
      <c r="Y3" s="59" t="s">
        <v>1249</v>
      </c>
      <c r="Z3" s="59" t="s">
        <v>1250</v>
      </c>
      <c r="AA3" s="59" t="s">
        <v>1251</v>
      </c>
      <c r="AB3" s="59" t="s">
        <v>1303</v>
      </c>
      <c r="AC3" s="59" t="s">
        <v>1304</v>
      </c>
      <c r="AD3" s="59" t="s">
        <v>1305</v>
      </c>
      <c r="AF3" s="66" t="s">
        <v>1307</v>
      </c>
      <c r="AG3" s="66" t="s">
        <v>1307</v>
      </c>
    </row>
    <row r="4" spans="1:33">
      <c r="A4" s="67" t="s">
        <v>1308</v>
      </c>
      <c r="B4" s="68"/>
      <c r="C4" s="68"/>
      <c r="D4" s="68"/>
      <c r="E4" s="68"/>
      <c r="F4" s="68"/>
      <c r="G4" s="68"/>
      <c r="H4" s="68"/>
      <c r="I4" s="68"/>
      <c r="J4" s="68"/>
      <c r="K4" s="68"/>
      <c r="L4" s="68"/>
      <c r="M4" s="68"/>
      <c r="N4" s="68"/>
      <c r="O4" s="68"/>
      <c r="AG4" s="63"/>
    </row>
    <row r="5" spans="1:33">
      <c r="A5" s="69" t="s">
        <v>23</v>
      </c>
      <c r="B5" s="68">
        <v>3.25</v>
      </c>
      <c r="C5" s="68">
        <v>2</v>
      </c>
      <c r="D5" s="68">
        <v>3.125</v>
      </c>
      <c r="E5" s="68">
        <v>3.375</v>
      </c>
      <c r="F5" s="68">
        <v>3</v>
      </c>
      <c r="G5" s="68">
        <v>2.125</v>
      </c>
      <c r="H5" s="68">
        <v>3.375</v>
      </c>
      <c r="I5" s="68">
        <v>1.75</v>
      </c>
      <c r="J5" s="68">
        <v>3</v>
      </c>
      <c r="K5" s="68">
        <v>2.75</v>
      </c>
      <c r="L5" s="68">
        <v>4.25</v>
      </c>
      <c r="M5" s="68">
        <v>3.875</v>
      </c>
      <c r="N5" s="68">
        <v>3.125</v>
      </c>
      <c r="O5" s="68">
        <v>3.5</v>
      </c>
      <c r="P5" s="70">
        <v>2.9090909090909092</v>
      </c>
      <c r="Q5" s="71">
        <v>7.0588235294117688E-2</v>
      </c>
      <c r="R5" s="71">
        <v>-0.34117647058823525</v>
      </c>
      <c r="S5" s="71">
        <v>2.9411764705882398E-2</v>
      </c>
      <c r="T5" s="71">
        <v>0.11176470588235299</v>
      </c>
      <c r="U5" s="71">
        <v>-1.1764705882352899E-2</v>
      </c>
      <c r="V5" s="71">
        <v>-0.3</v>
      </c>
      <c r="W5" s="71">
        <v>0.11176470588235299</v>
      </c>
      <c r="X5" s="71">
        <v>-0.42352941176470588</v>
      </c>
      <c r="Y5" s="71">
        <v>-1.1764705882352899E-2</v>
      </c>
      <c r="Z5" s="71">
        <v>-9.4117647058823486E-2</v>
      </c>
      <c r="AA5" s="71">
        <v>0.40000000000000008</v>
      </c>
      <c r="AB5" s="71">
        <v>0.27647058823529419</v>
      </c>
      <c r="AC5" s="71">
        <v>2.9411764705882398E-2</v>
      </c>
      <c r="AD5" s="71">
        <v>0.15294117647058827</v>
      </c>
      <c r="AF5" s="68">
        <v>3.0357142857142856</v>
      </c>
      <c r="AG5" s="68">
        <v>3.0357142857142856</v>
      </c>
    </row>
    <row r="6" spans="1:33">
      <c r="A6" s="69" t="s">
        <v>24</v>
      </c>
      <c r="B6" s="68">
        <v>3</v>
      </c>
      <c r="C6" s="68">
        <v>2.1111111111111112</v>
      </c>
      <c r="D6" s="68">
        <v>2.7692307692307692</v>
      </c>
      <c r="E6" s="68">
        <v>2.7407407407407409</v>
      </c>
      <c r="F6" s="68">
        <v>2.7037037037037037</v>
      </c>
      <c r="G6" s="68">
        <v>2.2962962962962963</v>
      </c>
      <c r="H6" s="68">
        <v>2.925925925925926</v>
      </c>
      <c r="I6" s="68">
        <v>1.7037037037037037</v>
      </c>
      <c r="J6" s="68">
        <v>2.9629629629629628</v>
      </c>
      <c r="K6" s="68">
        <v>2.8148148148148149</v>
      </c>
      <c r="L6" s="68">
        <v>3.1481481481481484</v>
      </c>
      <c r="M6" s="68">
        <v>2.4074074074074074</v>
      </c>
      <c r="N6" s="68">
        <v>3.0370370370370372</v>
      </c>
      <c r="O6" s="68">
        <v>2.2962962962962963</v>
      </c>
      <c r="P6" s="70">
        <v>2.6524216524216522</v>
      </c>
      <c r="Q6" s="71">
        <v>0.13767556721716309</v>
      </c>
      <c r="R6" s="71">
        <v>-0.1994134897360704</v>
      </c>
      <c r="S6" s="71">
        <v>5.0162062046612062E-2</v>
      </c>
      <c r="T6" s="71">
        <v>3.9357925605803389E-2</v>
      </c>
      <c r="U6" s="71">
        <v>2.5312548232751933E-2</v>
      </c>
      <c r="V6" s="71">
        <v>-0.12918660287081343</v>
      </c>
      <c r="W6" s="71">
        <v>0.10958481247106035</v>
      </c>
      <c r="X6" s="71">
        <v>-0.35391264083963575</v>
      </c>
      <c r="Y6" s="71">
        <v>0.12363018984411164</v>
      </c>
      <c r="Z6" s="71">
        <v>6.744868035190614E-2</v>
      </c>
      <c r="AA6" s="71">
        <v>0.19385707670936878</v>
      </c>
      <c r="AB6" s="71">
        <v>-8.7050470751659226E-2</v>
      </c>
      <c r="AC6" s="71">
        <v>0.15172094459021457</v>
      </c>
      <c r="AD6" s="71">
        <v>-0.12918660287081343</v>
      </c>
      <c r="AF6" s="68">
        <v>2.6369556369556371</v>
      </c>
      <c r="AG6" s="68">
        <v>2.6369556369556371</v>
      </c>
    </row>
    <row r="7" spans="1:33">
      <c r="A7" s="69" t="s">
        <v>25</v>
      </c>
      <c r="B7" s="68">
        <v>2.8181818181818183</v>
      </c>
      <c r="C7" s="68">
        <v>1.5</v>
      </c>
      <c r="D7" s="68">
        <v>2.2727272727272729</v>
      </c>
      <c r="E7" s="68">
        <v>2</v>
      </c>
      <c r="F7" s="68">
        <v>2.2272727272727271</v>
      </c>
      <c r="G7" s="68">
        <v>2.1818181818181817</v>
      </c>
      <c r="H7" s="68">
        <v>3.0454545454545454</v>
      </c>
      <c r="I7" s="68">
        <v>0</v>
      </c>
      <c r="J7" s="68">
        <v>1.9545454545454546</v>
      </c>
      <c r="K7" s="68">
        <v>2.1363636363636362</v>
      </c>
      <c r="L7" s="68">
        <v>1.8181818181818181</v>
      </c>
      <c r="M7" s="68">
        <v>1.0909090909090908</v>
      </c>
      <c r="N7" s="68">
        <v>2.5909090909090908</v>
      </c>
      <c r="O7" s="68">
        <v>2.2272727272727271</v>
      </c>
      <c r="P7" s="70">
        <v>1.9958677685950412</v>
      </c>
      <c r="Q7" s="71">
        <v>0.4159869494290378</v>
      </c>
      <c r="R7" s="71">
        <v>-0.24632952691680249</v>
      </c>
      <c r="S7" s="71">
        <v>0.14192495921696602</v>
      </c>
      <c r="T7" s="71">
        <v>4.8939641109300089E-3</v>
      </c>
      <c r="U7" s="71">
        <v>0.1190864600326265</v>
      </c>
      <c r="V7" s="71">
        <v>9.6247960848287198E-2</v>
      </c>
      <c r="W7" s="71">
        <v>0.53017944535073436</v>
      </c>
      <c r="X7" s="71">
        <v>-1</v>
      </c>
      <c r="Y7" s="71">
        <v>-1.794453507340929E-2</v>
      </c>
      <c r="Z7" s="71">
        <v>7.3409461663947906E-2</v>
      </c>
      <c r="AA7" s="71">
        <v>-8.6460032626427291E-2</v>
      </c>
      <c r="AB7" s="71">
        <v>-0.45187601957585638</v>
      </c>
      <c r="AC7" s="71">
        <v>0.30179445350734113</v>
      </c>
      <c r="AD7" s="71">
        <v>0.1190864600326265</v>
      </c>
      <c r="AF7" s="68">
        <v>1.99025974025974</v>
      </c>
      <c r="AG7" s="68">
        <v>1.99025974025974</v>
      </c>
    </row>
    <row r="8" spans="1:33">
      <c r="A8" s="69" t="s">
        <v>11</v>
      </c>
      <c r="B8" s="68">
        <v>2.2142857142857144</v>
      </c>
      <c r="C8" s="68">
        <v>2.0714285714285716</v>
      </c>
      <c r="D8" s="68">
        <v>1.8571428571428572</v>
      </c>
      <c r="E8" s="68">
        <v>2.5</v>
      </c>
      <c r="F8" s="68">
        <v>2</v>
      </c>
      <c r="G8" s="68">
        <v>2.5714285714285716</v>
      </c>
      <c r="H8" s="68">
        <v>1.7857142857142858</v>
      </c>
      <c r="I8" s="68">
        <v>1.5714285714285714</v>
      </c>
      <c r="J8" s="68">
        <v>2</v>
      </c>
      <c r="K8" s="68">
        <v>2.3571428571428572</v>
      </c>
      <c r="L8" s="68">
        <v>3.2857142857142856</v>
      </c>
      <c r="M8" s="68">
        <v>1.6923076923076923</v>
      </c>
      <c r="N8" s="68">
        <v>2.0714285714285716</v>
      </c>
      <c r="O8" s="68">
        <v>2.0714285714285716</v>
      </c>
      <c r="P8" s="70">
        <v>2.2012987012987013</v>
      </c>
      <c r="Q8" s="71">
        <v>3.1632839641616235E-2</v>
      </c>
      <c r="R8" s="71">
        <v>-3.492411775461704E-2</v>
      </c>
      <c r="S8" s="71">
        <v>-0.13475955384896704</v>
      </c>
      <c r="T8" s="71">
        <v>0.16474675443408279</v>
      </c>
      <c r="U8" s="71">
        <v>-6.8202596452733771E-2</v>
      </c>
      <c r="V8" s="71">
        <v>0.19802523313219952</v>
      </c>
      <c r="W8" s="71">
        <v>-0.16803803254708369</v>
      </c>
      <c r="X8" s="71">
        <v>-0.26787346864143369</v>
      </c>
      <c r="Y8" s="71">
        <v>-6.8202596452733771E-2</v>
      </c>
      <c r="Z8" s="71">
        <v>9.8189797037849511E-2</v>
      </c>
      <c r="AA8" s="71">
        <v>0.53081002011336587</v>
      </c>
      <c r="AB8" s="71">
        <v>-0.21155604315231322</v>
      </c>
      <c r="AC8" s="71">
        <v>-3.492411775461704E-2</v>
      </c>
      <c r="AD8" s="71">
        <v>-3.492411775461704E-2</v>
      </c>
      <c r="AF8" s="68">
        <v>2.146389324960754</v>
      </c>
      <c r="AG8" s="68">
        <v>2.146389324960754</v>
      </c>
    </row>
    <row r="9" spans="1:33">
      <c r="A9" s="69" t="s">
        <v>10</v>
      </c>
      <c r="B9" s="68">
        <v>3.2857142857142856</v>
      </c>
      <c r="C9" s="68">
        <v>2.4285714285714284</v>
      </c>
      <c r="D9" s="68">
        <v>3</v>
      </c>
      <c r="E9" s="68">
        <v>3.4285714285714284</v>
      </c>
      <c r="F9" s="68">
        <v>2.8571428571428572</v>
      </c>
      <c r="G9" s="68">
        <v>2.5714285714285716</v>
      </c>
      <c r="H9" s="68">
        <v>2.1428571428571428</v>
      </c>
      <c r="I9" s="68">
        <v>1.8571428571428572</v>
      </c>
      <c r="J9" s="68">
        <v>2.5714285714285716</v>
      </c>
      <c r="K9" s="68">
        <v>2.8571428571428572</v>
      </c>
      <c r="L9" s="68">
        <v>3.1428571428571428</v>
      </c>
      <c r="M9" s="68">
        <v>2</v>
      </c>
      <c r="N9" s="68">
        <v>3.1428571428571428</v>
      </c>
      <c r="O9" s="68">
        <v>2.7142857142857144</v>
      </c>
      <c r="P9" s="70">
        <v>2.7402597402597406</v>
      </c>
      <c r="Q9" s="71">
        <v>0.21052631578947339</v>
      </c>
      <c r="R9" s="71">
        <v>-0.1052631578947371</v>
      </c>
      <c r="S9" s="71">
        <v>0.10526315789473661</v>
      </c>
      <c r="T9" s="71">
        <v>0.26315789473684176</v>
      </c>
      <c r="U9" s="71">
        <v>5.2631578947368224E-2</v>
      </c>
      <c r="V9" s="71">
        <v>-5.263157894736855E-2</v>
      </c>
      <c r="W9" s="71">
        <v>-0.21052631578947387</v>
      </c>
      <c r="X9" s="71">
        <v>-0.31578947368421062</v>
      </c>
      <c r="Y9" s="71">
        <v>-5.263157894736855E-2</v>
      </c>
      <c r="Z9" s="71">
        <v>5.2631578947368224E-2</v>
      </c>
      <c r="AA9" s="71">
        <v>0.157894736842105</v>
      </c>
      <c r="AB9" s="71">
        <v>-0.26315789473684226</v>
      </c>
      <c r="AC9" s="71">
        <v>0.157894736842105</v>
      </c>
      <c r="AD9" s="71">
        <v>-1.6361181415528619E-16</v>
      </c>
      <c r="AF9" s="68">
        <v>2.7142857142857149</v>
      </c>
      <c r="AG9" s="68">
        <v>2.7142857142857149</v>
      </c>
    </row>
    <row r="10" spans="1:33">
      <c r="A10" s="69" t="s">
        <v>33</v>
      </c>
      <c r="B10" s="68">
        <v>4.166666666666667</v>
      </c>
      <c r="C10" s="68">
        <v>2.1666666666666665</v>
      </c>
      <c r="D10" s="68">
        <v>3.8333333333333335</v>
      </c>
      <c r="E10" s="68">
        <v>2</v>
      </c>
      <c r="F10" s="68">
        <v>2.6666666666666665</v>
      </c>
      <c r="G10" s="68">
        <v>3</v>
      </c>
      <c r="H10" s="68">
        <v>2.8333333333333335</v>
      </c>
      <c r="I10" s="68">
        <v>1.1666666666666667</v>
      </c>
      <c r="J10" s="68">
        <v>4.166666666666667</v>
      </c>
      <c r="K10" s="68">
        <v>3</v>
      </c>
      <c r="L10" s="68">
        <v>2.3333333333333335</v>
      </c>
      <c r="M10" s="68">
        <v>2.3333333333333335</v>
      </c>
      <c r="N10" s="68">
        <v>3.5</v>
      </c>
      <c r="O10" s="68">
        <v>2.1666666666666665</v>
      </c>
      <c r="P10" s="70">
        <v>2.8484848484848486</v>
      </c>
      <c r="Q10" s="71">
        <v>0.48305084745762711</v>
      </c>
      <c r="R10" s="71">
        <v>-0.22881355932203401</v>
      </c>
      <c r="S10" s="71">
        <v>0.36440677966101687</v>
      </c>
      <c r="T10" s="71">
        <v>-0.28813559322033905</v>
      </c>
      <c r="U10" s="71">
        <v>-5.0847457627118772E-2</v>
      </c>
      <c r="V10" s="71">
        <v>6.7796610169491442E-2</v>
      </c>
      <c r="W10" s="71">
        <v>8.4745762711864094E-3</v>
      </c>
      <c r="X10" s="71">
        <v>-0.5847457627118644</v>
      </c>
      <c r="Y10" s="71">
        <v>0.48305084745762711</v>
      </c>
      <c r="Z10" s="71">
        <v>6.7796610169491442E-2</v>
      </c>
      <c r="AA10" s="71">
        <v>-0.16949152542372883</v>
      </c>
      <c r="AB10" s="71">
        <v>-0.16949152542372883</v>
      </c>
      <c r="AC10" s="71">
        <v>0.24576271186440668</v>
      </c>
      <c r="AD10" s="71">
        <v>-0.22881355932203401</v>
      </c>
      <c r="AF10" s="68">
        <v>2.8095238095238098</v>
      </c>
      <c r="AG10" s="68">
        <v>2.8095238095238098</v>
      </c>
    </row>
    <row r="11" spans="1:33">
      <c r="A11" s="72" t="s">
        <v>1309</v>
      </c>
      <c r="B11" s="73">
        <v>3.1224747474747474</v>
      </c>
      <c r="C11" s="73">
        <v>2.0462962962962963</v>
      </c>
      <c r="D11" s="73">
        <v>2.8095723720723722</v>
      </c>
      <c r="E11" s="73">
        <v>2.674052028218695</v>
      </c>
      <c r="F11" s="73">
        <v>2.5757976591309926</v>
      </c>
      <c r="G11" s="73">
        <v>2.4576619368286035</v>
      </c>
      <c r="H11" s="73">
        <v>2.684714205547539</v>
      </c>
      <c r="I11" s="73">
        <v>1.3414902998236331</v>
      </c>
      <c r="J11" s="73">
        <v>2.7759339426006093</v>
      </c>
      <c r="K11" s="73">
        <v>2.6525773609106946</v>
      </c>
      <c r="L11" s="73">
        <v>2.9963724547057882</v>
      </c>
      <c r="M11" s="73">
        <v>2.233159587326254</v>
      </c>
      <c r="N11" s="73">
        <v>2.9112053070386401</v>
      </c>
      <c r="O11" s="73">
        <v>2.4959916626583292</v>
      </c>
      <c r="Q11" s="71">
        <v>0.22185426611098077</v>
      </c>
      <c r="R11" s="71">
        <v>-0.19926466615021046</v>
      </c>
      <c r="S11" s="71">
        <v>9.9412570603003333E-2</v>
      </c>
      <c r="T11" s="71">
        <v>4.6382162457554707E-2</v>
      </c>
      <c r="U11" s="71">
        <v>7.9342870564989461E-3</v>
      </c>
      <c r="V11" s="71">
        <v>-3.8293352219691434E-2</v>
      </c>
      <c r="W11" s="71">
        <v>5.055437453575188E-2</v>
      </c>
      <c r="X11" s="71">
        <v>-0.47506200102607526</v>
      </c>
      <c r="Y11" s="71">
        <v>8.6249531065666213E-2</v>
      </c>
      <c r="Z11" s="71">
        <v>3.7978919521862553E-2</v>
      </c>
      <c r="AA11" s="71">
        <v>0.17250923153200221</v>
      </c>
      <c r="AB11" s="71">
        <v>-0.12614327117042989</v>
      </c>
      <c r="AC11" s="71">
        <v>0.13918251118181615</v>
      </c>
      <c r="AD11" s="71">
        <v>-2.3294563498728889E-2</v>
      </c>
      <c r="AF11" s="68">
        <v>2.5555214186166566</v>
      </c>
      <c r="AG11" s="68">
        <v>2.5555214186166566</v>
      </c>
    </row>
    <row r="12" spans="1:33">
      <c r="A12" t="s">
        <v>298</v>
      </c>
      <c r="B12"/>
      <c r="C12"/>
      <c r="D12"/>
      <c r="E12"/>
      <c r="F12"/>
      <c r="G12"/>
      <c r="H12"/>
      <c r="I12"/>
      <c r="J12"/>
      <c r="K12"/>
      <c r="L12"/>
      <c r="M12"/>
      <c r="N12"/>
      <c r="O12"/>
      <c r="AF12" s="68"/>
    </row>
    <row r="13" spans="1:33">
      <c r="A13" t="s">
        <v>298</v>
      </c>
      <c r="B13"/>
      <c r="C13"/>
      <c r="D13"/>
      <c r="E13"/>
      <c r="F13"/>
      <c r="G13"/>
      <c r="H13"/>
      <c r="I13"/>
      <c r="J13"/>
      <c r="K13"/>
      <c r="L13"/>
      <c r="M13"/>
      <c r="N13"/>
      <c r="O13"/>
      <c r="AF13" s="68"/>
    </row>
    <row r="14" spans="1:33">
      <c r="A14" t="s">
        <v>298</v>
      </c>
      <c r="B14"/>
      <c r="C14"/>
      <c r="D14"/>
      <c r="E14"/>
      <c r="F14"/>
      <c r="G14"/>
      <c r="H14"/>
      <c r="I14"/>
      <c r="J14"/>
      <c r="K14"/>
      <c r="L14"/>
      <c r="M14"/>
      <c r="N14"/>
      <c r="O14"/>
      <c r="AF14" s="68"/>
    </row>
    <row r="15" spans="1:33">
      <c r="A15" t="s">
        <v>298</v>
      </c>
      <c r="B15"/>
      <c r="C15"/>
      <c r="D15"/>
      <c r="E15"/>
      <c r="F15"/>
      <c r="G15"/>
      <c r="H15"/>
      <c r="I15"/>
      <c r="J15"/>
      <c r="K15"/>
      <c r="L15"/>
      <c r="M15"/>
      <c r="N15"/>
      <c r="O15"/>
      <c r="AF15" s="68"/>
    </row>
    <row r="16" spans="1:33">
      <c r="A16" t="s">
        <v>298</v>
      </c>
      <c r="B16"/>
      <c r="C16"/>
      <c r="D16"/>
      <c r="E16"/>
      <c r="F16"/>
      <c r="G16"/>
      <c r="H16"/>
      <c r="I16"/>
      <c r="J16"/>
      <c r="K16"/>
      <c r="L16"/>
      <c r="M16"/>
      <c r="N16"/>
      <c r="O16"/>
      <c r="AF16" s="68"/>
    </row>
    <row r="17" spans="1:32">
      <c r="A17" t="s">
        <v>298</v>
      </c>
      <c r="B17"/>
      <c r="C17"/>
      <c r="D17"/>
      <c r="E17"/>
      <c r="F17"/>
      <c r="G17"/>
      <c r="H17"/>
      <c r="I17"/>
      <c r="J17"/>
      <c r="K17"/>
      <c r="L17"/>
      <c r="M17"/>
      <c r="N17"/>
      <c r="O17"/>
      <c r="AF17" s="68"/>
    </row>
    <row r="18" spans="1:32">
      <c r="A18" t="s">
        <v>298</v>
      </c>
      <c r="B18"/>
      <c r="C18"/>
      <c r="D18"/>
      <c r="E18"/>
      <c r="F18"/>
      <c r="G18"/>
      <c r="H18"/>
      <c r="I18"/>
      <c r="J18"/>
      <c r="K18"/>
      <c r="L18"/>
      <c r="M18"/>
      <c r="N18"/>
      <c r="O18"/>
      <c r="AF18" s="68"/>
    </row>
    <row r="19" spans="1:32">
      <c r="A19" t="s">
        <v>298</v>
      </c>
      <c r="B19"/>
      <c r="C19"/>
      <c r="D19"/>
      <c r="E19"/>
      <c r="F19"/>
      <c r="G19"/>
      <c r="H19"/>
      <c r="I19"/>
      <c r="J19"/>
      <c r="K19"/>
      <c r="L19"/>
      <c r="M19"/>
      <c r="N19"/>
      <c r="O19"/>
      <c r="AF19" s="68"/>
    </row>
    <row r="20" spans="1:32">
      <c r="A20" t="s">
        <v>298</v>
      </c>
      <c r="Q20" s="71"/>
      <c r="R20" s="71"/>
      <c r="S20" s="71"/>
      <c r="T20" s="71"/>
      <c r="U20" s="71"/>
      <c r="V20" s="71"/>
      <c r="W20" s="71"/>
      <c r="X20" s="71"/>
      <c r="Y20" s="71"/>
      <c r="Z20" s="71"/>
      <c r="AA20" s="71"/>
      <c r="AB20" s="71"/>
      <c r="AC20" s="71"/>
      <c r="AD20" s="71"/>
      <c r="AF20" s="68"/>
    </row>
    <row r="21" spans="1:32">
      <c r="A21" t="s">
        <v>298</v>
      </c>
      <c r="J21"/>
      <c r="Q21" s="71"/>
      <c r="R21" s="71"/>
      <c r="S21" s="71"/>
      <c r="T21" s="71"/>
      <c r="U21" s="71"/>
      <c r="V21" s="71"/>
      <c r="W21" s="71"/>
      <c r="X21" s="71"/>
      <c r="Y21" s="71"/>
      <c r="Z21" s="71"/>
      <c r="AA21" s="71"/>
      <c r="AB21" s="71"/>
      <c r="AC21" s="71"/>
      <c r="AD21" s="71"/>
      <c r="AF21" s="68"/>
    </row>
    <row r="22" spans="1:32">
      <c r="A22" t="s">
        <v>298</v>
      </c>
      <c r="Q22" s="71"/>
      <c r="R22" s="71"/>
      <c r="S22" s="71"/>
      <c r="T22" s="71"/>
      <c r="U22" s="71"/>
      <c r="V22" s="71"/>
      <c r="W22" s="71"/>
      <c r="X22" s="71"/>
      <c r="Y22" s="71"/>
      <c r="Z22" s="71"/>
      <c r="AA22" s="71"/>
      <c r="AB22" s="71"/>
      <c r="AC22" s="71"/>
      <c r="AD22" s="71"/>
      <c r="AF22" s="68"/>
    </row>
    <row r="23" spans="1:32">
      <c r="A23" t="s">
        <v>298</v>
      </c>
      <c r="Q23" s="71"/>
      <c r="R23" s="71"/>
      <c r="S23" s="71"/>
      <c r="T23" s="71"/>
      <c r="U23" s="71"/>
      <c r="V23" s="71"/>
      <c r="W23" s="71"/>
      <c r="X23" s="71"/>
      <c r="Y23" s="71"/>
      <c r="Z23" s="71"/>
      <c r="AA23" s="71"/>
      <c r="AB23" s="71"/>
      <c r="AC23" s="71"/>
      <c r="AD23" s="71"/>
      <c r="AF23" s="68"/>
    </row>
    <row r="24" spans="1:32">
      <c r="A24" t="s">
        <v>1345</v>
      </c>
      <c r="B24" s="63" t="str">
        <f>RIGHT(B31,LEN(B31)-FIND(" ",B31))</f>
        <v>BravoSolution</v>
      </c>
      <c r="C24" s="63" t="str">
        <f t="shared" ref="C24:O24" si="0">RIGHT(C31,LEN(C31)-FIND(" ",C31))</f>
        <v>Determine</v>
      </c>
      <c r="D24" s="63" t="str">
        <f t="shared" si="0"/>
        <v>GEP</v>
      </c>
      <c r="E24" s="63" t="str">
        <f t="shared" si="0"/>
        <v>iValua</v>
      </c>
      <c r="F24" s="63" t="str">
        <f t="shared" si="0"/>
        <v>Jaggaer</v>
      </c>
      <c r="G24" s="63" t="str">
        <f t="shared" si="0"/>
        <v>SAP Ariba</v>
      </c>
      <c r="H24" s="63" t="str">
        <f t="shared" si="0"/>
        <v>Sievo</v>
      </c>
      <c r="I24" s="63" t="str">
        <f t="shared" si="0"/>
        <v>Spendency</v>
      </c>
      <c r="J24" s="63" t="str">
        <f t="shared" si="0"/>
        <v>SpendHQ</v>
      </c>
      <c r="K24" s="63" t="str">
        <f t="shared" si="0"/>
        <v>Zycus</v>
      </c>
      <c r="L24" s="63" t="str">
        <f t="shared" si="0"/>
        <v>AnyData</v>
      </c>
      <c r="M24" s="63" t="str">
        <f t="shared" si="0"/>
        <v>Opera BIQ</v>
      </c>
      <c r="N24" s="63" t="str">
        <f t="shared" si="0"/>
        <v>Simfoni</v>
      </c>
      <c r="O24" s="63" t="str">
        <f t="shared" si="0"/>
        <v>Synertrade</v>
      </c>
      <c r="Q24" s="71"/>
      <c r="R24" s="71"/>
      <c r="S24" s="71"/>
      <c r="T24" s="71"/>
      <c r="U24" s="71"/>
      <c r="V24" s="71"/>
      <c r="W24" s="71"/>
      <c r="X24" s="71"/>
      <c r="Y24" s="71"/>
      <c r="Z24" s="71"/>
      <c r="AA24" s="71"/>
      <c r="AB24" s="71"/>
      <c r="AC24" s="71"/>
      <c r="AD24" s="71"/>
      <c r="AF24" s="68"/>
    </row>
    <row r="25" spans="1:32">
      <c r="A25" t="s">
        <v>298</v>
      </c>
      <c r="Q25" s="71"/>
      <c r="R25" s="71"/>
      <c r="S25" s="71"/>
      <c r="T25" s="71"/>
      <c r="U25" s="71"/>
      <c r="V25" s="71"/>
      <c r="W25" s="71"/>
      <c r="X25" s="71"/>
      <c r="Y25" s="71"/>
      <c r="Z25" s="71"/>
      <c r="AA25" s="71"/>
      <c r="AB25" s="71"/>
      <c r="AC25" s="71"/>
      <c r="AD25" s="71"/>
      <c r="AF25" s="68"/>
    </row>
    <row r="26" spans="1:32">
      <c r="A26" t="s">
        <v>298</v>
      </c>
      <c r="Q26" s="71"/>
      <c r="R26" s="71"/>
      <c r="S26" s="71"/>
      <c r="T26" s="71"/>
      <c r="U26" s="71"/>
      <c r="V26" s="71"/>
      <c r="W26" s="71"/>
      <c r="X26" s="71"/>
      <c r="Y26" s="71"/>
      <c r="Z26" s="71"/>
      <c r="AA26" s="71"/>
      <c r="AB26" s="71"/>
      <c r="AC26" s="71"/>
      <c r="AD26" s="71"/>
      <c r="AF26" s="68"/>
    </row>
    <row r="27" spans="1:32">
      <c r="A27" t="s">
        <v>298</v>
      </c>
      <c r="Q27" s="71"/>
      <c r="R27" s="71"/>
      <c r="S27" s="71"/>
      <c r="T27" s="71"/>
      <c r="U27" s="71"/>
      <c r="V27" s="71"/>
      <c r="W27" s="71"/>
      <c r="X27" s="71"/>
      <c r="Y27" s="71"/>
      <c r="Z27" s="71"/>
      <c r="AA27" s="71"/>
      <c r="AB27" s="71"/>
      <c r="AC27" s="71"/>
      <c r="AD27" s="71"/>
      <c r="AF27" s="68"/>
    </row>
    <row r="28" spans="1:32">
      <c r="A28" t="s">
        <v>298</v>
      </c>
      <c r="Q28" s="71"/>
      <c r="R28" s="71"/>
      <c r="S28" s="71"/>
      <c r="T28" s="71"/>
      <c r="U28" s="71"/>
      <c r="V28" s="71"/>
      <c r="W28" s="71"/>
      <c r="X28" s="71"/>
      <c r="Y28" s="71"/>
      <c r="Z28" s="71"/>
      <c r="AA28" s="71"/>
      <c r="AB28" s="71"/>
      <c r="AC28" s="71"/>
      <c r="AD28" s="71"/>
      <c r="AF28" s="68"/>
    </row>
    <row r="29" spans="1:32">
      <c r="A29" s="67" t="s">
        <v>1310</v>
      </c>
      <c r="Q29" s="71"/>
      <c r="R29" s="71"/>
      <c r="S29" s="71"/>
      <c r="T29" s="71"/>
      <c r="U29" s="71"/>
      <c r="V29" s="71"/>
      <c r="W29" s="71"/>
      <c r="X29" s="71"/>
      <c r="Y29" s="71"/>
      <c r="Z29" s="71"/>
      <c r="AA29" s="71"/>
      <c r="AB29" s="71"/>
      <c r="AC29" s="71"/>
      <c r="AD29" s="71"/>
      <c r="AF29" s="68"/>
    </row>
    <row r="30" spans="1:32">
      <c r="A30" t="s">
        <v>298</v>
      </c>
      <c r="Q30" s="71"/>
      <c r="R30" s="71"/>
      <c r="S30" s="71"/>
      <c r="T30" s="71"/>
      <c r="U30" s="71"/>
      <c r="V30" s="71"/>
      <c r="W30" s="71"/>
      <c r="X30" s="71"/>
      <c r="Y30" s="71"/>
      <c r="Z30" s="71"/>
      <c r="AA30" s="71"/>
      <c r="AB30" s="71"/>
      <c r="AC30" s="71"/>
      <c r="AD30" s="71"/>
      <c r="AF30" s="68"/>
    </row>
    <row r="31" spans="1:32">
      <c r="A31" s="8" t="s">
        <v>23</v>
      </c>
      <c r="B31" s="59" t="s">
        <v>1241</v>
      </c>
      <c r="C31" s="59" t="s">
        <v>1242</v>
      </c>
      <c r="D31" s="59" t="s">
        <v>1243</v>
      </c>
      <c r="E31" s="59" t="s">
        <v>1244</v>
      </c>
      <c r="F31" s="59" t="s">
        <v>1245</v>
      </c>
      <c r="G31" s="59" t="s">
        <v>1246</v>
      </c>
      <c r="H31" s="59" t="s">
        <v>1247</v>
      </c>
      <c r="I31" s="59" t="s">
        <v>1248</v>
      </c>
      <c r="J31" s="59" t="s">
        <v>1249</v>
      </c>
      <c r="K31" s="59" t="s">
        <v>1250</v>
      </c>
      <c r="L31" s="59" t="s">
        <v>1251</v>
      </c>
      <c r="M31" s="59" t="s">
        <v>1303</v>
      </c>
      <c r="N31" s="59" t="s">
        <v>1304</v>
      </c>
      <c r="O31" s="59" t="s">
        <v>1305</v>
      </c>
      <c r="Q31" s="71"/>
      <c r="R31" s="71"/>
      <c r="S31" s="71"/>
      <c r="T31" s="71"/>
      <c r="U31" s="71"/>
      <c r="V31" s="71"/>
      <c r="W31" s="71"/>
      <c r="X31" s="71"/>
      <c r="Y31" s="71"/>
      <c r="Z31" s="71"/>
      <c r="AA31" s="71"/>
      <c r="AB31" s="71"/>
      <c r="AC31" s="71"/>
      <c r="AD31" s="71"/>
      <c r="AF31" s="68"/>
    </row>
    <row r="32" spans="1:32">
      <c r="A32" t="s">
        <v>298</v>
      </c>
      <c r="B32" s="63" t="s">
        <v>298</v>
      </c>
      <c r="C32" s="63" t="s">
        <v>298</v>
      </c>
      <c r="D32" s="63" t="s">
        <v>298</v>
      </c>
      <c r="E32" s="63" t="s">
        <v>298</v>
      </c>
      <c r="F32" s="63" t="s">
        <v>298</v>
      </c>
      <c r="G32" s="63" t="s">
        <v>298</v>
      </c>
      <c r="H32" s="63" t="s">
        <v>298</v>
      </c>
      <c r="I32" s="63" t="s">
        <v>298</v>
      </c>
      <c r="J32" s="63" t="s">
        <v>298</v>
      </c>
      <c r="K32" s="63" t="s">
        <v>298</v>
      </c>
      <c r="L32" s="63" t="s">
        <v>298</v>
      </c>
      <c r="M32" s="63" t="s">
        <v>298</v>
      </c>
      <c r="N32" s="63" t="s">
        <v>298</v>
      </c>
      <c r="O32" s="63" t="s">
        <v>298</v>
      </c>
      <c r="Q32" s="71"/>
      <c r="R32" s="71"/>
      <c r="S32" s="71"/>
      <c r="T32" s="71"/>
      <c r="U32" s="71"/>
      <c r="V32" s="71"/>
      <c r="W32" s="71"/>
      <c r="X32" s="71"/>
      <c r="Y32" s="71"/>
      <c r="Z32" s="71"/>
      <c r="AA32" s="71"/>
      <c r="AB32" s="71"/>
      <c r="AC32" s="71"/>
      <c r="AD32" s="71"/>
      <c r="AF32" s="68"/>
    </row>
    <row r="33" spans="1:32">
      <c r="A33" t="s">
        <v>299</v>
      </c>
      <c r="B33" s="63">
        <v>4</v>
      </c>
      <c r="C33" s="63">
        <v>3</v>
      </c>
      <c r="D33" s="63">
        <v>4</v>
      </c>
      <c r="E33" s="63">
        <v>4</v>
      </c>
      <c r="F33" s="63">
        <v>3</v>
      </c>
      <c r="G33" s="63">
        <v>3</v>
      </c>
      <c r="H33" s="63">
        <v>4</v>
      </c>
      <c r="I33" s="63">
        <v>3</v>
      </c>
      <c r="J33" s="63">
        <v>4</v>
      </c>
      <c r="K33" s="63">
        <v>3</v>
      </c>
      <c r="L33" s="63">
        <v>5</v>
      </c>
      <c r="M33" s="63">
        <v>4</v>
      </c>
      <c r="N33" s="63">
        <v>3</v>
      </c>
      <c r="O33" s="63">
        <v>4</v>
      </c>
      <c r="Q33" s="71">
        <v>9.8039215686274522E-2</v>
      </c>
      <c r="R33" s="71">
        <v>-0.1764705882352941</v>
      </c>
      <c r="S33" s="71">
        <v>9.8039215686274522E-2</v>
      </c>
      <c r="T33" s="71">
        <v>9.8039215686274522E-2</v>
      </c>
      <c r="U33" s="71">
        <v>-0.1764705882352941</v>
      </c>
      <c r="V33" s="71">
        <v>-0.1764705882352941</v>
      </c>
      <c r="W33" s="71">
        <v>9.8039215686274522E-2</v>
      </c>
      <c r="X33" s="71">
        <v>-0.1764705882352941</v>
      </c>
      <c r="Y33" s="71">
        <v>9.8039215686274522E-2</v>
      </c>
      <c r="Z33" s="71">
        <v>-0.1764705882352941</v>
      </c>
      <c r="AA33" s="71">
        <v>0.37254901960784315</v>
      </c>
      <c r="AB33" s="71">
        <v>9.8039215686274522E-2</v>
      </c>
      <c r="AC33" s="71">
        <v>-0.1764705882352941</v>
      </c>
      <c r="AD33" s="71">
        <v>9.8039215686274522E-2</v>
      </c>
      <c r="AF33" s="68">
        <v>3.6428571428571428</v>
      </c>
    </row>
    <row r="34" spans="1:32">
      <c r="A34" t="s">
        <v>300</v>
      </c>
      <c r="B34" s="63">
        <v>3</v>
      </c>
      <c r="C34" s="63">
        <v>2</v>
      </c>
      <c r="D34" s="63">
        <v>3</v>
      </c>
      <c r="E34" s="63">
        <v>3</v>
      </c>
      <c r="F34" s="63">
        <v>3</v>
      </c>
      <c r="G34" s="63">
        <v>2</v>
      </c>
      <c r="H34" s="63">
        <v>3</v>
      </c>
      <c r="I34" s="63">
        <v>2</v>
      </c>
      <c r="J34" s="63">
        <v>4</v>
      </c>
      <c r="K34" s="63">
        <v>3</v>
      </c>
      <c r="L34" s="63">
        <v>4</v>
      </c>
      <c r="M34" s="63">
        <v>3</v>
      </c>
      <c r="N34" s="63">
        <v>3</v>
      </c>
      <c r="O34" s="63">
        <v>4</v>
      </c>
      <c r="Q34" s="71">
        <v>0</v>
      </c>
      <c r="R34" s="71">
        <v>-0.33333333333333331</v>
      </c>
      <c r="S34" s="71">
        <v>0</v>
      </c>
      <c r="T34" s="71">
        <v>0</v>
      </c>
      <c r="U34" s="71">
        <v>0</v>
      </c>
      <c r="V34" s="71">
        <v>-0.33333333333333331</v>
      </c>
      <c r="W34" s="71">
        <v>0</v>
      </c>
      <c r="X34" s="71">
        <v>-0.33333333333333331</v>
      </c>
      <c r="Y34" s="71">
        <v>0.33333333333333331</v>
      </c>
      <c r="Z34" s="71">
        <v>0</v>
      </c>
      <c r="AA34" s="71">
        <v>0.33333333333333331</v>
      </c>
      <c r="AB34" s="71">
        <v>0</v>
      </c>
      <c r="AC34" s="71">
        <v>0</v>
      </c>
      <c r="AD34" s="71">
        <v>0.33333333333333331</v>
      </c>
      <c r="AF34" s="68">
        <v>3</v>
      </c>
    </row>
    <row r="35" spans="1:32">
      <c r="A35" t="s">
        <v>301</v>
      </c>
      <c r="B35" s="63">
        <v>3</v>
      </c>
      <c r="C35" s="63">
        <v>2</v>
      </c>
      <c r="D35" s="63">
        <v>3</v>
      </c>
      <c r="E35" s="63">
        <v>4</v>
      </c>
      <c r="F35" s="63">
        <v>3</v>
      </c>
      <c r="G35" s="63">
        <v>1</v>
      </c>
      <c r="H35" s="63">
        <v>4</v>
      </c>
      <c r="I35" s="63">
        <v>3</v>
      </c>
      <c r="J35" s="63">
        <v>3</v>
      </c>
      <c r="K35" s="63">
        <v>3</v>
      </c>
      <c r="L35" s="63">
        <v>4</v>
      </c>
      <c r="M35" s="63">
        <v>4</v>
      </c>
      <c r="N35" s="63">
        <v>3</v>
      </c>
      <c r="O35" s="63">
        <v>3</v>
      </c>
      <c r="Q35" s="71">
        <v>-2.3255813953488434E-2</v>
      </c>
      <c r="R35" s="71">
        <v>-0.34883720930232565</v>
      </c>
      <c r="S35" s="71">
        <v>-2.3255813953488434E-2</v>
      </c>
      <c r="T35" s="71">
        <v>0.30232558139534876</v>
      </c>
      <c r="U35" s="71">
        <v>-2.3255813953488434E-2</v>
      </c>
      <c r="V35" s="71">
        <v>-0.67441860465116277</v>
      </c>
      <c r="W35" s="71">
        <v>0.30232558139534876</v>
      </c>
      <c r="X35" s="71">
        <v>-2.3255813953488434E-2</v>
      </c>
      <c r="Y35" s="71">
        <v>-2.3255813953488434E-2</v>
      </c>
      <c r="Z35" s="71">
        <v>-2.3255813953488434E-2</v>
      </c>
      <c r="AA35" s="71">
        <v>0.30232558139534876</v>
      </c>
      <c r="AB35" s="71">
        <v>0.30232558139534876</v>
      </c>
      <c r="AC35" s="71">
        <v>-2.3255813953488434E-2</v>
      </c>
      <c r="AD35" s="71">
        <v>-2.3255813953488434E-2</v>
      </c>
      <c r="AF35" s="68">
        <v>3.0714285714285716</v>
      </c>
    </row>
    <row r="36" spans="1:32">
      <c r="A36" t="s">
        <v>302</v>
      </c>
      <c r="B36" s="63">
        <v>3</v>
      </c>
      <c r="C36" s="63">
        <v>1</v>
      </c>
      <c r="D36" s="63">
        <v>3</v>
      </c>
      <c r="E36" s="63">
        <v>3</v>
      </c>
      <c r="F36" s="63">
        <v>3</v>
      </c>
      <c r="G36" s="63">
        <v>2</v>
      </c>
      <c r="H36" s="63">
        <v>4</v>
      </c>
      <c r="I36" s="63">
        <v>0</v>
      </c>
      <c r="J36" s="63">
        <v>2</v>
      </c>
      <c r="K36" s="63">
        <v>2</v>
      </c>
      <c r="L36" s="63">
        <v>5</v>
      </c>
      <c r="M36" s="63">
        <v>4</v>
      </c>
      <c r="N36" s="63">
        <v>4</v>
      </c>
      <c r="O36" s="63">
        <v>4</v>
      </c>
      <c r="Q36" s="71">
        <v>4.9999999999999975E-2</v>
      </c>
      <c r="R36" s="71">
        <v>-0.65</v>
      </c>
      <c r="S36" s="71">
        <v>4.9999999999999975E-2</v>
      </c>
      <c r="T36" s="71">
        <v>4.9999999999999975E-2</v>
      </c>
      <c r="U36" s="71">
        <v>4.9999999999999975E-2</v>
      </c>
      <c r="V36" s="71">
        <v>-0.3</v>
      </c>
      <c r="W36" s="71">
        <v>0.39999999999999997</v>
      </c>
      <c r="X36" s="71">
        <v>-1</v>
      </c>
      <c r="Y36" s="71">
        <v>-0.3</v>
      </c>
      <c r="Z36" s="71">
        <v>-0.3</v>
      </c>
      <c r="AA36" s="71">
        <v>0.75</v>
      </c>
      <c r="AB36" s="71">
        <v>0.39999999999999997</v>
      </c>
      <c r="AC36" s="71">
        <v>0.39999999999999997</v>
      </c>
      <c r="AD36" s="71">
        <v>0.39999999999999997</v>
      </c>
      <c r="AF36" s="68">
        <v>2.8571428571428572</v>
      </c>
    </row>
    <row r="37" spans="1:32">
      <c r="A37" t="s">
        <v>298</v>
      </c>
      <c r="Q37" s="71"/>
      <c r="R37" s="71"/>
      <c r="S37" s="71"/>
      <c r="T37" s="71"/>
      <c r="U37" s="71"/>
      <c r="V37" s="71"/>
      <c r="W37" s="71"/>
      <c r="X37" s="71"/>
      <c r="Y37" s="71"/>
      <c r="Z37" s="71"/>
      <c r="AA37" s="71"/>
      <c r="AB37" s="71"/>
      <c r="AC37" s="71"/>
      <c r="AD37" s="71"/>
      <c r="AF37" s="68" t="e">
        <v>#DIV/0!</v>
      </c>
    </row>
    <row r="38" spans="1:32">
      <c r="A38" t="s">
        <v>303</v>
      </c>
      <c r="B38" s="63">
        <v>3</v>
      </c>
      <c r="C38" s="63">
        <v>2</v>
      </c>
      <c r="D38" s="63">
        <v>3</v>
      </c>
      <c r="E38" s="63">
        <v>3</v>
      </c>
      <c r="F38" s="63">
        <v>3</v>
      </c>
      <c r="G38" s="63">
        <v>3</v>
      </c>
      <c r="H38" s="63">
        <v>3</v>
      </c>
      <c r="I38" s="63">
        <v>2</v>
      </c>
      <c r="J38" s="63">
        <v>3</v>
      </c>
      <c r="K38" s="63">
        <v>3</v>
      </c>
      <c r="L38" s="63">
        <v>4</v>
      </c>
      <c r="M38" s="63">
        <v>5</v>
      </c>
      <c r="N38" s="63">
        <v>3</v>
      </c>
      <c r="O38" s="63">
        <v>3</v>
      </c>
      <c r="Q38" s="71">
        <v>-2.3255813953488434E-2</v>
      </c>
      <c r="R38" s="71">
        <v>-0.34883720930232565</v>
      </c>
      <c r="S38" s="71">
        <v>-2.3255813953488434E-2</v>
      </c>
      <c r="T38" s="71">
        <v>-2.3255813953488434E-2</v>
      </c>
      <c r="U38" s="71">
        <v>-2.3255813953488434E-2</v>
      </c>
      <c r="V38" s="71">
        <v>-2.3255813953488434E-2</v>
      </c>
      <c r="W38" s="71">
        <v>-2.3255813953488434E-2</v>
      </c>
      <c r="X38" s="71">
        <v>-0.34883720930232565</v>
      </c>
      <c r="Y38" s="71">
        <v>-2.3255813953488434E-2</v>
      </c>
      <c r="Z38" s="71">
        <v>-2.3255813953488434E-2</v>
      </c>
      <c r="AA38" s="71">
        <v>0.30232558139534876</v>
      </c>
      <c r="AB38" s="71">
        <v>0.62790697674418594</v>
      </c>
      <c r="AC38" s="71">
        <v>-2.3255813953488434E-2</v>
      </c>
      <c r="AD38" s="71">
        <v>-2.3255813953488434E-2</v>
      </c>
      <c r="AF38" s="68">
        <v>3.0714285714285716</v>
      </c>
    </row>
    <row r="39" spans="1:32">
      <c r="A39" t="s">
        <v>298</v>
      </c>
      <c r="E39" s="63" t="s">
        <v>298</v>
      </c>
      <c r="Q39" s="71"/>
      <c r="R39" s="71"/>
      <c r="S39" s="71"/>
      <c r="T39" s="71"/>
      <c r="U39" s="71"/>
      <c r="V39" s="71"/>
      <c r="W39" s="71"/>
      <c r="X39" s="71"/>
      <c r="Y39" s="71"/>
      <c r="Z39" s="71"/>
      <c r="AA39" s="71"/>
      <c r="AB39" s="71"/>
      <c r="AC39" s="71"/>
      <c r="AD39" s="71"/>
      <c r="AF39" s="68" t="e">
        <v>#DIV/0!</v>
      </c>
    </row>
    <row r="40" spans="1:32">
      <c r="A40" t="s">
        <v>304</v>
      </c>
      <c r="B40" s="63">
        <v>3</v>
      </c>
      <c r="C40" s="63">
        <v>2</v>
      </c>
      <c r="D40" s="63">
        <v>3</v>
      </c>
      <c r="E40" s="63">
        <v>4</v>
      </c>
      <c r="F40" s="63">
        <v>3</v>
      </c>
      <c r="G40" s="63">
        <v>2</v>
      </c>
      <c r="H40" s="63">
        <v>3</v>
      </c>
      <c r="I40" s="63">
        <v>3</v>
      </c>
      <c r="J40" s="63">
        <v>3</v>
      </c>
      <c r="K40" s="63">
        <v>3</v>
      </c>
      <c r="L40" s="63">
        <v>4</v>
      </c>
      <c r="M40" s="63">
        <v>4</v>
      </c>
      <c r="N40" s="63">
        <v>3</v>
      </c>
      <c r="O40" s="63">
        <v>4</v>
      </c>
      <c r="Q40" s="71">
        <v>-4.5454545454545435E-2</v>
      </c>
      <c r="R40" s="71">
        <v>-0.36363636363636365</v>
      </c>
      <c r="S40" s="71">
        <v>-4.5454545454545435E-2</v>
      </c>
      <c r="T40" s="71">
        <v>0.27272727272727276</v>
      </c>
      <c r="U40" s="71">
        <v>-4.5454545454545435E-2</v>
      </c>
      <c r="V40" s="71">
        <v>-0.36363636363636365</v>
      </c>
      <c r="W40" s="71">
        <v>-4.5454545454545435E-2</v>
      </c>
      <c r="X40" s="71">
        <v>-4.5454545454545435E-2</v>
      </c>
      <c r="Y40" s="71">
        <v>-4.5454545454545435E-2</v>
      </c>
      <c r="Z40" s="71">
        <v>-4.5454545454545435E-2</v>
      </c>
      <c r="AA40" s="71">
        <v>0.27272727272727276</v>
      </c>
      <c r="AB40" s="71">
        <v>0.27272727272727276</v>
      </c>
      <c r="AC40" s="71">
        <v>-4.5454545454545435E-2</v>
      </c>
      <c r="AD40" s="71">
        <v>0.27272727272727276</v>
      </c>
      <c r="AF40" s="68">
        <v>3.1428571428571428</v>
      </c>
    </row>
    <row r="41" spans="1:32">
      <c r="A41" t="s">
        <v>298</v>
      </c>
      <c r="E41" s="63" t="s">
        <v>298</v>
      </c>
      <c r="Q41" s="71"/>
      <c r="R41" s="71"/>
      <c r="S41" s="71"/>
      <c r="T41" s="71"/>
      <c r="U41" s="71"/>
      <c r="V41" s="71"/>
      <c r="W41" s="71"/>
      <c r="X41" s="71"/>
      <c r="Y41" s="71"/>
      <c r="Z41" s="71"/>
      <c r="AA41" s="71"/>
      <c r="AB41" s="71"/>
      <c r="AC41" s="71"/>
      <c r="AD41" s="71"/>
      <c r="AF41" s="68" t="e">
        <v>#DIV/0!</v>
      </c>
    </row>
    <row r="42" spans="1:32">
      <c r="A42" t="s">
        <v>149</v>
      </c>
      <c r="B42" s="63">
        <v>4</v>
      </c>
      <c r="C42" s="63">
        <v>2</v>
      </c>
      <c r="D42" s="63">
        <v>3</v>
      </c>
      <c r="E42" s="63">
        <v>3</v>
      </c>
      <c r="F42" s="63">
        <v>3</v>
      </c>
      <c r="G42" s="63">
        <v>2</v>
      </c>
      <c r="H42" s="63">
        <v>3</v>
      </c>
      <c r="I42" s="63">
        <v>1</v>
      </c>
      <c r="J42" s="63">
        <v>3</v>
      </c>
      <c r="K42" s="63">
        <v>3</v>
      </c>
      <c r="L42" s="63">
        <v>4</v>
      </c>
      <c r="M42" s="63">
        <v>4</v>
      </c>
      <c r="N42" s="63">
        <v>3</v>
      </c>
      <c r="O42" s="63">
        <v>3</v>
      </c>
      <c r="Q42" s="71">
        <v>0.36585365853658547</v>
      </c>
      <c r="R42" s="71">
        <v>-0.31707317073170727</v>
      </c>
      <c r="S42" s="71">
        <v>2.4390243902439091E-2</v>
      </c>
      <c r="T42" s="71" t="e">
        <v>#REF!</v>
      </c>
      <c r="U42" s="71">
        <v>2.4390243902439091E-2</v>
      </c>
      <c r="V42" s="71">
        <v>-0.31707317073170727</v>
      </c>
      <c r="W42" s="71">
        <v>2.4390243902439091E-2</v>
      </c>
      <c r="X42" s="71">
        <v>-0.65853658536585369</v>
      </c>
      <c r="Y42" s="71">
        <v>2.4390243902439091E-2</v>
      </c>
      <c r="Z42" s="71">
        <v>2.4390243902439091E-2</v>
      </c>
      <c r="AA42" s="71">
        <v>0.36585365853658547</v>
      </c>
      <c r="AB42" s="71">
        <v>0.36585365853658547</v>
      </c>
      <c r="AC42" s="71">
        <v>2.4390243902439091E-2</v>
      </c>
      <c r="AD42" s="71">
        <v>2.4390243902439091E-2</v>
      </c>
      <c r="AF42" s="68">
        <v>2.9285714285714284</v>
      </c>
    </row>
    <row r="43" spans="1:32">
      <c r="A43" t="s">
        <v>298</v>
      </c>
      <c r="Q43" s="71"/>
      <c r="R43" s="71"/>
      <c r="S43" s="71"/>
      <c r="T43" s="71"/>
      <c r="U43" s="71"/>
      <c r="V43" s="71"/>
      <c r="W43" s="71"/>
      <c r="X43" s="71"/>
      <c r="Y43" s="71"/>
      <c r="Z43" s="71"/>
      <c r="AA43" s="71"/>
      <c r="AB43" s="71"/>
      <c r="AC43" s="71"/>
      <c r="AD43" s="71"/>
      <c r="AF43" s="68" t="e">
        <v>#DIV/0!</v>
      </c>
    </row>
    <row r="44" spans="1:32">
      <c r="A44" t="s">
        <v>305</v>
      </c>
      <c r="B44" s="63">
        <v>3</v>
      </c>
      <c r="C44" s="63">
        <v>2</v>
      </c>
      <c r="D44" s="63">
        <v>3</v>
      </c>
      <c r="E44" s="63">
        <v>3</v>
      </c>
      <c r="F44" s="63">
        <v>3</v>
      </c>
      <c r="G44" s="63">
        <v>2</v>
      </c>
      <c r="H44" s="63">
        <v>3</v>
      </c>
      <c r="I44" s="63">
        <v>0</v>
      </c>
      <c r="J44" s="63">
        <v>2</v>
      </c>
      <c r="K44" s="63">
        <v>2</v>
      </c>
      <c r="L44" s="63">
        <v>4</v>
      </c>
      <c r="M44" s="63">
        <v>3</v>
      </c>
      <c r="N44" s="63">
        <v>3</v>
      </c>
      <c r="O44" s="63">
        <v>3</v>
      </c>
      <c r="Q44" s="71">
        <v>0.16666666666666657</v>
      </c>
      <c r="R44" s="71">
        <v>-0.22222222222222229</v>
      </c>
      <c r="S44" s="71">
        <v>0.16666666666666657</v>
      </c>
      <c r="T44" s="71">
        <v>0.16666666666666657</v>
      </c>
      <c r="U44" s="71">
        <v>0.16666666666666657</v>
      </c>
      <c r="V44" s="71">
        <v>-0.22222222222222229</v>
      </c>
      <c r="W44" s="71">
        <v>0.16666666666666657</v>
      </c>
      <c r="X44" s="71">
        <v>-1</v>
      </c>
      <c r="Y44" s="71">
        <v>-0.22222222222222229</v>
      </c>
      <c r="Z44" s="71">
        <v>-0.22222222222222229</v>
      </c>
      <c r="AA44" s="71">
        <v>0.55555555555555547</v>
      </c>
      <c r="AB44" s="71">
        <v>0.16666666666666657</v>
      </c>
      <c r="AC44" s="71">
        <v>0.16666666666666657</v>
      </c>
      <c r="AD44" s="71">
        <v>0.16666666666666657</v>
      </c>
      <c r="AF44" s="68">
        <v>2.5714285714285716</v>
      </c>
    </row>
    <row r="45" spans="1:32">
      <c r="A45" s="74" t="s">
        <v>1311</v>
      </c>
      <c r="B45" s="75">
        <v>3.25</v>
      </c>
      <c r="C45" s="75">
        <v>2</v>
      </c>
      <c r="D45" s="75">
        <v>3.125</v>
      </c>
      <c r="E45" s="75">
        <v>3.375</v>
      </c>
      <c r="F45" s="75">
        <v>3</v>
      </c>
      <c r="G45" s="75">
        <v>2.125</v>
      </c>
      <c r="H45" s="75">
        <v>3.375</v>
      </c>
      <c r="I45" s="75">
        <v>1.75</v>
      </c>
      <c r="J45" s="75">
        <v>3</v>
      </c>
      <c r="K45" s="75">
        <v>2.75</v>
      </c>
      <c r="L45" s="75">
        <v>4.25</v>
      </c>
      <c r="M45" s="75">
        <v>3.875</v>
      </c>
      <c r="N45" s="75">
        <v>3.125</v>
      </c>
      <c r="O45" s="75">
        <v>3.5</v>
      </c>
      <c r="Q45" s="71">
        <v>7.0588235294117688E-2</v>
      </c>
      <c r="R45" s="71">
        <v>-0.34117647058823525</v>
      </c>
      <c r="S45" s="71">
        <v>2.9411764705882398E-2</v>
      </c>
      <c r="T45" s="71">
        <v>0.11176470588235299</v>
      </c>
      <c r="U45" s="71">
        <v>-1.1764705882352899E-2</v>
      </c>
      <c r="V45" s="71">
        <v>-0.3</v>
      </c>
      <c r="W45" s="71">
        <v>0.11176470588235299</v>
      </c>
      <c r="X45" s="71">
        <v>-0.42352941176470588</v>
      </c>
      <c r="Y45" s="71">
        <v>-1.1764705882352899E-2</v>
      </c>
      <c r="Z45" s="71">
        <v>-9.4117647058823486E-2</v>
      </c>
      <c r="AA45" s="71">
        <v>0.40000000000000008</v>
      </c>
      <c r="AB45" s="71">
        <v>0.27647058823529419</v>
      </c>
      <c r="AC45" s="71">
        <v>2.9411764705882398E-2</v>
      </c>
      <c r="AD45" s="71">
        <v>0.15294117647058827</v>
      </c>
      <c r="AF45" s="68">
        <v>3.0357142857142856</v>
      </c>
    </row>
    <row r="46" spans="1:32">
      <c r="A46" t="s">
        <v>298</v>
      </c>
      <c r="Q46" s="71"/>
      <c r="R46" s="71"/>
      <c r="S46" s="71"/>
      <c r="T46" s="71"/>
      <c r="U46" s="71"/>
      <c r="V46" s="71"/>
      <c r="W46" s="71"/>
      <c r="X46" s="71"/>
      <c r="Y46" s="71"/>
      <c r="Z46" s="71"/>
      <c r="AA46" s="71"/>
      <c r="AB46" s="71"/>
      <c r="AC46" s="71"/>
      <c r="AD46" s="71"/>
      <c r="AF46" s="68" t="e">
        <v>#DIV/0!</v>
      </c>
    </row>
    <row r="47" spans="1:32">
      <c r="A47" t="s">
        <v>298</v>
      </c>
      <c r="Q47" s="71"/>
      <c r="R47" s="71"/>
      <c r="S47" s="71"/>
      <c r="T47" s="71"/>
      <c r="U47" s="71"/>
      <c r="V47" s="71"/>
      <c r="W47" s="71"/>
      <c r="X47" s="71"/>
      <c r="Y47" s="71"/>
      <c r="Z47" s="71"/>
      <c r="AA47" s="71"/>
      <c r="AB47" s="71"/>
      <c r="AC47" s="71"/>
      <c r="AD47" s="71"/>
      <c r="AF47" s="68" t="e">
        <v>#DIV/0!</v>
      </c>
    </row>
    <row r="48" spans="1:32">
      <c r="A48" s="8" t="s">
        <v>24</v>
      </c>
      <c r="B48" s="59" t="s">
        <v>1241</v>
      </c>
      <c r="C48" s="59" t="s">
        <v>1242</v>
      </c>
      <c r="D48" s="59" t="s">
        <v>1243</v>
      </c>
      <c r="E48" s="59" t="s">
        <v>1244</v>
      </c>
      <c r="F48" s="59" t="s">
        <v>1245</v>
      </c>
      <c r="G48" s="59" t="s">
        <v>1246</v>
      </c>
      <c r="H48" s="59" t="s">
        <v>1247</v>
      </c>
      <c r="I48" s="59" t="s">
        <v>1248</v>
      </c>
      <c r="J48" s="59" t="s">
        <v>1249</v>
      </c>
      <c r="K48" s="59" t="s">
        <v>1250</v>
      </c>
      <c r="L48" s="59" t="s">
        <v>1251</v>
      </c>
      <c r="M48" s="59" t="s">
        <v>1303</v>
      </c>
      <c r="N48" s="59" t="s">
        <v>1304</v>
      </c>
      <c r="O48" s="59" t="s">
        <v>1305</v>
      </c>
      <c r="Q48" s="71"/>
      <c r="R48" s="71"/>
      <c r="S48" s="71"/>
      <c r="T48" s="71"/>
      <c r="U48" s="71"/>
      <c r="V48" s="71"/>
      <c r="W48" s="71"/>
      <c r="X48" s="71"/>
      <c r="Y48" s="71"/>
      <c r="Z48" s="71"/>
      <c r="AA48" s="71"/>
      <c r="AB48" s="71"/>
      <c r="AC48" s="71"/>
      <c r="AD48" s="71"/>
      <c r="AF48" s="68" t="e">
        <v>#DIV/0!</v>
      </c>
    </row>
    <row r="49" spans="1:32">
      <c r="A49" t="s">
        <v>298</v>
      </c>
      <c r="Q49" s="71"/>
      <c r="R49" s="71"/>
      <c r="S49" s="71"/>
      <c r="T49" s="71"/>
      <c r="U49" s="71"/>
      <c r="V49" s="71"/>
      <c r="W49" s="71"/>
      <c r="X49" s="71"/>
      <c r="Y49" s="71"/>
      <c r="Z49" s="71"/>
      <c r="AA49" s="71"/>
      <c r="AB49" s="71"/>
      <c r="AC49" s="71"/>
      <c r="AD49" s="71"/>
      <c r="AF49" s="68" t="e">
        <v>#DIV/0!</v>
      </c>
    </row>
    <row r="50" spans="1:32">
      <c r="A50" t="s">
        <v>306</v>
      </c>
      <c r="B50" s="63">
        <v>4</v>
      </c>
      <c r="C50" s="63">
        <v>3</v>
      </c>
      <c r="D50" s="63">
        <v>4</v>
      </c>
      <c r="E50" s="63">
        <v>4</v>
      </c>
      <c r="F50" s="63">
        <v>3</v>
      </c>
      <c r="G50" s="63">
        <v>3</v>
      </c>
      <c r="H50" s="63">
        <v>4</v>
      </c>
      <c r="I50" s="63">
        <v>4</v>
      </c>
      <c r="J50" s="63">
        <v>3</v>
      </c>
      <c r="K50" s="63">
        <v>3</v>
      </c>
      <c r="L50" s="63">
        <v>4</v>
      </c>
      <c r="M50" s="63">
        <v>3</v>
      </c>
      <c r="N50" s="63">
        <v>3</v>
      </c>
      <c r="O50" s="63">
        <v>3</v>
      </c>
      <c r="Q50" s="71">
        <v>0.16666666666666674</v>
      </c>
      <c r="R50" s="71">
        <v>-0.12499999999999994</v>
      </c>
      <c r="S50" s="71">
        <v>0.16666666666666674</v>
      </c>
      <c r="T50" s="71">
        <v>0.16666666666666674</v>
      </c>
      <c r="U50" s="71">
        <v>-0.12499999999999994</v>
      </c>
      <c r="V50" s="71">
        <v>-0.12499999999999994</v>
      </c>
      <c r="W50" s="71">
        <v>0.16666666666666674</v>
      </c>
      <c r="X50" s="71">
        <v>0.16666666666666674</v>
      </c>
      <c r="Y50" s="71">
        <v>-0.12499999999999994</v>
      </c>
      <c r="Z50" s="71">
        <v>-0.12499999999999994</v>
      </c>
      <c r="AA50" s="71">
        <v>0.16666666666666674</v>
      </c>
      <c r="AB50" s="71">
        <v>-0.12499999999999994</v>
      </c>
      <c r="AC50" s="71">
        <v>-0.12499999999999994</v>
      </c>
      <c r="AD50" s="71">
        <v>-0.12499999999999994</v>
      </c>
      <c r="AF50" s="68">
        <v>3.4285714285714284</v>
      </c>
    </row>
    <row r="51" spans="1:32">
      <c r="A51" t="s">
        <v>307</v>
      </c>
      <c r="B51" s="63">
        <v>3</v>
      </c>
      <c r="C51" s="63">
        <v>2</v>
      </c>
      <c r="D51" s="63">
        <v>3</v>
      </c>
      <c r="E51" s="63">
        <v>3</v>
      </c>
      <c r="F51" s="63">
        <v>3</v>
      </c>
      <c r="G51" s="63">
        <v>3</v>
      </c>
      <c r="H51" s="63">
        <v>4</v>
      </c>
      <c r="I51" s="63">
        <v>3</v>
      </c>
      <c r="J51" s="63">
        <v>2</v>
      </c>
      <c r="K51" s="63">
        <v>3</v>
      </c>
      <c r="L51" s="63">
        <v>3</v>
      </c>
      <c r="M51" s="63">
        <v>0</v>
      </c>
      <c r="N51" s="63">
        <v>3</v>
      </c>
      <c r="O51" s="63">
        <v>2</v>
      </c>
      <c r="Q51" s="71"/>
      <c r="R51" s="71"/>
      <c r="S51" s="71"/>
      <c r="T51" s="71"/>
      <c r="U51" s="71"/>
      <c r="V51" s="71"/>
      <c r="W51" s="71"/>
      <c r="X51" s="71"/>
      <c r="Y51" s="71"/>
      <c r="Z51" s="71"/>
      <c r="AA51" s="71"/>
      <c r="AB51" s="71"/>
      <c r="AC51" s="71"/>
      <c r="AD51" s="71"/>
      <c r="AF51" s="68">
        <v>2.6428571428571428</v>
      </c>
    </row>
    <row r="52" spans="1:32">
      <c r="A52" t="s">
        <v>308</v>
      </c>
      <c r="B52" s="63">
        <v>2</v>
      </c>
      <c r="C52" s="63">
        <v>2</v>
      </c>
      <c r="D52" s="63">
        <v>3</v>
      </c>
      <c r="E52" s="63">
        <v>3</v>
      </c>
      <c r="F52" s="63">
        <v>3</v>
      </c>
      <c r="G52" s="63">
        <v>3</v>
      </c>
      <c r="H52" s="63">
        <v>2</v>
      </c>
      <c r="I52" s="63">
        <v>0</v>
      </c>
      <c r="J52" s="63">
        <v>2</v>
      </c>
      <c r="K52" s="63">
        <v>3</v>
      </c>
      <c r="L52" s="63">
        <v>1</v>
      </c>
      <c r="M52" s="63">
        <v>0</v>
      </c>
      <c r="N52" s="63">
        <v>1</v>
      </c>
      <c r="O52" s="63">
        <v>2</v>
      </c>
      <c r="Q52" s="71">
        <v>3.7037037037037021E-2</v>
      </c>
      <c r="R52" s="71">
        <v>3.7037037037037021E-2</v>
      </c>
      <c r="S52" s="71">
        <v>0.55555555555555558</v>
      </c>
      <c r="T52" s="71">
        <v>0.55555555555555558</v>
      </c>
      <c r="U52" s="71">
        <v>0.55555555555555558</v>
      </c>
      <c r="V52" s="71">
        <v>0.55555555555555558</v>
      </c>
      <c r="W52" s="71">
        <v>3.7037037037037021E-2</v>
      </c>
      <c r="X52" s="71">
        <v>-1</v>
      </c>
      <c r="Y52" s="71">
        <v>3.7037037037037021E-2</v>
      </c>
      <c r="Z52" s="71">
        <v>0.55555555555555558</v>
      </c>
      <c r="AA52" s="71">
        <v>-0.48148148148148151</v>
      </c>
      <c r="AB52" s="71">
        <v>-1</v>
      </c>
      <c r="AC52" s="71">
        <v>-0.48148148148148151</v>
      </c>
      <c r="AD52" s="71">
        <v>3.7037037037037021E-2</v>
      </c>
      <c r="AF52" s="68">
        <v>1.9285714285714286</v>
      </c>
    </row>
    <row r="53" spans="1:32">
      <c r="A53" t="s">
        <v>309</v>
      </c>
      <c r="B53" s="63">
        <v>3</v>
      </c>
      <c r="C53" s="63">
        <v>2</v>
      </c>
      <c r="D53" s="63">
        <v>3</v>
      </c>
      <c r="E53" s="63">
        <v>3</v>
      </c>
      <c r="F53" s="63">
        <v>3</v>
      </c>
      <c r="G53" s="63">
        <v>2</v>
      </c>
      <c r="H53" s="63">
        <v>3</v>
      </c>
      <c r="I53" s="63">
        <v>3</v>
      </c>
      <c r="J53" s="63">
        <v>3</v>
      </c>
      <c r="K53" s="63">
        <v>3</v>
      </c>
      <c r="L53" s="63">
        <v>3</v>
      </c>
      <c r="M53" s="63">
        <v>3</v>
      </c>
      <c r="N53" s="63">
        <v>4</v>
      </c>
      <c r="O53" s="63">
        <v>3</v>
      </c>
      <c r="Q53" s="71">
        <v>2.4390243902439091E-2</v>
      </c>
      <c r="R53" s="71">
        <v>-0.31707317073170727</v>
      </c>
      <c r="S53" s="71">
        <v>2.4390243902439091E-2</v>
      </c>
      <c r="T53" s="71">
        <v>2.4390243902439091E-2</v>
      </c>
      <c r="U53" s="71">
        <v>2.4390243902439091E-2</v>
      </c>
      <c r="V53" s="71">
        <v>-0.31707317073170727</v>
      </c>
      <c r="W53" s="71">
        <v>2.4390243902439091E-2</v>
      </c>
      <c r="X53" s="71">
        <v>2.4390243902439091E-2</v>
      </c>
      <c r="Y53" s="71">
        <v>2.4390243902439091E-2</v>
      </c>
      <c r="Z53" s="71">
        <v>2.4390243902439091E-2</v>
      </c>
      <c r="AA53" s="71">
        <v>2.4390243902439091E-2</v>
      </c>
      <c r="AB53" s="71">
        <v>2.4390243902439091E-2</v>
      </c>
      <c r="AC53" s="71">
        <v>0.36585365853658547</v>
      </c>
      <c r="AD53" s="71">
        <v>2.4390243902439091E-2</v>
      </c>
      <c r="AF53" s="68">
        <v>2.9285714285714284</v>
      </c>
    </row>
    <row r="54" spans="1:32">
      <c r="A54" t="s">
        <v>310</v>
      </c>
      <c r="B54" s="63">
        <v>3</v>
      </c>
      <c r="C54" s="63">
        <v>2</v>
      </c>
      <c r="D54" s="63">
        <v>3</v>
      </c>
      <c r="E54" s="63">
        <v>3</v>
      </c>
      <c r="F54" s="63">
        <v>2</v>
      </c>
      <c r="G54" s="63">
        <v>2</v>
      </c>
      <c r="H54" s="63">
        <v>3</v>
      </c>
      <c r="I54" s="63">
        <v>0</v>
      </c>
      <c r="J54" s="63">
        <v>2</v>
      </c>
      <c r="K54" s="63">
        <v>3</v>
      </c>
      <c r="L54" s="63">
        <v>3</v>
      </c>
      <c r="M54" s="63">
        <v>3</v>
      </c>
      <c r="N54" s="63">
        <v>2</v>
      </c>
      <c r="O54" s="63">
        <v>3</v>
      </c>
      <c r="Q54" s="71">
        <v>0.23529411764705893</v>
      </c>
      <c r="R54" s="71">
        <v>-0.17647058823529405</v>
      </c>
      <c r="S54" s="71">
        <v>0.23529411764705893</v>
      </c>
      <c r="T54" s="71">
        <v>0.23529411764705893</v>
      </c>
      <c r="U54" s="71">
        <v>-0.17647058823529405</v>
      </c>
      <c r="V54" s="71">
        <v>-0.17647058823529405</v>
      </c>
      <c r="W54" s="71">
        <v>0.23529411764705893</v>
      </c>
      <c r="X54" s="71">
        <v>-1</v>
      </c>
      <c r="Y54" s="71">
        <v>-0.17647058823529405</v>
      </c>
      <c r="Z54" s="71">
        <v>0.23529411764705893</v>
      </c>
      <c r="AA54" s="71">
        <v>0.23529411764705893</v>
      </c>
      <c r="AB54" s="71">
        <v>0.23529411764705893</v>
      </c>
      <c r="AC54" s="71">
        <v>-0.17647058823529405</v>
      </c>
      <c r="AD54" s="71">
        <v>0.23529411764705893</v>
      </c>
      <c r="AF54" s="68">
        <v>2.4285714285714284</v>
      </c>
    </row>
    <row r="55" spans="1:32">
      <c r="A55" t="s">
        <v>298</v>
      </c>
      <c r="Q55" s="71"/>
      <c r="R55" s="71"/>
      <c r="S55" s="71"/>
      <c r="T55" s="71"/>
      <c r="U55" s="71"/>
      <c r="V55" s="71"/>
      <c r="W55" s="71"/>
      <c r="X55" s="71"/>
      <c r="Y55" s="71"/>
      <c r="Z55" s="71"/>
      <c r="AA55" s="71"/>
      <c r="AB55" s="71"/>
      <c r="AC55" s="71"/>
      <c r="AD55" s="71"/>
      <c r="AF55" s="68" t="e">
        <v>#DIV/0!</v>
      </c>
    </row>
    <row r="56" spans="1:32">
      <c r="A56" t="s">
        <v>311</v>
      </c>
      <c r="B56" s="63">
        <v>3</v>
      </c>
      <c r="C56" s="63">
        <v>2</v>
      </c>
      <c r="D56" s="63">
        <v>3</v>
      </c>
      <c r="E56" s="63">
        <v>3</v>
      </c>
      <c r="F56" s="63">
        <v>3</v>
      </c>
      <c r="G56" s="63">
        <v>2</v>
      </c>
      <c r="H56" s="63">
        <v>4</v>
      </c>
      <c r="I56" s="63">
        <v>0</v>
      </c>
      <c r="J56" s="63">
        <v>3</v>
      </c>
      <c r="K56" s="63">
        <v>3</v>
      </c>
      <c r="L56" s="63">
        <v>2</v>
      </c>
      <c r="M56" s="63">
        <v>2</v>
      </c>
      <c r="N56" s="63">
        <v>2</v>
      </c>
      <c r="O56" s="63">
        <v>1</v>
      </c>
      <c r="Q56" s="71">
        <v>0.27272727272727271</v>
      </c>
      <c r="R56" s="71">
        <v>-0.15151515151515155</v>
      </c>
      <c r="S56" s="71">
        <v>0.27272727272727271</v>
      </c>
      <c r="T56" s="71">
        <v>0.27272727272727271</v>
      </c>
      <c r="U56" s="71">
        <v>0.27272727272727271</v>
      </c>
      <c r="V56" s="71">
        <v>-0.15151515151515155</v>
      </c>
      <c r="W56" s="71">
        <v>0.69696969696969691</v>
      </c>
      <c r="X56" s="71">
        <v>-1</v>
      </c>
      <c r="Y56" s="71">
        <v>0.27272727272727271</v>
      </c>
      <c r="Z56" s="71">
        <v>0.27272727272727271</v>
      </c>
      <c r="AA56" s="71">
        <v>-0.15151515151515155</v>
      </c>
      <c r="AB56" s="71">
        <v>-0.15151515151515155</v>
      </c>
      <c r="AC56" s="71">
        <v>-0.15151515151515155</v>
      </c>
      <c r="AD56" s="71">
        <v>-0.5757575757575758</v>
      </c>
      <c r="AF56" s="68">
        <v>2.3571428571428572</v>
      </c>
    </row>
    <row r="57" spans="1:32">
      <c r="A57" t="s">
        <v>519</v>
      </c>
      <c r="B57" s="63">
        <v>3</v>
      </c>
      <c r="C57" s="63">
        <v>2</v>
      </c>
      <c r="D57" s="63">
        <v>3</v>
      </c>
      <c r="E57" s="63">
        <v>3</v>
      </c>
      <c r="F57" s="63">
        <v>3</v>
      </c>
      <c r="G57" s="63">
        <v>3</v>
      </c>
      <c r="H57" s="63">
        <v>3</v>
      </c>
      <c r="I57" s="63">
        <v>3</v>
      </c>
      <c r="J57" s="63">
        <v>3</v>
      </c>
      <c r="K57" s="63">
        <v>3</v>
      </c>
      <c r="L57" s="63">
        <v>2</v>
      </c>
      <c r="M57" s="63">
        <v>0</v>
      </c>
      <c r="N57" s="63">
        <v>3</v>
      </c>
      <c r="O57" s="63">
        <v>2</v>
      </c>
      <c r="Q57" s="71">
        <v>0.16666666666666657</v>
      </c>
      <c r="R57" s="71">
        <v>-0.22222222222222229</v>
      </c>
      <c r="S57" s="71">
        <v>0.16666666666666657</v>
      </c>
      <c r="T57" s="71">
        <v>0.16666666666666657</v>
      </c>
      <c r="U57" s="71">
        <v>0.16666666666666657</v>
      </c>
      <c r="V57" s="71">
        <v>0.16666666666666657</v>
      </c>
      <c r="W57" s="71">
        <v>0.16666666666666657</v>
      </c>
      <c r="X57" s="71">
        <v>0.16666666666666657</v>
      </c>
      <c r="Y57" s="71">
        <v>0.16666666666666657</v>
      </c>
      <c r="Z57" s="71">
        <v>0.16666666666666657</v>
      </c>
      <c r="AA57" s="71">
        <v>-0.22222222222222229</v>
      </c>
      <c r="AB57" s="71">
        <v>-1</v>
      </c>
      <c r="AC57" s="71">
        <v>0.16666666666666657</v>
      </c>
      <c r="AD57" s="71">
        <v>-0.22222222222222229</v>
      </c>
      <c r="AF57" s="68">
        <v>2.5714285714285716</v>
      </c>
    </row>
    <row r="58" spans="1:32">
      <c r="A58" t="s">
        <v>313</v>
      </c>
      <c r="B58" s="63">
        <v>3</v>
      </c>
      <c r="C58" s="63">
        <v>3</v>
      </c>
      <c r="D58" s="63">
        <v>4</v>
      </c>
      <c r="E58" s="63">
        <v>3</v>
      </c>
      <c r="F58" s="63">
        <v>3</v>
      </c>
      <c r="G58" s="63">
        <v>2</v>
      </c>
      <c r="H58" s="63">
        <v>4</v>
      </c>
      <c r="I58" s="63">
        <v>3</v>
      </c>
      <c r="J58" s="63">
        <v>4</v>
      </c>
      <c r="K58" s="63">
        <v>3</v>
      </c>
      <c r="L58" s="63">
        <v>4</v>
      </c>
      <c r="M58" s="63">
        <v>2</v>
      </c>
      <c r="N58" s="63">
        <v>2</v>
      </c>
      <c r="O58" s="63">
        <v>2</v>
      </c>
      <c r="Q58" s="71">
        <v>0</v>
      </c>
      <c r="R58" s="71">
        <v>0</v>
      </c>
      <c r="S58" s="71">
        <v>0.33333333333333331</v>
      </c>
      <c r="T58" s="71">
        <v>0</v>
      </c>
      <c r="U58" s="71">
        <v>0</v>
      </c>
      <c r="V58" s="71">
        <v>-0.33333333333333331</v>
      </c>
      <c r="W58" s="71">
        <v>0.33333333333333331</v>
      </c>
      <c r="X58" s="71">
        <v>0</v>
      </c>
      <c r="Y58" s="71">
        <v>0.33333333333333331</v>
      </c>
      <c r="Z58" s="71">
        <v>0</v>
      </c>
      <c r="AA58" s="71">
        <v>0.33333333333333331</v>
      </c>
      <c r="AB58" s="71">
        <v>-0.33333333333333331</v>
      </c>
      <c r="AC58" s="71">
        <v>-0.33333333333333331</v>
      </c>
      <c r="AD58" s="71">
        <v>-0.33333333333333331</v>
      </c>
      <c r="AF58" s="68">
        <v>3</v>
      </c>
    </row>
    <row r="59" spans="1:32">
      <c r="A59" t="s">
        <v>298</v>
      </c>
      <c r="Q59" s="71"/>
      <c r="R59" s="71"/>
      <c r="S59" s="71"/>
      <c r="T59" s="71"/>
      <c r="U59" s="71"/>
      <c r="V59" s="71"/>
      <c r="W59" s="71"/>
      <c r="X59" s="71"/>
      <c r="Y59" s="71"/>
      <c r="Z59" s="71"/>
      <c r="AA59" s="71"/>
      <c r="AB59" s="71"/>
      <c r="AC59" s="71"/>
      <c r="AD59" s="71"/>
      <c r="AF59" s="68" t="e">
        <v>#DIV/0!</v>
      </c>
    </row>
    <row r="60" spans="1:32">
      <c r="A60" t="s">
        <v>314</v>
      </c>
      <c r="B60" s="63">
        <v>3</v>
      </c>
      <c r="C60" s="63">
        <v>3</v>
      </c>
      <c r="D60" s="63">
        <v>3</v>
      </c>
      <c r="E60" s="63">
        <v>3</v>
      </c>
      <c r="F60" s="63">
        <v>3</v>
      </c>
      <c r="G60" s="63">
        <v>4</v>
      </c>
      <c r="H60" s="63">
        <v>4</v>
      </c>
      <c r="I60" s="63">
        <v>4</v>
      </c>
      <c r="J60" s="63">
        <v>4</v>
      </c>
      <c r="K60" s="63">
        <v>3</v>
      </c>
      <c r="L60" s="63">
        <v>4</v>
      </c>
      <c r="M60" s="63">
        <v>5</v>
      </c>
      <c r="N60" s="63">
        <v>4</v>
      </c>
      <c r="O60" s="63">
        <v>3</v>
      </c>
      <c r="Q60" s="71">
        <v>-0.16000000000000003</v>
      </c>
      <c r="R60" s="71">
        <v>-0.16000000000000003</v>
      </c>
      <c r="S60" s="71">
        <v>-0.16000000000000003</v>
      </c>
      <c r="T60" s="71">
        <v>-0.16000000000000003</v>
      </c>
      <c r="U60" s="71">
        <v>-0.16000000000000003</v>
      </c>
      <c r="V60" s="71">
        <v>0.11999999999999994</v>
      </c>
      <c r="W60" s="71">
        <v>0.11999999999999994</v>
      </c>
      <c r="X60" s="71">
        <v>0.11999999999999994</v>
      </c>
      <c r="Y60" s="71">
        <v>0.11999999999999994</v>
      </c>
      <c r="Z60" s="71">
        <v>-0.16000000000000003</v>
      </c>
      <c r="AA60" s="71">
        <v>0.11999999999999994</v>
      </c>
      <c r="AB60" s="71">
        <v>0.39999999999999991</v>
      </c>
      <c r="AC60" s="71">
        <v>0.11999999999999994</v>
      </c>
      <c r="AD60" s="71">
        <v>-0.16000000000000003</v>
      </c>
      <c r="AF60" s="68">
        <v>3.5714285714285716</v>
      </c>
    </row>
    <row r="61" spans="1:32">
      <c r="A61" t="s">
        <v>315</v>
      </c>
      <c r="B61" s="63">
        <v>3</v>
      </c>
      <c r="C61" s="63">
        <v>2</v>
      </c>
      <c r="D61" s="63">
        <v>2</v>
      </c>
      <c r="E61" s="63">
        <v>4</v>
      </c>
      <c r="F61" s="63">
        <v>3</v>
      </c>
      <c r="G61" s="63">
        <v>2</v>
      </c>
      <c r="H61" s="63">
        <v>4</v>
      </c>
      <c r="I61" s="63">
        <v>4</v>
      </c>
      <c r="J61" s="63">
        <v>2</v>
      </c>
      <c r="K61" s="63">
        <v>2</v>
      </c>
      <c r="L61" s="63">
        <v>3</v>
      </c>
      <c r="M61" s="63">
        <v>4</v>
      </c>
      <c r="N61" s="63">
        <v>3</v>
      </c>
      <c r="O61" s="63">
        <v>3</v>
      </c>
      <c r="Q61" s="71">
        <v>2.4390243902439091E-2</v>
      </c>
      <c r="R61" s="71">
        <v>-0.31707317073170727</v>
      </c>
      <c r="S61" s="71">
        <v>-0.31707317073170727</v>
      </c>
      <c r="T61" s="71">
        <v>0.36585365853658547</v>
      </c>
      <c r="U61" s="71">
        <v>2.4390243902439091E-2</v>
      </c>
      <c r="V61" s="71">
        <v>-0.31707317073170727</v>
      </c>
      <c r="W61" s="71">
        <v>0.36585365853658547</v>
      </c>
      <c r="X61" s="71">
        <v>0.36585365853658547</v>
      </c>
      <c r="Y61" s="71">
        <v>-0.31707317073170727</v>
      </c>
      <c r="Z61" s="71">
        <v>-0.31707317073170727</v>
      </c>
      <c r="AA61" s="71">
        <v>2.4390243902439091E-2</v>
      </c>
      <c r="AB61" s="71">
        <v>0.36585365853658547</v>
      </c>
      <c r="AC61" s="71">
        <v>2.4390243902439091E-2</v>
      </c>
      <c r="AD61" s="71">
        <v>2.4390243902439091E-2</v>
      </c>
      <c r="AF61" s="68">
        <v>2.9285714285714284</v>
      </c>
    </row>
    <row r="62" spans="1:32">
      <c r="A62" t="s">
        <v>316</v>
      </c>
      <c r="B62" s="63">
        <v>3</v>
      </c>
      <c r="C62" s="63">
        <v>2</v>
      </c>
      <c r="D62" s="63">
        <v>3</v>
      </c>
      <c r="E62" s="63">
        <v>3</v>
      </c>
      <c r="F62" s="63">
        <v>3</v>
      </c>
      <c r="G62" s="63">
        <v>2</v>
      </c>
      <c r="H62" s="63">
        <v>2</v>
      </c>
      <c r="I62" s="63">
        <v>3</v>
      </c>
      <c r="J62" s="63">
        <v>3</v>
      </c>
      <c r="K62" s="63">
        <v>3</v>
      </c>
      <c r="L62" s="63">
        <v>4</v>
      </c>
      <c r="M62" s="63">
        <v>3</v>
      </c>
      <c r="N62" s="63">
        <v>3</v>
      </c>
      <c r="O62" s="63">
        <v>3</v>
      </c>
      <c r="Q62" s="71">
        <v>4.9999999999999975E-2</v>
      </c>
      <c r="R62" s="71">
        <v>-0.3</v>
      </c>
      <c r="S62" s="71">
        <v>4.9999999999999975E-2</v>
      </c>
      <c r="T62" s="71">
        <v>4.9999999999999975E-2</v>
      </c>
      <c r="U62" s="71">
        <v>4.9999999999999975E-2</v>
      </c>
      <c r="V62" s="71">
        <v>-0.3</v>
      </c>
      <c r="W62" s="71">
        <v>-0.3</v>
      </c>
      <c r="X62" s="71">
        <v>4.9999999999999975E-2</v>
      </c>
      <c r="Y62" s="71">
        <v>4.9999999999999975E-2</v>
      </c>
      <c r="Z62" s="71">
        <v>4.9999999999999975E-2</v>
      </c>
      <c r="AA62" s="71">
        <v>0.39999999999999997</v>
      </c>
      <c r="AB62" s="71">
        <v>4.9999999999999975E-2</v>
      </c>
      <c r="AC62" s="71">
        <v>4.9999999999999975E-2</v>
      </c>
      <c r="AD62" s="71">
        <v>4.9999999999999975E-2</v>
      </c>
      <c r="AF62" s="68">
        <v>2.8571428571428572</v>
      </c>
    </row>
    <row r="63" spans="1:32">
      <c r="A63" t="s">
        <v>135</v>
      </c>
      <c r="B63" s="63">
        <v>3</v>
      </c>
      <c r="C63" s="63">
        <v>2</v>
      </c>
      <c r="D63" s="63">
        <v>2</v>
      </c>
      <c r="E63" s="63">
        <v>3</v>
      </c>
      <c r="F63" s="63">
        <v>4</v>
      </c>
      <c r="G63" s="63">
        <v>2</v>
      </c>
      <c r="H63" s="63">
        <v>4</v>
      </c>
      <c r="I63" s="63">
        <v>4</v>
      </c>
      <c r="J63" s="63">
        <v>3</v>
      </c>
      <c r="K63" s="63">
        <v>3</v>
      </c>
      <c r="L63" s="63">
        <v>3</v>
      </c>
      <c r="M63" s="63">
        <v>3</v>
      </c>
      <c r="N63" s="63">
        <v>2</v>
      </c>
      <c r="O63" s="63">
        <v>2</v>
      </c>
      <c r="Q63" s="71">
        <v>4.9999999999999975E-2</v>
      </c>
      <c r="R63" s="71">
        <v>-0.3</v>
      </c>
      <c r="S63" s="71">
        <v>-0.3</v>
      </c>
      <c r="T63" s="71">
        <v>4.9999999999999975E-2</v>
      </c>
      <c r="U63" s="71">
        <v>0.39999999999999997</v>
      </c>
      <c r="V63" s="71">
        <v>-0.3</v>
      </c>
      <c r="W63" s="71">
        <v>0.39999999999999997</v>
      </c>
      <c r="X63" s="71">
        <v>0.39999999999999997</v>
      </c>
      <c r="Y63" s="71">
        <v>4.9999999999999975E-2</v>
      </c>
      <c r="Z63" s="71">
        <v>4.9999999999999975E-2</v>
      </c>
      <c r="AA63" s="71">
        <v>4.9999999999999975E-2</v>
      </c>
      <c r="AB63" s="71">
        <v>4.9999999999999975E-2</v>
      </c>
      <c r="AC63" s="71">
        <v>-0.3</v>
      </c>
      <c r="AD63" s="71">
        <v>-0.3</v>
      </c>
      <c r="AF63" s="68">
        <v>2.8571428571428572</v>
      </c>
    </row>
    <row r="64" spans="1:32">
      <c r="A64" t="s">
        <v>317</v>
      </c>
      <c r="B64" s="63">
        <v>3</v>
      </c>
      <c r="C64" s="63">
        <v>2</v>
      </c>
      <c r="D64" s="63">
        <v>3</v>
      </c>
      <c r="E64" s="63">
        <v>3</v>
      </c>
      <c r="F64" s="63">
        <v>3</v>
      </c>
      <c r="G64" s="63">
        <v>1</v>
      </c>
      <c r="H64" s="63">
        <v>2</v>
      </c>
      <c r="I64" s="63">
        <v>0</v>
      </c>
      <c r="J64" s="63">
        <v>4</v>
      </c>
      <c r="K64" s="63">
        <v>3</v>
      </c>
      <c r="L64" s="63">
        <v>3</v>
      </c>
      <c r="M64" s="63">
        <v>2</v>
      </c>
      <c r="N64" s="63">
        <v>2</v>
      </c>
      <c r="O64" s="63">
        <v>3</v>
      </c>
      <c r="Q64" s="71">
        <v>0.23529411764705893</v>
      </c>
      <c r="R64" s="71">
        <v>-0.17647058823529405</v>
      </c>
      <c r="S64" s="71">
        <v>0.23529411764705893</v>
      </c>
      <c r="T64" s="71">
        <v>0.23529411764705893</v>
      </c>
      <c r="U64" s="71">
        <v>0.23529411764705893</v>
      </c>
      <c r="V64" s="71">
        <v>-0.58823529411764708</v>
      </c>
      <c r="W64" s="71">
        <v>-0.17647058823529405</v>
      </c>
      <c r="X64" s="71">
        <v>-1</v>
      </c>
      <c r="Y64" s="71">
        <v>0.64705882352941191</v>
      </c>
      <c r="Z64" s="71">
        <v>0.23529411764705893</v>
      </c>
      <c r="AA64" s="71">
        <v>0.23529411764705893</v>
      </c>
      <c r="AB64" s="71">
        <v>-0.17647058823529405</v>
      </c>
      <c r="AC64" s="71">
        <v>-0.17647058823529405</v>
      </c>
      <c r="AD64" s="71">
        <v>0.23529411764705893</v>
      </c>
      <c r="AF64" s="68">
        <v>2.4285714285714284</v>
      </c>
    </row>
    <row r="65" spans="1:32">
      <c r="A65" t="s">
        <v>177</v>
      </c>
      <c r="B65" s="63">
        <v>1</v>
      </c>
      <c r="C65" s="63">
        <v>1</v>
      </c>
      <c r="D65" s="63">
        <v>3</v>
      </c>
      <c r="E65" s="63">
        <v>0</v>
      </c>
      <c r="F65" s="63">
        <v>1</v>
      </c>
      <c r="G65" s="63">
        <v>4</v>
      </c>
      <c r="H65" s="63">
        <v>1</v>
      </c>
      <c r="I65" s="63">
        <v>1</v>
      </c>
      <c r="J65" s="63">
        <v>3</v>
      </c>
      <c r="K65" s="63">
        <v>3</v>
      </c>
      <c r="L65" s="63">
        <v>3</v>
      </c>
      <c r="M65" s="63">
        <v>2</v>
      </c>
      <c r="N65" s="63">
        <v>3</v>
      </c>
      <c r="O65" s="63">
        <v>0</v>
      </c>
      <c r="Q65" s="71">
        <v>-0.46153846153846156</v>
      </c>
      <c r="R65" s="71">
        <v>-0.46153846153846156</v>
      </c>
      <c r="S65" s="71">
        <v>0.61538461538461531</v>
      </c>
      <c r="T65" s="71">
        <v>-1</v>
      </c>
      <c r="U65" s="71">
        <v>-0.46153846153846156</v>
      </c>
      <c r="V65" s="71">
        <v>1.1538461538461537</v>
      </c>
      <c r="W65" s="71">
        <v>-0.46153846153846156</v>
      </c>
      <c r="X65" s="71">
        <v>-0.46153846153846156</v>
      </c>
      <c r="Y65" s="71">
        <v>0.61538461538461531</v>
      </c>
      <c r="Z65" s="71">
        <v>0.61538461538461531</v>
      </c>
      <c r="AA65" s="71">
        <v>0.61538461538461531</v>
      </c>
      <c r="AB65" s="71">
        <v>7.6923076923076886E-2</v>
      </c>
      <c r="AC65" s="71">
        <v>0.61538461538461531</v>
      </c>
      <c r="AD65" s="71">
        <v>-1</v>
      </c>
      <c r="AF65" s="68">
        <v>1.8571428571428572</v>
      </c>
    </row>
    <row r="66" spans="1:32">
      <c r="A66" t="s">
        <v>318</v>
      </c>
      <c r="B66" s="63">
        <v>2</v>
      </c>
      <c r="C66" s="63">
        <v>1</v>
      </c>
      <c r="D66" s="63">
        <v>2</v>
      </c>
      <c r="E66" s="63">
        <v>2</v>
      </c>
      <c r="F66" s="63">
        <v>1</v>
      </c>
      <c r="G66" s="63">
        <v>1</v>
      </c>
      <c r="H66" s="63">
        <v>1</v>
      </c>
      <c r="I66" s="63">
        <v>0</v>
      </c>
      <c r="J66" s="63">
        <v>3</v>
      </c>
      <c r="K66" s="63">
        <v>2</v>
      </c>
      <c r="L66" s="63">
        <v>3</v>
      </c>
      <c r="M66" s="63">
        <v>4</v>
      </c>
      <c r="N66" s="63">
        <v>3</v>
      </c>
      <c r="O66" s="63">
        <v>0</v>
      </c>
      <c r="Q66" s="71">
        <v>0.11999999999999994</v>
      </c>
      <c r="R66" s="71">
        <v>-0.44</v>
      </c>
      <c r="S66" s="71">
        <v>0.11999999999999994</v>
      </c>
      <c r="T66" s="71">
        <v>0.11999999999999994</v>
      </c>
      <c r="U66" s="71">
        <v>-0.44</v>
      </c>
      <c r="V66" s="71">
        <v>-0.44</v>
      </c>
      <c r="W66" s="71">
        <v>-0.44</v>
      </c>
      <c r="X66" s="71">
        <v>-1</v>
      </c>
      <c r="Y66" s="71">
        <v>0.67999999999999994</v>
      </c>
      <c r="Z66" s="71">
        <v>0.11999999999999994</v>
      </c>
      <c r="AA66" s="71">
        <v>0.67999999999999994</v>
      </c>
      <c r="AB66" s="71">
        <v>1.24</v>
      </c>
      <c r="AC66" s="71">
        <v>0.67999999999999994</v>
      </c>
      <c r="AD66" s="71">
        <v>-1</v>
      </c>
      <c r="AF66" s="68">
        <v>1.7857142857142858</v>
      </c>
    </row>
    <row r="67" spans="1:32">
      <c r="A67" t="s">
        <v>298</v>
      </c>
      <c r="Q67" s="71"/>
      <c r="R67" s="71"/>
      <c r="S67" s="71"/>
      <c r="T67" s="71"/>
      <c r="U67" s="71"/>
      <c r="V67" s="71"/>
      <c r="W67" s="71"/>
      <c r="X67" s="71"/>
      <c r="Y67" s="71"/>
      <c r="Z67" s="71"/>
      <c r="AA67" s="71"/>
      <c r="AB67" s="71"/>
      <c r="AC67" s="71"/>
      <c r="AD67" s="71"/>
      <c r="AF67" s="68" t="e">
        <v>#DIV/0!</v>
      </c>
    </row>
    <row r="68" spans="1:32">
      <c r="A68" t="s">
        <v>319</v>
      </c>
      <c r="B68" s="63">
        <v>3</v>
      </c>
      <c r="C68" s="63">
        <v>1</v>
      </c>
      <c r="D68" s="63">
        <v>2</v>
      </c>
      <c r="E68" s="63">
        <v>2</v>
      </c>
      <c r="F68" s="63">
        <v>3</v>
      </c>
      <c r="G68" s="63">
        <v>2</v>
      </c>
      <c r="H68" s="63">
        <v>3</v>
      </c>
      <c r="I68" s="63">
        <v>2</v>
      </c>
      <c r="J68" s="63">
        <v>4</v>
      </c>
      <c r="K68" s="63">
        <v>3</v>
      </c>
      <c r="L68" s="63">
        <v>3</v>
      </c>
      <c r="M68" s="63">
        <v>3</v>
      </c>
      <c r="N68" s="63">
        <v>3</v>
      </c>
      <c r="O68" s="63">
        <v>2</v>
      </c>
      <c r="Q68" s="71">
        <v>0.16666666666666657</v>
      </c>
      <c r="R68" s="71">
        <v>-0.61111111111111116</v>
      </c>
      <c r="S68" s="71">
        <v>-0.22222222222222229</v>
      </c>
      <c r="T68" s="71">
        <v>-0.22222222222222229</v>
      </c>
      <c r="U68" s="71">
        <v>0.16666666666666657</v>
      </c>
      <c r="V68" s="71">
        <v>-0.22222222222222229</v>
      </c>
      <c r="W68" s="71">
        <v>0.16666666666666657</v>
      </c>
      <c r="X68" s="71">
        <v>-0.22222222222222229</v>
      </c>
      <c r="Y68" s="71">
        <v>0.55555555555555547</v>
      </c>
      <c r="Z68" s="71">
        <v>0.16666666666666657</v>
      </c>
      <c r="AA68" s="71">
        <v>0.16666666666666657</v>
      </c>
      <c r="AB68" s="71">
        <v>0.16666666666666657</v>
      </c>
      <c r="AC68" s="71">
        <v>0.16666666666666657</v>
      </c>
      <c r="AD68" s="71">
        <v>-0.22222222222222229</v>
      </c>
      <c r="AF68" s="68">
        <v>2.5714285714285716</v>
      </c>
    </row>
    <row r="69" spans="1:32">
      <c r="A69" t="s">
        <v>320</v>
      </c>
      <c r="B69" s="63">
        <v>2</v>
      </c>
      <c r="C69" s="63">
        <v>1</v>
      </c>
      <c r="D69" s="63">
        <v>2</v>
      </c>
      <c r="E69" s="63">
        <v>1</v>
      </c>
      <c r="F69" s="63">
        <v>2</v>
      </c>
      <c r="G69" s="63">
        <v>2</v>
      </c>
      <c r="H69" s="63">
        <v>2</v>
      </c>
      <c r="I69" s="63">
        <v>0</v>
      </c>
      <c r="J69" s="63">
        <v>3</v>
      </c>
      <c r="K69" s="63">
        <v>3</v>
      </c>
      <c r="L69" s="63">
        <v>3</v>
      </c>
      <c r="M69" s="63">
        <v>2</v>
      </c>
      <c r="N69" s="63">
        <v>3</v>
      </c>
      <c r="O69" s="63">
        <v>1</v>
      </c>
      <c r="Q69" s="71">
        <v>3.7037037037037021E-2</v>
      </c>
      <c r="R69" s="71">
        <v>-0.48148148148148151</v>
      </c>
      <c r="S69" s="71">
        <v>3.7037037037037021E-2</v>
      </c>
      <c r="T69" s="71">
        <v>-0.48148148148148151</v>
      </c>
      <c r="U69" s="71">
        <v>3.7037037037037021E-2</v>
      </c>
      <c r="V69" s="71">
        <v>3.7037037037037021E-2</v>
      </c>
      <c r="W69" s="71">
        <v>3.7037037037037021E-2</v>
      </c>
      <c r="X69" s="71">
        <v>-1</v>
      </c>
      <c r="Y69" s="71">
        <v>0.55555555555555558</v>
      </c>
      <c r="Z69" s="71">
        <v>0.55555555555555558</v>
      </c>
      <c r="AA69" s="71">
        <v>0.55555555555555558</v>
      </c>
      <c r="AB69" s="71">
        <v>3.7037037037037021E-2</v>
      </c>
      <c r="AC69" s="71">
        <v>0.55555555555555558</v>
      </c>
      <c r="AD69" s="71">
        <v>-0.48148148148148151</v>
      </c>
      <c r="AF69" s="68">
        <v>1.9285714285714286</v>
      </c>
    </row>
    <row r="70" spans="1:32">
      <c r="A70" t="s">
        <v>321</v>
      </c>
      <c r="B70" s="63">
        <v>2</v>
      </c>
      <c r="C70" s="63">
        <v>2</v>
      </c>
      <c r="D70" s="63">
        <v>2</v>
      </c>
      <c r="E70" s="63">
        <v>2</v>
      </c>
      <c r="F70" s="63">
        <v>2</v>
      </c>
      <c r="G70" s="63">
        <v>2</v>
      </c>
      <c r="H70" s="63">
        <v>3</v>
      </c>
      <c r="I70" s="63">
        <v>0</v>
      </c>
      <c r="J70" s="63">
        <v>3</v>
      </c>
      <c r="K70" s="63">
        <v>3</v>
      </c>
      <c r="L70" s="63">
        <v>3</v>
      </c>
      <c r="M70" s="63">
        <v>2</v>
      </c>
      <c r="N70" s="63">
        <v>4</v>
      </c>
      <c r="O70" s="63">
        <v>1</v>
      </c>
      <c r="Q70" s="71">
        <v>-9.677419354838715E-2</v>
      </c>
      <c r="R70" s="71">
        <v>-9.677419354838715E-2</v>
      </c>
      <c r="S70" s="71">
        <v>-9.677419354838715E-2</v>
      </c>
      <c r="T70" s="71">
        <v>-9.677419354838715E-2</v>
      </c>
      <c r="U70" s="71">
        <v>-9.677419354838715E-2</v>
      </c>
      <c r="V70" s="71">
        <v>-9.677419354838715E-2</v>
      </c>
      <c r="W70" s="71">
        <v>0.35483870967741926</v>
      </c>
      <c r="X70" s="71">
        <v>-1</v>
      </c>
      <c r="Y70" s="71">
        <v>0.35483870967741926</v>
      </c>
      <c r="Z70" s="71">
        <v>0.35483870967741926</v>
      </c>
      <c r="AA70" s="71">
        <v>0.35483870967741926</v>
      </c>
      <c r="AB70" s="71">
        <v>-9.677419354838715E-2</v>
      </c>
      <c r="AC70" s="71">
        <v>0.80645161290322576</v>
      </c>
      <c r="AD70" s="71">
        <v>-0.54838709677419362</v>
      </c>
      <c r="AF70" s="68">
        <v>2.2142857142857144</v>
      </c>
    </row>
    <row r="71" spans="1:32">
      <c r="A71" t="s">
        <v>322</v>
      </c>
      <c r="B71" s="63">
        <v>3</v>
      </c>
      <c r="C71" s="63">
        <v>3</v>
      </c>
      <c r="D71" s="63">
        <v>2</v>
      </c>
      <c r="E71" s="63">
        <v>2</v>
      </c>
      <c r="F71" s="63">
        <v>2</v>
      </c>
      <c r="G71" s="63">
        <v>1</v>
      </c>
      <c r="H71" s="63">
        <v>3</v>
      </c>
      <c r="I71" s="63">
        <v>0</v>
      </c>
      <c r="J71" s="63">
        <v>4</v>
      </c>
      <c r="K71" s="63">
        <v>3</v>
      </c>
      <c r="L71" s="63">
        <v>3</v>
      </c>
      <c r="M71" s="63">
        <v>0</v>
      </c>
      <c r="N71" s="63">
        <v>3</v>
      </c>
      <c r="O71" s="63">
        <v>1</v>
      </c>
      <c r="Q71" s="71">
        <v>0.4</v>
      </c>
      <c r="R71" s="71">
        <v>0.4</v>
      </c>
      <c r="S71" s="71">
        <v>-6.6666666666666638E-2</v>
      </c>
      <c r="T71" s="71">
        <v>-6.6666666666666638E-2</v>
      </c>
      <c r="U71" s="71">
        <v>-6.6666666666666638E-2</v>
      </c>
      <c r="V71" s="71">
        <v>-0.53333333333333333</v>
      </c>
      <c r="W71" s="71">
        <v>0.4</v>
      </c>
      <c r="X71" s="71">
        <v>-1</v>
      </c>
      <c r="Y71" s="71">
        <v>0.8666666666666667</v>
      </c>
      <c r="Z71" s="71">
        <v>0.4</v>
      </c>
      <c r="AA71" s="71">
        <v>0.4</v>
      </c>
      <c r="AB71" s="71">
        <v>-1</v>
      </c>
      <c r="AC71" s="71">
        <v>0.4</v>
      </c>
      <c r="AD71" s="71">
        <v>-0.53333333333333333</v>
      </c>
      <c r="AF71" s="68">
        <v>2.1428571428571428</v>
      </c>
    </row>
    <row r="72" spans="1:32">
      <c r="A72" t="s">
        <v>298</v>
      </c>
      <c r="Q72" s="71"/>
      <c r="R72" s="71"/>
      <c r="S72" s="71"/>
      <c r="T72" s="71"/>
      <c r="U72" s="71"/>
      <c r="V72" s="71"/>
      <c r="W72" s="71"/>
      <c r="X72" s="71"/>
      <c r="Y72" s="71"/>
      <c r="Z72" s="71"/>
      <c r="AA72" s="71"/>
      <c r="AB72" s="71"/>
      <c r="AC72" s="71"/>
      <c r="AD72" s="71"/>
      <c r="AF72" s="68" t="e">
        <v>#DIV/0!</v>
      </c>
    </row>
    <row r="73" spans="1:32">
      <c r="A73" t="s">
        <v>323</v>
      </c>
      <c r="B73" s="63">
        <v>4</v>
      </c>
      <c r="C73" s="63">
        <v>3</v>
      </c>
      <c r="D73" s="63">
        <v>3</v>
      </c>
      <c r="E73" s="63">
        <v>3</v>
      </c>
      <c r="F73" s="63">
        <v>3</v>
      </c>
      <c r="G73" s="63">
        <v>3</v>
      </c>
      <c r="H73" s="63">
        <v>3</v>
      </c>
      <c r="I73" s="63">
        <v>3</v>
      </c>
      <c r="J73" s="63">
        <v>3</v>
      </c>
      <c r="K73" s="63">
        <v>3</v>
      </c>
      <c r="L73" s="63">
        <v>4</v>
      </c>
      <c r="M73" s="63">
        <v>3</v>
      </c>
      <c r="N73" s="63">
        <v>5</v>
      </c>
      <c r="O73" s="63">
        <v>3</v>
      </c>
      <c r="Q73" s="71">
        <v>0.21739130434782614</v>
      </c>
      <c r="R73" s="71">
        <v>-8.6956521739130405E-2</v>
      </c>
      <c r="S73" s="71">
        <v>-8.6956521739130405E-2</v>
      </c>
      <c r="T73" s="71">
        <v>-8.6956521739130405E-2</v>
      </c>
      <c r="U73" s="71">
        <v>-8.6956521739130405E-2</v>
      </c>
      <c r="V73" s="71">
        <v>-8.6956521739130405E-2</v>
      </c>
      <c r="W73" s="71">
        <v>-8.6956521739130405E-2</v>
      </c>
      <c r="X73" s="71">
        <v>-8.6956521739130405E-2</v>
      </c>
      <c r="Y73" s="71">
        <v>-8.6956521739130405E-2</v>
      </c>
      <c r="Z73" s="71">
        <v>-8.6956521739130405E-2</v>
      </c>
      <c r="AA73" s="71">
        <v>0.21739130434782614</v>
      </c>
      <c r="AB73" s="71">
        <v>-8.6956521739130405E-2</v>
      </c>
      <c r="AC73" s="71">
        <v>0.52173913043478271</v>
      </c>
      <c r="AD73" s="71">
        <v>-8.6956521739130405E-2</v>
      </c>
      <c r="AF73" s="68">
        <v>3.2857142857142856</v>
      </c>
    </row>
    <row r="74" spans="1:32">
      <c r="A74" t="s">
        <v>324</v>
      </c>
      <c r="B74" s="63">
        <v>4</v>
      </c>
      <c r="C74" s="63">
        <v>3</v>
      </c>
      <c r="D74" s="63">
        <v>3</v>
      </c>
      <c r="E74" s="63">
        <v>3</v>
      </c>
      <c r="F74" s="63">
        <v>3</v>
      </c>
      <c r="G74" s="63">
        <v>3</v>
      </c>
      <c r="H74" s="63">
        <v>3</v>
      </c>
      <c r="I74" s="63">
        <v>2</v>
      </c>
      <c r="J74" s="63">
        <v>4</v>
      </c>
      <c r="K74" s="63">
        <v>3</v>
      </c>
      <c r="L74" s="63">
        <v>4</v>
      </c>
      <c r="M74" s="63">
        <v>3</v>
      </c>
      <c r="N74" s="63">
        <v>4</v>
      </c>
      <c r="O74" s="63">
        <v>3</v>
      </c>
      <c r="Q74" s="71">
        <v>0.24444444444444441</v>
      </c>
      <c r="R74" s="71">
        <v>-6.6666666666666707E-2</v>
      </c>
      <c r="S74" s="71">
        <v>-6.6666666666666707E-2</v>
      </c>
      <c r="T74" s="71">
        <v>-6.6666666666666707E-2</v>
      </c>
      <c r="U74" s="71">
        <v>-6.6666666666666707E-2</v>
      </c>
      <c r="V74" s="71">
        <v>-6.6666666666666707E-2</v>
      </c>
      <c r="W74" s="71">
        <v>-6.6666666666666707E-2</v>
      </c>
      <c r="X74" s="71">
        <v>-0.37777777777777782</v>
      </c>
      <c r="Y74" s="71">
        <v>0.24444444444444441</v>
      </c>
      <c r="Z74" s="71">
        <v>-6.6666666666666707E-2</v>
      </c>
      <c r="AA74" s="71">
        <v>0.24444444444444441</v>
      </c>
      <c r="AB74" s="71">
        <v>-6.6666666666666707E-2</v>
      </c>
      <c r="AC74" s="71">
        <v>0.24444444444444441</v>
      </c>
      <c r="AD74" s="71">
        <v>-6.6666666666666707E-2</v>
      </c>
      <c r="AF74" s="68">
        <v>3.2142857142857144</v>
      </c>
    </row>
    <row r="75" spans="1:32">
      <c r="A75" t="s">
        <v>325</v>
      </c>
      <c r="B75" s="63">
        <v>4</v>
      </c>
      <c r="C75" s="63">
        <v>3</v>
      </c>
      <c r="D75" s="63">
        <v>3</v>
      </c>
      <c r="E75" s="63">
        <v>2</v>
      </c>
      <c r="F75" s="63">
        <v>4</v>
      </c>
      <c r="G75" s="63">
        <v>2</v>
      </c>
      <c r="H75" s="63">
        <v>3</v>
      </c>
      <c r="I75" s="63">
        <v>0</v>
      </c>
      <c r="J75" s="63">
        <v>3</v>
      </c>
      <c r="K75" s="63">
        <v>3</v>
      </c>
      <c r="L75" s="63">
        <v>4</v>
      </c>
      <c r="M75" s="63">
        <v>3</v>
      </c>
      <c r="N75" s="63">
        <v>3</v>
      </c>
      <c r="O75" s="63">
        <v>3</v>
      </c>
      <c r="Q75" s="71">
        <v>0.39999999999999997</v>
      </c>
      <c r="R75" s="71">
        <v>4.9999999999999975E-2</v>
      </c>
      <c r="S75" s="71">
        <v>4.9999999999999975E-2</v>
      </c>
      <c r="T75" s="71">
        <v>-0.3</v>
      </c>
      <c r="U75" s="71">
        <v>0.39999999999999997</v>
      </c>
      <c r="V75" s="71">
        <v>-0.3</v>
      </c>
      <c r="W75" s="71">
        <v>4.9999999999999975E-2</v>
      </c>
      <c r="X75" s="71">
        <v>-1</v>
      </c>
      <c r="Y75" s="71">
        <v>4.9999999999999975E-2</v>
      </c>
      <c r="Z75" s="71">
        <v>4.9999999999999975E-2</v>
      </c>
      <c r="AA75" s="71">
        <v>0.39999999999999997</v>
      </c>
      <c r="AB75" s="71">
        <v>4.9999999999999975E-2</v>
      </c>
      <c r="AC75" s="71">
        <v>4.9999999999999975E-2</v>
      </c>
      <c r="AD75" s="71">
        <v>4.9999999999999975E-2</v>
      </c>
      <c r="AF75" s="68">
        <v>2.8571428571428572</v>
      </c>
    </row>
    <row r="76" spans="1:32">
      <c r="A76" t="s">
        <v>326</v>
      </c>
      <c r="B76" s="63">
        <v>4</v>
      </c>
      <c r="C76" s="63">
        <v>3</v>
      </c>
      <c r="D76" s="63">
        <v>3</v>
      </c>
      <c r="E76" s="63">
        <v>3</v>
      </c>
      <c r="F76" s="63">
        <v>3</v>
      </c>
      <c r="G76" s="63">
        <v>3</v>
      </c>
      <c r="H76" s="63">
        <v>3</v>
      </c>
      <c r="I76" s="63">
        <v>3</v>
      </c>
      <c r="J76" s="63">
        <v>3</v>
      </c>
      <c r="K76" s="63">
        <v>3</v>
      </c>
      <c r="L76" s="63">
        <v>3</v>
      </c>
      <c r="M76" s="63">
        <v>3</v>
      </c>
      <c r="N76" s="63">
        <v>5</v>
      </c>
      <c r="O76" s="63">
        <v>3</v>
      </c>
      <c r="Q76" s="71">
        <v>0.24444444444444441</v>
      </c>
      <c r="R76" s="71">
        <v>-6.6666666666666707E-2</v>
      </c>
      <c r="S76" s="71">
        <v>-6.6666666666666707E-2</v>
      </c>
      <c r="T76" s="71">
        <v>-6.6666666666666707E-2</v>
      </c>
      <c r="U76" s="71">
        <v>-6.6666666666666707E-2</v>
      </c>
      <c r="V76" s="71">
        <v>-6.6666666666666707E-2</v>
      </c>
      <c r="W76" s="71">
        <v>-6.6666666666666707E-2</v>
      </c>
      <c r="X76" s="71">
        <v>-6.6666666666666707E-2</v>
      </c>
      <c r="Y76" s="71">
        <v>-6.6666666666666707E-2</v>
      </c>
      <c r="Z76" s="71">
        <v>-6.6666666666666707E-2</v>
      </c>
      <c r="AA76" s="71">
        <v>-6.6666666666666707E-2</v>
      </c>
      <c r="AB76" s="71">
        <v>-6.6666666666666707E-2</v>
      </c>
      <c r="AC76" s="71">
        <v>0.55555555555555547</v>
      </c>
      <c r="AD76" s="71">
        <v>-6.6666666666666707E-2</v>
      </c>
      <c r="AF76" s="68">
        <v>3.2142857142857144</v>
      </c>
    </row>
    <row r="77" spans="1:32">
      <c r="A77" t="s">
        <v>327</v>
      </c>
      <c r="B77" s="63">
        <v>4</v>
      </c>
      <c r="C77" s="63">
        <v>2</v>
      </c>
      <c r="D77" s="63">
        <v>3</v>
      </c>
      <c r="E77" s="63">
        <v>3</v>
      </c>
      <c r="F77" s="63">
        <v>3</v>
      </c>
      <c r="G77" s="63">
        <v>3</v>
      </c>
      <c r="H77" s="63">
        <v>3</v>
      </c>
      <c r="I77" s="63">
        <v>0</v>
      </c>
      <c r="J77" s="63">
        <v>2</v>
      </c>
      <c r="K77" s="63">
        <v>3</v>
      </c>
      <c r="L77" s="63">
        <v>4</v>
      </c>
      <c r="M77" s="63">
        <v>3</v>
      </c>
      <c r="N77" s="63">
        <v>4</v>
      </c>
      <c r="O77" s="63">
        <v>5</v>
      </c>
      <c r="Q77" s="71">
        <v>0.33333333333333331</v>
      </c>
      <c r="R77" s="71">
        <v>-0.33333333333333331</v>
      </c>
      <c r="S77" s="71">
        <v>0</v>
      </c>
      <c r="T77" s="71">
        <v>0</v>
      </c>
      <c r="U77" s="71">
        <v>0</v>
      </c>
      <c r="V77" s="71">
        <v>0</v>
      </c>
      <c r="W77" s="71">
        <v>0</v>
      </c>
      <c r="X77" s="71">
        <v>-1</v>
      </c>
      <c r="Y77" s="71">
        <v>-0.33333333333333331</v>
      </c>
      <c r="Z77" s="71">
        <v>0</v>
      </c>
      <c r="AA77" s="71">
        <v>0.33333333333333331</v>
      </c>
      <c r="AB77" s="71">
        <v>0</v>
      </c>
      <c r="AC77" s="71">
        <v>0.33333333333333331</v>
      </c>
      <c r="AD77" s="71">
        <v>0.66666666666666663</v>
      </c>
      <c r="AF77" s="68">
        <v>3</v>
      </c>
    </row>
    <row r="78" spans="1:32">
      <c r="A78" t="s">
        <v>298</v>
      </c>
      <c r="Q78" s="71"/>
      <c r="R78" s="71"/>
      <c r="S78" s="71"/>
      <c r="T78" s="71"/>
      <c r="U78" s="71"/>
      <c r="V78" s="71"/>
      <c r="W78" s="71"/>
      <c r="X78" s="71"/>
      <c r="Y78" s="71"/>
      <c r="Z78" s="71"/>
      <c r="AA78" s="71"/>
      <c r="AB78" s="71"/>
      <c r="AC78" s="71"/>
      <c r="AD78" s="71"/>
      <c r="AF78" s="68" t="e">
        <v>#DIV/0!</v>
      </c>
    </row>
    <row r="79" spans="1:32">
      <c r="A79" t="s">
        <v>328</v>
      </c>
      <c r="B79" s="63">
        <v>3</v>
      </c>
      <c r="C79" s="63">
        <v>2</v>
      </c>
      <c r="D79" s="63">
        <v>3</v>
      </c>
      <c r="E79" s="63">
        <v>4</v>
      </c>
      <c r="F79" s="63">
        <v>3</v>
      </c>
      <c r="G79" s="63">
        <v>2</v>
      </c>
      <c r="H79" s="63">
        <v>3</v>
      </c>
      <c r="I79" s="63">
        <v>2</v>
      </c>
      <c r="J79" s="63">
        <v>3</v>
      </c>
      <c r="K79" s="63">
        <v>2</v>
      </c>
      <c r="L79" s="63">
        <v>3</v>
      </c>
      <c r="M79" s="63">
        <v>3</v>
      </c>
      <c r="N79" s="63">
        <v>3</v>
      </c>
      <c r="O79" s="63">
        <v>3</v>
      </c>
      <c r="Q79" s="71">
        <v>7.6923076923076969E-2</v>
      </c>
      <c r="R79" s="71">
        <v>-0.28205128205128199</v>
      </c>
      <c r="S79" s="71">
        <v>7.6923076923076969E-2</v>
      </c>
      <c r="T79" s="71">
        <v>0.43589743589743596</v>
      </c>
      <c r="U79" s="71">
        <v>7.6923076923076969E-2</v>
      </c>
      <c r="V79" s="71">
        <v>-0.28205128205128199</v>
      </c>
      <c r="W79" s="71">
        <v>7.6923076923076969E-2</v>
      </c>
      <c r="X79" s="71">
        <v>-0.28205128205128199</v>
      </c>
      <c r="Y79" s="71">
        <v>7.6923076923076969E-2</v>
      </c>
      <c r="Z79" s="71">
        <v>-0.28205128205128199</v>
      </c>
      <c r="AA79" s="71">
        <v>7.6923076923076969E-2</v>
      </c>
      <c r="AB79" s="71">
        <v>7.6923076923076969E-2</v>
      </c>
      <c r="AC79" s="71">
        <v>7.6923076923076969E-2</v>
      </c>
      <c r="AD79" s="71">
        <v>7.6923076923076969E-2</v>
      </c>
      <c r="AF79" s="68">
        <v>2.7857142857142856</v>
      </c>
    </row>
    <row r="80" spans="1:32">
      <c r="A80" t="s">
        <v>329</v>
      </c>
      <c r="B80" s="63">
        <v>3</v>
      </c>
      <c r="C80" s="63">
        <v>3</v>
      </c>
      <c r="D80" s="63" t="s">
        <v>298</v>
      </c>
      <c r="E80" s="63">
        <v>3</v>
      </c>
      <c r="F80" s="63">
        <v>3</v>
      </c>
      <c r="G80" s="63">
        <v>3</v>
      </c>
      <c r="H80" s="63">
        <v>3</v>
      </c>
      <c r="I80" s="63">
        <v>2</v>
      </c>
      <c r="J80" s="63">
        <v>3</v>
      </c>
      <c r="K80" s="63">
        <v>3</v>
      </c>
      <c r="L80" s="63">
        <v>3</v>
      </c>
      <c r="M80" s="63">
        <v>3</v>
      </c>
      <c r="N80" s="63">
        <v>2</v>
      </c>
      <c r="O80" s="63">
        <v>3</v>
      </c>
      <c r="Q80" s="71">
        <v>5.4054054054054015E-2</v>
      </c>
      <c r="R80" s="71">
        <v>5.4054054054054015E-2</v>
      </c>
      <c r="S80" s="71" t="e">
        <v>#VALUE!</v>
      </c>
      <c r="T80" s="71">
        <v>5.4054054054054015E-2</v>
      </c>
      <c r="U80" s="71">
        <v>5.4054054054054015E-2</v>
      </c>
      <c r="V80" s="71">
        <v>5.4054054054054015E-2</v>
      </c>
      <c r="W80" s="71">
        <v>5.4054054054054015E-2</v>
      </c>
      <c r="X80" s="71">
        <v>-0.29729729729729731</v>
      </c>
      <c r="Y80" s="71">
        <v>5.4054054054054015E-2</v>
      </c>
      <c r="Z80" s="71">
        <v>5.4054054054054015E-2</v>
      </c>
      <c r="AA80" s="71">
        <v>5.4054054054054015E-2</v>
      </c>
      <c r="AB80" s="71">
        <v>5.4054054054054015E-2</v>
      </c>
      <c r="AC80" s="71">
        <v>-0.29729729729729731</v>
      </c>
      <c r="AD80" s="71">
        <v>5.4054054054054015E-2</v>
      </c>
      <c r="AF80" s="68">
        <v>2.8461538461538463</v>
      </c>
    </row>
    <row r="81" spans="1:33">
      <c r="A81" t="s">
        <v>330</v>
      </c>
      <c r="B81" s="63">
        <v>3</v>
      </c>
      <c r="C81" s="63">
        <v>0</v>
      </c>
      <c r="D81" s="63">
        <v>2</v>
      </c>
      <c r="E81" s="63">
        <v>3</v>
      </c>
      <c r="F81" s="63">
        <v>1</v>
      </c>
      <c r="G81" s="63">
        <v>0</v>
      </c>
      <c r="H81" s="63">
        <v>2</v>
      </c>
      <c r="I81" s="63">
        <v>0</v>
      </c>
      <c r="J81" s="63">
        <v>1</v>
      </c>
      <c r="K81" s="63">
        <v>1</v>
      </c>
      <c r="L81" s="63">
        <v>3</v>
      </c>
      <c r="M81" s="63">
        <v>1</v>
      </c>
      <c r="N81" s="63">
        <v>3</v>
      </c>
      <c r="O81" s="63">
        <v>2</v>
      </c>
      <c r="Q81" s="71">
        <v>0.90909090909090917</v>
      </c>
      <c r="R81" s="71">
        <v>-1</v>
      </c>
      <c r="S81" s="71">
        <v>0.27272727272727276</v>
      </c>
      <c r="T81" s="71">
        <v>0.90909090909090917</v>
      </c>
      <c r="U81" s="71">
        <v>-0.36363636363636365</v>
      </c>
      <c r="V81" s="71">
        <v>-1</v>
      </c>
      <c r="W81" s="71">
        <v>0.27272727272727276</v>
      </c>
      <c r="X81" s="71">
        <v>-1</v>
      </c>
      <c r="Y81" s="71">
        <v>-0.36363636363636365</v>
      </c>
      <c r="Z81" s="71">
        <v>-0.36363636363636365</v>
      </c>
      <c r="AA81" s="71">
        <v>0.90909090909090917</v>
      </c>
      <c r="AB81" s="71">
        <v>-0.36363636363636365</v>
      </c>
      <c r="AC81" s="71">
        <v>0.90909090909090917</v>
      </c>
      <c r="AD81" s="71">
        <v>0.27272727272727276</v>
      </c>
      <c r="AF81" s="68">
        <v>1.5714285714285714</v>
      </c>
    </row>
    <row r="82" spans="1:33">
      <c r="A82" s="74" t="s">
        <v>1311</v>
      </c>
      <c r="B82" s="75">
        <v>3</v>
      </c>
      <c r="C82" s="75">
        <v>2.1111111111111112</v>
      </c>
      <c r="D82" s="75">
        <v>2.7692307692307692</v>
      </c>
      <c r="E82" s="75">
        <v>2.7407407407407409</v>
      </c>
      <c r="F82" s="75">
        <v>2.7037037037037037</v>
      </c>
      <c r="G82" s="75">
        <v>2.2962962962962963</v>
      </c>
      <c r="H82" s="75">
        <v>2.925925925925926</v>
      </c>
      <c r="I82" s="75">
        <v>1.7037037037037037</v>
      </c>
      <c r="J82" s="75">
        <v>2.9629629629629628</v>
      </c>
      <c r="K82" s="75">
        <v>2.8148148148148149</v>
      </c>
      <c r="L82" s="75">
        <v>3.1481481481481484</v>
      </c>
      <c r="M82" s="75">
        <v>2.4074074074074074</v>
      </c>
      <c r="N82" s="75">
        <v>3.0370370370370372</v>
      </c>
      <c r="O82" s="75">
        <v>2.2962962962962963</v>
      </c>
      <c r="Q82" s="71">
        <v>0.13767556721716309</v>
      </c>
      <c r="R82" s="71">
        <v>-0.1994134897360704</v>
      </c>
      <c r="S82" s="71">
        <v>5.0162062046612062E-2</v>
      </c>
      <c r="T82" s="71">
        <v>3.9357925605803389E-2</v>
      </c>
      <c r="U82" s="71">
        <v>2.5312548232751933E-2</v>
      </c>
      <c r="V82" s="71">
        <v>-0.12918660287081343</v>
      </c>
      <c r="W82" s="71">
        <v>0.10958481247106035</v>
      </c>
      <c r="X82" s="71">
        <v>-0.35391264083963575</v>
      </c>
      <c r="Y82" s="71">
        <v>0.12363018984411164</v>
      </c>
      <c r="Z82" s="71">
        <v>6.744868035190614E-2</v>
      </c>
      <c r="AA82" s="71">
        <v>0.19385707670936878</v>
      </c>
      <c r="AB82" s="71">
        <v>-8.7050470751659226E-2</v>
      </c>
      <c r="AC82" s="71">
        <v>0.15172094459021457</v>
      </c>
      <c r="AD82" s="71">
        <v>-0.12918660287081343</v>
      </c>
      <c r="AF82" s="68">
        <v>2.6369556369556371</v>
      </c>
    </row>
    <row r="83" spans="1:33">
      <c r="A83" t="s">
        <v>298</v>
      </c>
      <c r="Q83" s="71"/>
      <c r="R83" s="71"/>
      <c r="S83" s="71"/>
      <c r="T83" s="71"/>
      <c r="U83" s="71"/>
      <c r="V83" s="71"/>
      <c r="W83" s="71"/>
      <c r="X83" s="71"/>
      <c r="Y83" s="71"/>
      <c r="Z83" s="71"/>
      <c r="AA83" s="71"/>
      <c r="AB83" s="71"/>
      <c r="AC83" s="71"/>
      <c r="AD83" s="71"/>
      <c r="AF83" s="68" t="e">
        <v>#DIV/0!</v>
      </c>
    </row>
    <row r="84" spans="1:33">
      <c r="A84" t="s">
        <v>298</v>
      </c>
      <c r="Q84" s="71"/>
      <c r="R84" s="71"/>
      <c r="S84" s="71"/>
      <c r="T84" s="71"/>
      <c r="U84" s="71"/>
      <c r="V84" s="71"/>
      <c r="W84" s="71"/>
      <c r="X84" s="71"/>
      <c r="Y84" s="71"/>
      <c r="Z84" s="71"/>
      <c r="AA84" s="71"/>
      <c r="AB84" s="71"/>
      <c r="AC84" s="71"/>
      <c r="AD84" s="71"/>
      <c r="AF84" s="68" t="e">
        <v>#DIV/0!</v>
      </c>
    </row>
    <row r="85" spans="1:33">
      <c r="A85" s="8" t="s">
        <v>25</v>
      </c>
      <c r="B85" s="59" t="s">
        <v>1241</v>
      </c>
      <c r="C85" s="59" t="s">
        <v>1242</v>
      </c>
      <c r="D85" s="59" t="s">
        <v>1243</v>
      </c>
      <c r="E85" s="59" t="s">
        <v>1244</v>
      </c>
      <c r="F85" s="59" t="s">
        <v>1245</v>
      </c>
      <c r="G85" s="59" t="s">
        <v>1246</v>
      </c>
      <c r="H85" s="59" t="s">
        <v>1247</v>
      </c>
      <c r="I85" s="59" t="s">
        <v>1248</v>
      </c>
      <c r="J85" s="59" t="s">
        <v>1249</v>
      </c>
      <c r="K85" s="59" t="s">
        <v>1250</v>
      </c>
      <c r="L85" s="59" t="s">
        <v>1251</v>
      </c>
      <c r="M85" s="59" t="s">
        <v>1303</v>
      </c>
      <c r="N85" s="59" t="s">
        <v>1304</v>
      </c>
      <c r="O85" s="59" t="s">
        <v>1305</v>
      </c>
      <c r="Q85" s="71"/>
      <c r="R85" s="71"/>
      <c r="S85" s="71"/>
      <c r="T85" s="71"/>
      <c r="U85" s="71"/>
      <c r="V85" s="71"/>
      <c r="W85" s="71"/>
      <c r="X85" s="71"/>
      <c r="Y85" s="71"/>
      <c r="Z85" s="71"/>
      <c r="AA85" s="71"/>
      <c r="AB85" s="71"/>
      <c r="AC85" s="71"/>
      <c r="AD85" s="71"/>
      <c r="AF85" s="68" t="e">
        <v>#DIV/0!</v>
      </c>
    </row>
    <row r="86" spans="1:33">
      <c r="A86" s="76" t="s">
        <v>331</v>
      </c>
      <c r="Q86" s="71"/>
      <c r="R86" s="71"/>
      <c r="S86" s="71"/>
      <c r="T86" s="71"/>
      <c r="U86" s="71"/>
      <c r="V86" s="71"/>
      <c r="W86" s="71"/>
      <c r="X86" s="71"/>
      <c r="Y86" s="71"/>
      <c r="Z86" s="71"/>
      <c r="AA86" s="71"/>
      <c r="AB86" s="71"/>
      <c r="AC86" s="71"/>
      <c r="AD86" s="71"/>
      <c r="AF86" s="68" t="e">
        <v>#DIV/0!</v>
      </c>
      <c r="AG86" s="77">
        <v>1.8116883116883118</v>
      </c>
    </row>
    <row r="87" spans="1:33">
      <c r="A87" t="s">
        <v>332</v>
      </c>
      <c r="B87" s="63" t="s">
        <v>298</v>
      </c>
      <c r="C87" s="63" t="s">
        <v>298</v>
      </c>
      <c r="D87" s="63" t="s">
        <v>298</v>
      </c>
      <c r="E87" s="63" t="s">
        <v>298</v>
      </c>
      <c r="F87" s="63" t="s">
        <v>298</v>
      </c>
      <c r="G87" s="63" t="s">
        <v>298</v>
      </c>
      <c r="H87" s="63" t="s">
        <v>298</v>
      </c>
      <c r="I87" s="63" t="s">
        <v>298</v>
      </c>
      <c r="J87" s="63" t="s">
        <v>298</v>
      </c>
      <c r="K87" s="63" t="s">
        <v>298</v>
      </c>
      <c r="L87" s="63" t="s">
        <v>298</v>
      </c>
      <c r="M87" s="63" t="s">
        <v>298</v>
      </c>
      <c r="N87" s="63" t="s">
        <v>298</v>
      </c>
      <c r="O87" s="63" t="s">
        <v>298</v>
      </c>
      <c r="Q87" s="71" t="e">
        <v>#VALUE!</v>
      </c>
      <c r="R87" s="71" t="e">
        <v>#VALUE!</v>
      </c>
      <c r="S87" s="71" t="e">
        <v>#VALUE!</v>
      </c>
      <c r="T87" s="71" t="e">
        <v>#VALUE!</v>
      </c>
      <c r="U87" s="71" t="e">
        <v>#VALUE!</v>
      </c>
      <c r="V87" s="71" t="e">
        <v>#VALUE!</v>
      </c>
      <c r="W87" s="71" t="e">
        <v>#VALUE!</v>
      </c>
      <c r="X87" s="71" t="e">
        <v>#VALUE!</v>
      </c>
      <c r="Y87" s="71" t="e">
        <v>#VALUE!</v>
      </c>
      <c r="Z87" s="71" t="e">
        <v>#VALUE!</v>
      </c>
      <c r="AA87" s="71" t="e">
        <v>#VALUE!</v>
      </c>
      <c r="AB87" s="71" t="e">
        <v>#VALUE!</v>
      </c>
      <c r="AC87" s="71" t="e">
        <v>#VALUE!</v>
      </c>
      <c r="AD87" s="71" t="e">
        <v>#VALUE!</v>
      </c>
      <c r="AF87" s="68" t="e">
        <v>#DIV/0!</v>
      </c>
    </row>
    <row r="88" spans="1:33">
      <c r="A88" t="s">
        <v>298</v>
      </c>
      <c r="Q88" s="71"/>
      <c r="R88" s="71"/>
      <c r="S88" s="71"/>
      <c r="T88" s="71"/>
      <c r="U88" s="71"/>
      <c r="V88" s="71"/>
      <c r="W88" s="71"/>
      <c r="X88" s="71"/>
      <c r="Y88" s="71"/>
      <c r="Z88" s="71"/>
      <c r="AA88" s="71"/>
      <c r="AB88" s="71"/>
      <c r="AC88" s="71"/>
      <c r="AD88" s="71"/>
      <c r="AF88" s="68" t="e">
        <v>#DIV/0!</v>
      </c>
    </row>
    <row r="89" spans="1:33">
      <c r="A89" t="s">
        <v>298</v>
      </c>
      <c r="Q89" s="71"/>
      <c r="R89" s="71"/>
      <c r="S89" s="71"/>
      <c r="T89" s="71"/>
      <c r="U89" s="71"/>
      <c r="V89" s="71"/>
      <c r="W89" s="71"/>
      <c r="X89" s="71"/>
      <c r="Y89" s="71"/>
      <c r="Z89" s="71"/>
      <c r="AA89" s="71"/>
      <c r="AB89" s="71"/>
      <c r="AC89" s="71"/>
      <c r="AD89" s="71"/>
      <c r="AF89" s="68" t="e">
        <v>#DIV/0!</v>
      </c>
    </row>
    <row r="90" spans="1:33">
      <c r="A90" t="s">
        <v>298</v>
      </c>
      <c r="Q90" s="71"/>
      <c r="R90" s="71"/>
      <c r="S90" s="71"/>
      <c r="T90" s="71"/>
      <c r="U90" s="71"/>
      <c r="V90" s="71"/>
      <c r="W90" s="71"/>
      <c r="X90" s="71"/>
      <c r="Y90" s="71"/>
      <c r="Z90" s="71"/>
      <c r="AA90" s="71"/>
      <c r="AB90" s="71"/>
      <c r="AC90" s="71"/>
      <c r="AD90" s="71"/>
      <c r="AF90" s="68" t="e">
        <v>#DIV/0!</v>
      </c>
    </row>
    <row r="91" spans="1:33">
      <c r="A91" t="s">
        <v>333</v>
      </c>
      <c r="B91" s="63">
        <v>1</v>
      </c>
      <c r="C91" s="63">
        <v>0</v>
      </c>
      <c r="D91" s="63">
        <v>2</v>
      </c>
      <c r="E91" s="63">
        <v>0</v>
      </c>
      <c r="F91" s="63">
        <v>0</v>
      </c>
      <c r="G91" s="63">
        <v>1</v>
      </c>
      <c r="H91" s="63">
        <v>4</v>
      </c>
      <c r="I91" s="63">
        <v>0</v>
      </c>
      <c r="J91" s="63">
        <v>3</v>
      </c>
      <c r="K91" s="63">
        <v>2</v>
      </c>
      <c r="L91" s="63">
        <v>2</v>
      </c>
      <c r="M91" s="63">
        <v>1</v>
      </c>
      <c r="N91" s="63">
        <v>1</v>
      </c>
      <c r="O91" s="63">
        <v>4</v>
      </c>
      <c r="Q91" s="71">
        <v>-0.33333333333333331</v>
      </c>
      <c r="R91" s="71">
        <v>-1</v>
      </c>
      <c r="S91" s="71">
        <v>0.33333333333333331</v>
      </c>
      <c r="T91" s="71">
        <v>-1</v>
      </c>
      <c r="U91" s="71">
        <v>-1</v>
      </c>
      <c r="V91" s="71">
        <v>-0.33333333333333331</v>
      </c>
      <c r="W91" s="71">
        <v>1.6666666666666667</v>
      </c>
      <c r="X91" s="71">
        <v>-1</v>
      </c>
      <c r="Y91" s="71">
        <v>1</v>
      </c>
      <c r="Z91" s="71">
        <v>0.33333333333333331</v>
      </c>
      <c r="AA91" s="71">
        <v>0.33333333333333331</v>
      </c>
      <c r="AB91" s="71">
        <v>-0.33333333333333331</v>
      </c>
      <c r="AC91" s="71">
        <v>-0.33333333333333331</v>
      </c>
      <c r="AD91" s="71">
        <v>1.6666666666666667</v>
      </c>
      <c r="AF91" s="68">
        <v>1.5</v>
      </c>
    </row>
    <row r="92" spans="1:33">
      <c r="A92" t="s">
        <v>298</v>
      </c>
      <c r="Q92" s="71"/>
      <c r="R92" s="71"/>
      <c r="S92" s="71"/>
      <c r="T92" s="71"/>
      <c r="U92" s="71"/>
      <c r="V92" s="71"/>
      <c r="W92" s="71"/>
      <c r="X92" s="71"/>
      <c r="Y92" s="71"/>
      <c r="Z92" s="71"/>
      <c r="AA92" s="71"/>
      <c r="AB92" s="71"/>
      <c r="AC92" s="71"/>
      <c r="AD92" s="71"/>
      <c r="AF92" s="68" t="e">
        <v>#DIV/0!</v>
      </c>
    </row>
    <row r="93" spans="1:33">
      <c r="A93" t="s">
        <v>143</v>
      </c>
      <c r="B93" s="63">
        <v>1</v>
      </c>
      <c r="C93" s="63">
        <v>0</v>
      </c>
      <c r="D93" s="63">
        <v>0</v>
      </c>
      <c r="E93" s="63">
        <v>0</v>
      </c>
      <c r="F93" s="63">
        <v>1</v>
      </c>
      <c r="G93" s="63">
        <v>1</v>
      </c>
      <c r="H93" s="63">
        <v>3</v>
      </c>
      <c r="I93" s="63">
        <v>0</v>
      </c>
      <c r="J93" s="63">
        <v>2</v>
      </c>
      <c r="K93" s="63">
        <v>2</v>
      </c>
      <c r="L93" s="63">
        <v>0</v>
      </c>
      <c r="M93" s="63">
        <v>0</v>
      </c>
      <c r="N93" s="63">
        <v>1</v>
      </c>
      <c r="O93" s="63">
        <v>0</v>
      </c>
      <c r="Q93" s="71">
        <v>0.27272727272727276</v>
      </c>
      <c r="R93" s="71">
        <v>-1</v>
      </c>
      <c r="S93" s="71">
        <v>-1</v>
      </c>
      <c r="T93" s="71">
        <v>-1</v>
      </c>
      <c r="U93" s="71">
        <v>0.27272727272727276</v>
      </c>
      <c r="V93" s="71">
        <v>0.27272727272727276</v>
      </c>
      <c r="W93" s="71">
        <v>2.8181818181818183</v>
      </c>
      <c r="X93" s="71">
        <v>-1</v>
      </c>
      <c r="Y93" s="71">
        <v>1.5454545454545456</v>
      </c>
      <c r="Z93" s="71">
        <v>1.5454545454545456</v>
      </c>
      <c r="AA93" s="71">
        <v>-1</v>
      </c>
      <c r="AB93" s="71">
        <v>-1</v>
      </c>
      <c r="AC93" s="71">
        <v>0.27272727272727276</v>
      </c>
      <c r="AD93" s="71">
        <v>-1</v>
      </c>
      <c r="AF93" s="68">
        <v>0.7857142857142857</v>
      </c>
    </row>
    <row r="94" spans="1:33">
      <c r="A94" t="s">
        <v>298</v>
      </c>
      <c r="Q94" s="71"/>
      <c r="R94" s="71"/>
      <c r="S94" s="71"/>
      <c r="T94" s="71"/>
      <c r="U94" s="71"/>
      <c r="V94" s="71"/>
      <c r="W94" s="71"/>
      <c r="X94" s="71"/>
      <c r="Y94" s="71"/>
      <c r="Z94" s="71"/>
      <c r="AA94" s="71"/>
      <c r="AB94" s="71"/>
      <c r="AC94" s="71"/>
      <c r="AD94" s="71"/>
      <c r="AF94" s="68" t="e">
        <v>#DIV/0!</v>
      </c>
    </row>
    <row r="95" spans="1:33">
      <c r="A95" t="s">
        <v>334</v>
      </c>
      <c r="B95" s="63">
        <v>1</v>
      </c>
      <c r="C95" s="63">
        <v>0</v>
      </c>
      <c r="D95" s="63">
        <v>0</v>
      </c>
      <c r="E95" s="63">
        <v>0</v>
      </c>
      <c r="F95" s="63">
        <v>0</v>
      </c>
      <c r="G95" s="63">
        <v>0</v>
      </c>
      <c r="H95" s="63">
        <v>0</v>
      </c>
      <c r="I95" s="63">
        <v>0</v>
      </c>
      <c r="J95" s="63">
        <v>0</v>
      </c>
      <c r="K95" s="63">
        <v>0</v>
      </c>
      <c r="L95" s="63">
        <v>0</v>
      </c>
      <c r="M95" s="63">
        <v>0</v>
      </c>
      <c r="N95" s="63">
        <v>0</v>
      </c>
      <c r="O95" s="63">
        <v>0</v>
      </c>
      <c r="Q95" s="71">
        <v>13.000000000000002</v>
      </c>
      <c r="R95" s="71">
        <v>-1</v>
      </c>
      <c r="S95" s="71">
        <v>-1</v>
      </c>
      <c r="T95" s="71">
        <v>-1</v>
      </c>
      <c r="U95" s="71">
        <v>-1</v>
      </c>
      <c r="V95" s="71">
        <v>-1</v>
      </c>
      <c r="W95" s="71">
        <v>-1</v>
      </c>
      <c r="X95" s="71">
        <v>-1</v>
      </c>
      <c r="Y95" s="71">
        <v>-1</v>
      </c>
      <c r="Z95" s="71">
        <v>-1</v>
      </c>
      <c r="AA95" s="71">
        <v>-1</v>
      </c>
      <c r="AB95" s="71">
        <v>-1</v>
      </c>
      <c r="AC95" s="71">
        <v>-1</v>
      </c>
      <c r="AD95" s="71">
        <v>-1</v>
      </c>
      <c r="AF95" s="68">
        <v>7.1428571428571425E-2</v>
      </c>
    </row>
    <row r="96" spans="1:33">
      <c r="A96" t="s">
        <v>298</v>
      </c>
      <c r="Q96" s="71"/>
      <c r="R96" s="71"/>
      <c r="S96" s="71"/>
      <c r="T96" s="71"/>
      <c r="U96" s="71"/>
      <c r="V96" s="71"/>
      <c r="W96" s="71"/>
      <c r="X96" s="71"/>
      <c r="Y96" s="71"/>
      <c r="Z96" s="71"/>
      <c r="AA96" s="71"/>
      <c r="AB96" s="71"/>
      <c r="AC96" s="71"/>
      <c r="AD96" s="71"/>
      <c r="AF96" s="68" t="e">
        <v>#DIV/0!</v>
      </c>
    </row>
    <row r="97" spans="1:33">
      <c r="A97" t="s">
        <v>163</v>
      </c>
      <c r="B97" s="63">
        <v>3</v>
      </c>
      <c r="C97" s="63">
        <v>3</v>
      </c>
      <c r="D97" s="63">
        <v>3</v>
      </c>
      <c r="E97" s="63">
        <v>3</v>
      </c>
      <c r="F97" s="63">
        <v>3</v>
      </c>
      <c r="G97" s="63">
        <v>3</v>
      </c>
      <c r="H97" s="63">
        <v>3</v>
      </c>
      <c r="I97" s="63">
        <v>0</v>
      </c>
      <c r="J97" s="63">
        <v>1</v>
      </c>
      <c r="K97" s="63">
        <v>3</v>
      </c>
      <c r="L97" s="63">
        <v>4</v>
      </c>
      <c r="M97" s="63">
        <v>2</v>
      </c>
      <c r="N97" s="63">
        <v>4</v>
      </c>
      <c r="O97" s="63">
        <v>3</v>
      </c>
      <c r="Q97" s="71">
        <v>0.10526315789473679</v>
      </c>
      <c r="R97" s="71">
        <v>0.10526315789473679</v>
      </c>
      <c r="S97" s="71">
        <v>0.10526315789473679</v>
      </c>
      <c r="T97" s="71">
        <v>0.10526315789473679</v>
      </c>
      <c r="U97" s="71">
        <v>0.10526315789473679</v>
      </c>
      <c r="V97" s="71">
        <v>0.10526315789473679</v>
      </c>
      <c r="W97" s="71">
        <v>0.10526315789473679</v>
      </c>
      <c r="X97" s="71">
        <v>-1</v>
      </c>
      <c r="Y97" s="71">
        <v>-0.63157894736842102</v>
      </c>
      <c r="Z97" s="71">
        <v>0.10526315789473679</v>
      </c>
      <c r="AA97" s="71">
        <v>0.47368421052631571</v>
      </c>
      <c r="AB97" s="71">
        <v>-0.26315789473684215</v>
      </c>
      <c r="AC97" s="71">
        <v>0.47368421052631571</v>
      </c>
      <c r="AD97" s="71">
        <v>0.10526315789473679</v>
      </c>
      <c r="AF97" s="68">
        <v>2.7142857142857144</v>
      </c>
    </row>
    <row r="98" spans="1:33">
      <c r="A98" t="s">
        <v>185</v>
      </c>
      <c r="B98" s="63">
        <v>3</v>
      </c>
      <c r="C98" s="63">
        <v>2</v>
      </c>
      <c r="D98" s="63">
        <v>3</v>
      </c>
      <c r="E98" s="63">
        <v>2</v>
      </c>
      <c r="F98" s="63">
        <v>3</v>
      </c>
      <c r="G98" s="63">
        <v>3</v>
      </c>
      <c r="H98" s="63">
        <v>2</v>
      </c>
      <c r="I98" s="63">
        <v>0</v>
      </c>
      <c r="J98" s="63">
        <v>0</v>
      </c>
      <c r="K98" s="63">
        <v>3</v>
      </c>
      <c r="L98" s="63">
        <v>2</v>
      </c>
      <c r="M98" s="63">
        <v>0</v>
      </c>
      <c r="N98" s="63">
        <v>3</v>
      </c>
      <c r="O98" s="63">
        <v>2</v>
      </c>
      <c r="Q98" s="71">
        <v>0.5</v>
      </c>
      <c r="R98" s="71">
        <v>0</v>
      </c>
      <c r="S98" s="71">
        <v>0.5</v>
      </c>
      <c r="T98" s="71">
        <v>0</v>
      </c>
      <c r="U98" s="71">
        <v>0.5</v>
      </c>
      <c r="V98" s="71">
        <v>0.5</v>
      </c>
      <c r="W98" s="71">
        <v>0</v>
      </c>
      <c r="X98" s="71">
        <v>-1</v>
      </c>
      <c r="Y98" s="71">
        <v>-1</v>
      </c>
      <c r="Z98" s="71">
        <v>0.5</v>
      </c>
      <c r="AA98" s="71">
        <v>0</v>
      </c>
      <c r="AB98" s="71">
        <v>-1</v>
      </c>
      <c r="AC98" s="71">
        <v>0.5</v>
      </c>
      <c r="AD98" s="71">
        <v>0</v>
      </c>
      <c r="AF98" s="68">
        <v>2</v>
      </c>
    </row>
    <row r="99" spans="1:33">
      <c r="A99" t="s">
        <v>256</v>
      </c>
      <c r="B99" s="63">
        <v>3</v>
      </c>
      <c r="C99" s="63">
        <v>2</v>
      </c>
      <c r="D99" s="63">
        <v>3</v>
      </c>
      <c r="E99" s="63">
        <v>3</v>
      </c>
      <c r="F99" s="63">
        <v>3</v>
      </c>
      <c r="G99" s="63">
        <v>3</v>
      </c>
      <c r="H99" s="63">
        <v>3</v>
      </c>
      <c r="I99" s="63">
        <v>0</v>
      </c>
      <c r="J99" s="63">
        <v>1</v>
      </c>
      <c r="K99" s="63">
        <v>3</v>
      </c>
      <c r="L99" s="63">
        <v>4</v>
      </c>
      <c r="M99" s="63">
        <v>2</v>
      </c>
      <c r="N99" s="63">
        <v>3</v>
      </c>
      <c r="O99" s="63">
        <v>3</v>
      </c>
      <c r="Q99" s="71">
        <v>0.16666666666666657</v>
      </c>
      <c r="R99" s="71">
        <v>-0.22222222222222229</v>
      </c>
      <c r="S99" s="71">
        <v>0.16666666666666657</v>
      </c>
      <c r="T99" s="71">
        <v>0.16666666666666657</v>
      </c>
      <c r="U99" s="71">
        <v>0.16666666666666657</v>
      </c>
      <c r="V99" s="71">
        <v>0.16666666666666657</v>
      </c>
      <c r="W99" s="71">
        <v>0.16666666666666657</v>
      </c>
      <c r="X99" s="71">
        <v>-1</v>
      </c>
      <c r="Y99" s="71">
        <v>-0.61111111111111116</v>
      </c>
      <c r="Z99" s="71">
        <v>0.16666666666666657</v>
      </c>
      <c r="AA99" s="71">
        <v>0.55555555555555547</v>
      </c>
      <c r="AB99" s="71">
        <v>-0.22222222222222229</v>
      </c>
      <c r="AC99" s="71">
        <v>0.16666666666666657</v>
      </c>
      <c r="AD99" s="71">
        <v>0.16666666666666657</v>
      </c>
      <c r="AF99" s="68">
        <v>2.5714285714285716</v>
      </c>
    </row>
    <row r="100" spans="1:33">
      <c r="A100" t="s">
        <v>335</v>
      </c>
      <c r="B100" s="63">
        <v>3</v>
      </c>
      <c r="C100" s="63">
        <v>3</v>
      </c>
      <c r="D100" s="63">
        <v>3</v>
      </c>
      <c r="E100" s="63">
        <v>2</v>
      </c>
      <c r="F100" s="63">
        <v>3</v>
      </c>
      <c r="G100" s="63">
        <v>3</v>
      </c>
      <c r="H100" s="63">
        <v>2</v>
      </c>
      <c r="I100" s="63">
        <v>0</v>
      </c>
      <c r="J100" s="63">
        <v>0</v>
      </c>
      <c r="K100" s="63">
        <v>2</v>
      </c>
      <c r="L100" s="63">
        <v>2</v>
      </c>
      <c r="M100" s="63">
        <v>0</v>
      </c>
      <c r="N100" s="63">
        <v>3</v>
      </c>
      <c r="O100" s="63">
        <v>2</v>
      </c>
      <c r="Q100" s="71">
        <v>0.5</v>
      </c>
      <c r="R100" s="71">
        <v>0.5</v>
      </c>
      <c r="S100" s="71">
        <v>0.5</v>
      </c>
      <c r="T100" s="71">
        <v>0</v>
      </c>
      <c r="U100" s="71">
        <v>0.5</v>
      </c>
      <c r="V100" s="71">
        <v>0.5</v>
      </c>
      <c r="W100" s="71">
        <v>0</v>
      </c>
      <c r="X100" s="71">
        <v>-1</v>
      </c>
      <c r="Y100" s="71">
        <v>-1</v>
      </c>
      <c r="Z100" s="71">
        <v>0</v>
      </c>
      <c r="AA100" s="71">
        <v>0</v>
      </c>
      <c r="AB100" s="71">
        <v>-1</v>
      </c>
      <c r="AC100" s="71">
        <v>0.5</v>
      </c>
      <c r="AD100" s="71">
        <v>0</v>
      </c>
      <c r="AF100" s="68">
        <v>2</v>
      </c>
    </row>
    <row r="101" spans="1:33">
      <c r="A101" t="s">
        <v>298</v>
      </c>
      <c r="Q101" s="71"/>
      <c r="R101" s="71"/>
      <c r="S101" s="71"/>
      <c r="T101" s="71"/>
      <c r="U101" s="71"/>
      <c r="V101" s="71"/>
      <c r="W101" s="71"/>
      <c r="X101" s="71"/>
      <c r="Y101" s="71"/>
      <c r="Z101" s="71"/>
      <c r="AA101" s="71"/>
      <c r="AB101" s="71"/>
      <c r="AC101" s="71"/>
      <c r="AD101" s="71"/>
      <c r="AF101" s="68" t="e">
        <v>#DIV/0!</v>
      </c>
    </row>
    <row r="102" spans="1:33">
      <c r="A102" t="s">
        <v>147</v>
      </c>
      <c r="B102" s="63">
        <v>3</v>
      </c>
      <c r="C102" s="63">
        <v>2</v>
      </c>
      <c r="D102" s="63">
        <v>3</v>
      </c>
      <c r="E102" s="63">
        <v>3</v>
      </c>
      <c r="F102" s="63">
        <v>2</v>
      </c>
      <c r="G102" s="63">
        <v>2</v>
      </c>
      <c r="H102" s="63">
        <v>4</v>
      </c>
      <c r="I102" s="63">
        <v>0</v>
      </c>
      <c r="J102" s="63">
        <v>0</v>
      </c>
      <c r="K102" s="63">
        <v>2</v>
      </c>
      <c r="L102" s="63">
        <v>1</v>
      </c>
      <c r="M102" s="63">
        <v>2</v>
      </c>
      <c r="N102" s="63">
        <v>2</v>
      </c>
      <c r="O102" s="63">
        <v>3</v>
      </c>
      <c r="Q102" s="71">
        <v>0.44827586206896536</v>
      </c>
      <c r="R102" s="71">
        <v>-3.4482758620689745E-2</v>
      </c>
      <c r="S102" s="71">
        <v>0.44827586206896536</v>
      </c>
      <c r="T102" s="71">
        <v>0.44827586206896536</v>
      </c>
      <c r="U102" s="71">
        <v>-3.4482758620689745E-2</v>
      </c>
      <c r="V102" s="71">
        <v>-3.4482758620689745E-2</v>
      </c>
      <c r="W102" s="71">
        <v>0.93103448275862055</v>
      </c>
      <c r="X102" s="71">
        <v>-1</v>
      </c>
      <c r="Y102" s="71">
        <v>-1</v>
      </c>
      <c r="Z102" s="71">
        <v>-3.4482758620689745E-2</v>
      </c>
      <c r="AA102" s="71">
        <v>-0.51724137931034486</v>
      </c>
      <c r="AB102" s="71">
        <v>-3.4482758620689745E-2</v>
      </c>
      <c r="AC102" s="71">
        <v>-3.4482758620689745E-2</v>
      </c>
      <c r="AD102" s="71">
        <v>0.44827586206896536</v>
      </c>
      <c r="AF102" s="68">
        <v>2.0714285714285716</v>
      </c>
    </row>
    <row r="103" spans="1:33">
      <c r="A103" t="s">
        <v>336</v>
      </c>
      <c r="B103" s="63">
        <v>2</v>
      </c>
      <c r="C103" s="63">
        <v>2</v>
      </c>
      <c r="D103" s="63">
        <v>2</v>
      </c>
      <c r="E103" s="63">
        <v>3</v>
      </c>
      <c r="F103" s="63">
        <v>2</v>
      </c>
      <c r="G103" s="63">
        <v>3</v>
      </c>
      <c r="H103" s="63">
        <v>4</v>
      </c>
      <c r="I103" s="63">
        <v>0</v>
      </c>
      <c r="J103" s="63">
        <v>0</v>
      </c>
      <c r="K103" s="63">
        <v>2</v>
      </c>
      <c r="L103" s="63">
        <v>2</v>
      </c>
      <c r="M103" s="63">
        <v>0</v>
      </c>
      <c r="N103" s="63">
        <v>2</v>
      </c>
      <c r="O103" s="63">
        <v>3</v>
      </c>
      <c r="Q103" s="71">
        <v>3.7037037037037021E-2</v>
      </c>
      <c r="R103" s="71">
        <v>3.7037037037037021E-2</v>
      </c>
      <c r="S103" s="71">
        <v>3.7037037037037021E-2</v>
      </c>
      <c r="T103" s="71">
        <v>0.55555555555555558</v>
      </c>
      <c r="U103" s="71">
        <v>3.7037037037037021E-2</v>
      </c>
      <c r="V103" s="71">
        <v>0.55555555555555558</v>
      </c>
      <c r="W103" s="71">
        <v>1.074074074074074</v>
      </c>
      <c r="X103" s="71">
        <v>-1</v>
      </c>
      <c r="Y103" s="71">
        <v>-1</v>
      </c>
      <c r="Z103" s="71">
        <v>3.7037037037037021E-2</v>
      </c>
      <c r="AA103" s="71">
        <v>3.7037037037037021E-2</v>
      </c>
      <c r="AB103" s="71">
        <v>-1</v>
      </c>
      <c r="AC103" s="71">
        <v>3.7037037037037021E-2</v>
      </c>
      <c r="AD103" s="71">
        <v>0.55555555555555558</v>
      </c>
      <c r="AF103" s="68">
        <v>1.9285714285714286</v>
      </c>
    </row>
    <row r="104" spans="1:33">
      <c r="A104" t="s">
        <v>337</v>
      </c>
      <c r="B104" s="63">
        <v>2</v>
      </c>
      <c r="C104" s="63">
        <v>0</v>
      </c>
      <c r="D104" s="63">
        <v>2</v>
      </c>
      <c r="E104" s="63">
        <v>3</v>
      </c>
      <c r="F104" s="63">
        <v>2</v>
      </c>
      <c r="G104" s="63">
        <v>2</v>
      </c>
      <c r="H104" s="63">
        <v>4</v>
      </c>
      <c r="I104" s="63">
        <v>0</v>
      </c>
      <c r="J104" s="63">
        <v>2</v>
      </c>
      <c r="K104" s="63">
        <v>2</v>
      </c>
      <c r="L104" s="63">
        <v>0</v>
      </c>
      <c r="M104" s="63">
        <v>0</v>
      </c>
      <c r="N104" s="63">
        <v>2</v>
      </c>
      <c r="O104" s="63">
        <v>3</v>
      </c>
      <c r="Q104" s="71">
        <v>0.16666666666666674</v>
      </c>
      <c r="R104" s="71">
        <v>-1</v>
      </c>
      <c r="S104" s="71">
        <v>0.16666666666666674</v>
      </c>
      <c r="T104" s="71">
        <v>0.75000000000000011</v>
      </c>
      <c r="U104" s="71">
        <v>0.16666666666666674</v>
      </c>
      <c r="V104" s="71">
        <v>0.16666666666666674</v>
      </c>
      <c r="W104" s="71">
        <v>1.3333333333333333</v>
      </c>
      <c r="X104" s="71">
        <v>-1</v>
      </c>
      <c r="Y104" s="71">
        <v>0.16666666666666674</v>
      </c>
      <c r="Z104" s="71">
        <v>0.16666666666666674</v>
      </c>
      <c r="AA104" s="71">
        <v>-1</v>
      </c>
      <c r="AB104" s="71">
        <v>-1</v>
      </c>
      <c r="AC104" s="71">
        <v>0.16666666666666674</v>
      </c>
      <c r="AD104" s="71">
        <v>0.75000000000000011</v>
      </c>
      <c r="AF104" s="68">
        <v>1.7142857142857142</v>
      </c>
    </row>
    <row r="105" spans="1:33">
      <c r="A105" t="s">
        <v>298</v>
      </c>
      <c r="Q105" s="71"/>
      <c r="R105" s="71"/>
      <c r="S105" s="71"/>
      <c r="T105" s="71"/>
      <c r="U105" s="71"/>
      <c r="V105" s="71"/>
      <c r="W105" s="71"/>
      <c r="X105" s="71"/>
      <c r="Y105" s="71"/>
      <c r="Z105" s="71"/>
      <c r="AA105" s="71"/>
      <c r="AB105" s="71"/>
      <c r="AC105" s="71"/>
      <c r="AD105" s="71"/>
      <c r="AF105" s="68" t="e">
        <v>#DIV/0!</v>
      </c>
    </row>
    <row r="106" spans="1:33">
      <c r="A106" t="s">
        <v>338</v>
      </c>
      <c r="B106" s="63">
        <v>4</v>
      </c>
      <c r="C106" s="63">
        <v>1</v>
      </c>
      <c r="D106" s="63">
        <v>3</v>
      </c>
      <c r="E106" s="63">
        <v>3</v>
      </c>
      <c r="F106" s="63">
        <v>1</v>
      </c>
      <c r="G106" s="63">
        <v>2</v>
      </c>
      <c r="H106" s="63">
        <v>4</v>
      </c>
      <c r="I106" s="63">
        <v>0</v>
      </c>
      <c r="J106" s="63">
        <v>3</v>
      </c>
      <c r="K106" s="63">
        <v>3</v>
      </c>
      <c r="L106" s="63">
        <v>3</v>
      </c>
      <c r="M106" s="63">
        <v>1</v>
      </c>
      <c r="N106" s="63">
        <v>5</v>
      </c>
      <c r="O106" s="63">
        <v>3</v>
      </c>
      <c r="Q106" s="71">
        <v>0.55555555555555547</v>
      </c>
      <c r="R106" s="71">
        <v>-0.61111111111111116</v>
      </c>
      <c r="S106" s="71">
        <v>0.16666666666666657</v>
      </c>
      <c r="T106" s="71">
        <v>0.16666666666666657</v>
      </c>
      <c r="U106" s="71">
        <v>-0.61111111111111116</v>
      </c>
      <c r="V106" s="71">
        <v>-0.22222222222222229</v>
      </c>
      <c r="W106" s="71">
        <v>0.55555555555555547</v>
      </c>
      <c r="X106" s="71">
        <v>-1</v>
      </c>
      <c r="Y106" s="71">
        <v>0.16666666666666657</v>
      </c>
      <c r="Z106" s="71">
        <v>0.16666666666666657</v>
      </c>
      <c r="AA106" s="71">
        <v>0.16666666666666657</v>
      </c>
      <c r="AB106" s="71">
        <v>-0.61111111111111116</v>
      </c>
      <c r="AC106" s="71">
        <v>0.94444444444444431</v>
      </c>
      <c r="AD106" s="71">
        <v>0.16666666666666657</v>
      </c>
      <c r="AF106" s="68">
        <v>2.5714285714285716</v>
      </c>
    </row>
    <row r="107" spans="1:33">
      <c r="A107" s="76" t="s">
        <v>255</v>
      </c>
      <c r="Q107" s="71"/>
      <c r="R107" s="71"/>
      <c r="S107" s="71"/>
      <c r="T107" s="71"/>
      <c r="U107" s="71"/>
      <c r="V107" s="71"/>
      <c r="W107" s="71"/>
      <c r="X107" s="71"/>
      <c r="Y107" s="71"/>
      <c r="Z107" s="71"/>
      <c r="AA107" s="71"/>
      <c r="AB107" s="71"/>
      <c r="AC107" s="71"/>
      <c r="AD107" s="71"/>
      <c r="AF107" s="68" t="e">
        <v>#DIV/0!</v>
      </c>
      <c r="AG107" s="77">
        <v>2.168831168831169</v>
      </c>
    </row>
    <row r="108" spans="1:33">
      <c r="A108" t="s">
        <v>339</v>
      </c>
      <c r="B108" s="63">
        <v>4</v>
      </c>
      <c r="C108" s="63">
        <v>2</v>
      </c>
      <c r="D108" s="63">
        <v>3</v>
      </c>
      <c r="E108" s="63">
        <v>3</v>
      </c>
      <c r="F108" s="63">
        <v>2</v>
      </c>
      <c r="G108" s="63">
        <v>2</v>
      </c>
      <c r="H108" s="63">
        <v>3</v>
      </c>
      <c r="I108" s="63">
        <v>0</v>
      </c>
      <c r="J108" s="63">
        <v>4</v>
      </c>
      <c r="K108" s="63">
        <v>4</v>
      </c>
      <c r="L108" s="63">
        <v>2</v>
      </c>
      <c r="M108" s="63">
        <v>2</v>
      </c>
      <c r="N108" s="63">
        <v>5</v>
      </c>
      <c r="O108" s="63">
        <v>3</v>
      </c>
      <c r="Q108" s="71">
        <v>0.43589743589743596</v>
      </c>
      <c r="R108" s="71">
        <v>-0.28205128205128199</v>
      </c>
      <c r="S108" s="71">
        <v>7.6923076923076969E-2</v>
      </c>
      <c r="T108" s="71">
        <v>7.6923076923076969E-2</v>
      </c>
      <c r="U108" s="71">
        <v>-0.28205128205128199</v>
      </c>
      <c r="V108" s="71">
        <v>-0.28205128205128199</v>
      </c>
      <c r="W108" s="71">
        <v>7.6923076923076969E-2</v>
      </c>
      <c r="X108" s="71">
        <v>-1</v>
      </c>
      <c r="Y108" s="71">
        <v>0.43589743589743596</v>
      </c>
      <c r="Z108" s="71">
        <v>0.43589743589743596</v>
      </c>
      <c r="AA108" s="71">
        <v>-0.28205128205128199</v>
      </c>
      <c r="AB108" s="71">
        <v>-0.28205128205128199</v>
      </c>
      <c r="AC108" s="71">
        <v>0.79487179487179493</v>
      </c>
      <c r="AD108" s="71">
        <v>7.6923076923076969E-2</v>
      </c>
      <c r="AF108" s="68">
        <v>2.7857142857142856</v>
      </c>
    </row>
    <row r="109" spans="1:33">
      <c r="A109" t="s">
        <v>298</v>
      </c>
      <c r="Q109" s="71"/>
      <c r="R109" s="71"/>
      <c r="S109" s="71"/>
      <c r="T109" s="71"/>
      <c r="U109" s="71"/>
      <c r="V109" s="71"/>
      <c r="W109" s="71"/>
      <c r="X109" s="71"/>
      <c r="Y109" s="71"/>
      <c r="Z109" s="71"/>
      <c r="AA109" s="71"/>
      <c r="AB109" s="71"/>
      <c r="AC109" s="71"/>
      <c r="AD109" s="71"/>
      <c r="AF109" s="68" t="e">
        <v>#DIV/0!</v>
      </c>
    </row>
    <row r="110" spans="1:33">
      <c r="A110" t="s">
        <v>340</v>
      </c>
      <c r="B110" s="63">
        <v>3</v>
      </c>
      <c r="C110" s="63">
        <v>3</v>
      </c>
      <c r="D110" s="63">
        <v>3</v>
      </c>
      <c r="E110" s="63">
        <v>4</v>
      </c>
      <c r="F110" s="63">
        <v>3</v>
      </c>
      <c r="G110" s="63">
        <v>3</v>
      </c>
      <c r="H110" s="63">
        <v>3</v>
      </c>
      <c r="I110" s="63">
        <v>0</v>
      </c>
      <c r="J110" s="63">
        <v>3</v>
      </c>
      <c r="K110" s="63">
        <v>3</v>
      </c>
      <c r="L110" s="63">
        <v>2</v>
      </c>
      <c r="M110" s="63">
        <v>2</v>
      </c>
      <c r="N110" s="63">
        <v>4</v>
      </c>
      <c r="O110" s="63">
        <v>2</v>
      </c>
      <c r="Q110" s="71">
        <v>0.10526315789473679</v>
      </c>
      <c r="R110" s="71">
        <v>0.10526315789473679</v>
      </c>
      <c r="S110" s="71">
        <v>0.10526315789473679</v>
      </c>
      <c r="T110" s="71">
        <v>0.47368421052631571</v>
      </c>
      <c r="U110" s="71">
        <v>0.10526315789473679</v>
      </c>
      <c r="V110" s="71">
        <v>0.10526315789473679</v>
      </c>
      <c r="W110" s="71">
        <v>0.10526315789473679</v>
      </c>
      <c r="X110" s="71">
        <v>-1</v>
      </c>
      <c r="Y110" s="71">
        <v>0.10526315789473679</v>
      </c>
      <c r="Z110" s="71">
        <v>0.10526315789473679</v>
      </c>
      <c r="AA110" s="71">
        <v>-0.26315789473684215</v>
      </c>
      <c r="AB110" s="71">
        <v>-0.26315789473684215</v>
      </c>
      <c r="AC110" s="71">
        <v>0.47368421052631571</v>
      </c>
      <c r="AD110" s="71">
        <v>-0.26315789473684215</v>
      </c>
      <c r="AF110" s="68">
        <v>2.7142857142857144</v>
      </c>
    </row>
    <row r="111" spans="1:33">
      <c r="A111" t="s">
        <v>298</v>
      </c>
      <c r="Q111" s="71"/>
      <c r="R111" s="71"/>
      <c r="S111" s="71"/>
      <c r="T111" s="71"/>
      <c r="U111" s="71"/>
      <c r="V111" s="71"/>
      <c r="W111" s="71"/>
      <c r="X111" s="71"/>
      <c r="Y111" s="71"/>
      <c r="Z111" s="71"/>
      <c r="AA111" s="71"/>
      <c r="AB111" s="71"/>
      <c r="AC111" s="71"/>
      <c r="AD111" s="71"/>
      <c r="AF111" s="68" t="e">
        <v>#DIV/0!</v>
      </c>
    </row>
    <row r="112" spans="1:33">
      <c r="A112" t="s">
        <v>341</v>
      </c>
      <c r="B112" s="63">
        <v>4</v>
      </c>
      <c r="C112" s="63">
        <v>2</v>
      </c>
      <c r="D112" s="63">
        <v>3</v>
      </c>
      <c r="E112" s="63">
        <v>2</v>
      </c>
      <c r="F112" s="63">
        <v>3</v>
      </c>
      <c r="G112" s="63">
        <v>3</v>
      </c>
      <c r="H112" s="63">
        <v>3</v>
      </c>
      <c r="I112" s="63">
        <v>0</v>
      </c>
      <c r="J112" s="63">
        <v>3</v>
      </c>
      <c r="K112" s="63">
        <v>2</v>
      </c>
      <c r="L112" s="63">
        <v>2</v>
      </c>
      <c r="M112" s="63">
        <v>2</v>
      </c>
      <c r="N112" s="63">
        <v>3</v>
      </c>
      <c r="O112" s="63">
        <v>2</v>
      </c>
      <c r="Q112" s="71">
        <v>0.64705882352941191</v>
      </c>
      <c r="R112" s="71">
        <v>-0.17647058823529405</v>
      </c>
      <c r="S112" s="71">
        <v>0.23529411764705893</v>
      </c>
      <c r="T112" s="71">
        <v>-0.17647058823529405</v>
      </c>
      <c r="U112" s="71">
        <v>0.23529411764705893</v>
      </c>
      <c r="V112" s="71">
        <v>0.23529411764705893</v>
      </c>
      <c r="W112" s="71">
        <v>0.23529411764705893</v>
      </c>
      <c r="X112" s="71">
        <v>-1</v>
      </c>
      <c r="Y112" s="71">
        <v>0.23529411764705893</v>
      </c>
      <c r="Z112" s="71">
        <v>-0.17647058823529405</v>
      </c>
      <c r="AA112" s="71">
        <v>-0.17647058823529405</v>
      </c>
      <c r="AB112" s="71">
        <v>-0.17647058823529405</v>
      </c>
      <c r="AC112" s="71">
        <v>0.23529411764705893</v>
      </c>
      <c r="AD112" s="71">
        <v>-0.17647058823529405</v>
      </c>
      <c r="AF112" s="68">
        <v>2.4285714285714284</v>
      </c>
    </row>
    <row r="113" spans="1:32">
      <c r="A113" t="s">
        <v>298</v>
      </c>
      <c r="Q113" s="71"/>
      <c r="R113" s="71"/>
      <c r="S113" s="71"/>
      <c r="T113" s="71"/>
      <c r="U113" s="71"/>
      <c r="V113" s="71"/>
      <c r="W113" s="71"/>
      <c r="X113" s="71"/>
      <c r="Y113" s="71"/>
      <c r="Z113" s="71"/>
      <c r="AA113" s="71"/>
      <c r="AB113" s="71"/>
      <c r="AC113" s="71"/>
      <c r="AD113" s="71"/>
      <c r="AF113" s="68" t="e">
        <v>#DIV/0!</v>
      </c>
    </row>
    <row r="114" spans="1:32">
      <c r="A114" t="s">
        <v>342</v>
      </c>
      <c r="B114" s="63">
        <v>4</v>
      </c>
      <c r="C114" s="63">
        <v>2</v>
      </c>
      <c r="D114" s="63">
        <v>3</v>
      </c>
      <c r="E114" s="63">
        <v>2</v>
      </c>
      <c r="F114" s="63">
        <v>3</v>
      </c>
      <c r="G114" s="63">
        <v>3</v>
      </c>
      <c r="H114" s="63">
        <v>5</v>
      </c>
      <c r="I114" s="63">
        <v>0</v>
      </c>
      <c r="J114" s="63">
        <v>2</v>
      </c>
      <c r="K114" s="63">
        <v>2</v>
      </c>
      <c r="L114" s="63">
        <v>3</v>
      </c>
      <c r="M114" s="63">
        <v>2</v>
      </c>
      <c r="N114" s="63">
        <v>3</v>
      </c>
      <c r="O114" s="63">
        <v>2</v>
      </c>
      <c r="Q114" s="71">
        <v>0.55555555555555547</v>
      </c>
      <c r="R114" s="71">
        <v>-0.22222222222222229</v>
      </c>
      <c r="S114" s="71">
        <v>0.16666666666666657</v>
      </c>
      <c r="T114" s="71">
        <v>-0.22222222222222229</v>
      </c>
      <c r="U114" s="71">
        <v>0.16666666666666657</v>
      </c>
      <c r="V114" s="71">
        <v>0.16666666666666657</v>
      </c>
      <c r="W114" s="71">
        <v>0.94444444444444431</v>
      </c>
      <c r="X114" s="71">
        <v>-1</v>
      </c>
      <c r="Y114" s="71">
        <v>-0.22222222222222229</v>
      </c>
      <c r="Z114" s="71">
        <v>-0.22222222222222229</v>
      </c>
      <c r="AA114" s="71">
        <v>0.16666666666666657</v>
      </c>
      <c r="AB114" s="71">
        <v>-0.22222222222222229</v>
      </c>
      <c r="AC114" s="71">
        <v>0.16666666666666657</v>
      </c>
      <c r="AD114" s="71">
        <v>-0.22222222222222229</v>
      </c>
      <c r="AF114" s="68">
        <v>2.5714285714285716</v>
      </c>
    </row>
    <row r="115" spans="1:32">
      <c r="A115" t="s">
        <v>298</v>
      </c>
      <c r="Q115" s="71"/>
      <c r="R115" s="71"/>
      <c r="S115" s="71"/>
      <c r="T115" s="71"/>
      <c r="U115" s="71"/>
      <c r="V115" s="71"/>
      <c r="W115" s="71"/>
      <c r="X115" s="71"/>
      <c r="Y115" s="71"/>
      <c r="Z115" s="71"/>
      <c r="AA115" s="71"/>
      <c r="AB115" s="71"/>
      <c r="AC115" s="71"/>
      <c r="AD115" s="71"/>
      <c r="AF115" s="68" t="e">
        <v>#DIV/0!</v>
      </c>
    </row>
    <row r="116" spans="1:32">
      <c r="A116" t="s">
        <v>343</v>
      </c>
      <c r="B116" s="63">
        <v>2</v>
      </c>
      <c r="C116" s="63">
        <v>1</v>
      </c>
      <c r="D116" s="63">
        <v>2</v>
      </c>
      <c r="E116" s="63">
        <v>2</v>
      </c>
      <c r="F116" s="63">
        <v>3</v>
      </c>
      <c r="G116" s="63">
        <v>2</v>
      </c>
      <c r="H116" s="63">
        <v>3</v>
      </c>
      <c r="I116" s="63">
        <v>0</v>
      </c>
      <c r="J116" s="63">
        <v>2</v>
      </c>
      <c r="K116" s="63">
        <v>2</v>
      </c>
      <c r="L116" s="63">
        <v>1</v>
      </c>
      <c r="M116" s="63">
        <v>1</v>
      </c>
      <c r="N116" s="63">
        <v>1</v>
      </c>
      <c r="O116" s="63">
        <v>2</v>
      </c>
      <c r="Q116" s="71">
        <v>0.16666666666666674</v>
      </c>
      <c r="R116" s="71">
        <v>-0.41666666666666663</v>
      </c>
      <c r="S116" s="71">
        <v>0.16666666666666674</v>
      </c>
      <c r="T116" s="71">
        <v>0.16666666666666674</v>
      </c>
      <c r="U116" s="71">
        <v>0.75000000000000011</v>
      </c>
      <c r="V116" s="71">
        <v>0.16666666666666674</v>
      </c>
      <c r="W116" s="71">
        <v>0.75000000000000011</v>
      </c>
      <c r="X116" s="71">
        <v>-1</v>
      </c>
      <c r="Y116" s="71">
        <v>0.16666666666666674</v>
      </c>
      <c r="Z116" s="71">
        <v>0.16666666666666674</v>
      </c>
      <c r="AA116" s="71">
        <v>-0.41666666666666663</v>
      </c>
      <c r="AB116" s="71">
        <v>-0.41666666666666663</v>
      </c>
      <c r="AC116" s="71">
        <v>-0.41666666666666663</v>
      </c>
      <c r="AD116" s="71">
        <v>0.16666666666666674</v>
      </c>
      <c r="AF116" s="68">
        <v>1.7142857142857142</v>
      </c>
    </row>
    <row r="117" spans="1:32">
      <c r="A117" t="s">
        <v>298</v>
      </c>
      <c r="Q117" s="71"/>
      <c r="R117" s="71"/>
      <c r="S117" s="71"/>
      <c r="T117" s="71"/>
      <c r="U117" s="71"/>
      <c r="V117" s="71"/>
      <c r="W117" s="71"/>
      <c r="X117" s="71"/>
      <c r="Y117" s="71"/>
      <c r="Z117" s="71"/>
      <c r="AA117" s="71"/>
      <c r="AB117" s="71"/>
      <c r="AC117" s="71"/>
      <c r="AD117" s="71"/>
      <c r="AF117" s="68" t="e">
        <v>#DIV/0!</v>
      </c>
    </row>
    <row r="118" spans="1:32">
      <c r="A118" t="s">
        <v>344</v>
      </c>
      <c r="B118" s="63">
        <v>4</v>
      </c>
      <c r="C118" s="63">
        <v>1</v>
      </c>
      <c r="D118" s="63">
        <v>2</v>
      </c>
      <c r="E118" s="63">
        <v>2</v>
      </c>
      <c r="F118" s="63">
        <v>2</v>
      </c>
      <c r="G118" s="63">
        <v>2</v>
      </c>
      <c r="H118" s="63">
        <v>2</v>
      </c>
      <c r="I118" s="63">
        <v>0</v>
      </c>
      <c r="J118" s="63">
        <v>3</v>
      </c>
      <c r="K118" s="63">
        <v>1</v>
      </c>
      <c r="L118" s="63">
        <v>1</v>
      </c>
      <c r="M118" s="63">
        <v>1</v>
      </c>
      <c r="N118" s="63">
        <v>2</v>
      </c>
      <c r="O118" s="63">
        <v>2</v>
      </c>
      <c r="Q118" s="71">
        <v>1.24</v>
      </c>
      <c r="R118" s="71">
        <v>-0.44</v>
      </c>
      <c r="S118" s="71">
        <v>0.11999999999999994</v>
      </c>
      <c r="T118" s="71">
        <v>0.11999999999999994</v>
      </c>
      <c r="U118" s="71">
        <v>0.11999999999999994</v>
      </c>
      <c r="V118" s="71">
        <v>0.11999999999999994</v>
      </c>
      <c r="W118" s="71">
        <v>0.11999999999999994</v>
      </c>
      <c r="X118" s="71">
        <v>-1</v>
      </c>
      <c r="Y118" s="71">
        <v>0.67999999999999994</v>
      </c>
      <c r="Z118" s="71">
        <v>-0.44</v>
      </c>
      <c r="AA118" s="71">
        <v>-0.44</v>
      </c>
      <c r="AB118" s="71">
        <v>-0.44</v>
      </c>
      <c r="AC118" s="71">
        <v>0.11999999999999994</v>
      </c>
      <c r="AD118" s="71">
        <v>0.11999999999999994</v>
      </c>
      <c r="AF118" s="68">
        <v>1.7857142857142858</v>
      </c>
    </row>
    <row r="119" spans="1:32">
      <c r="A119" t="s">
        <v>298</v>
      </c>
      <c r="E119" s="63" t="s">
        <v>298</v>
      </c>
      <c r="Q119" s="71"/>
      <c r="R119" s="71"/>
      <c r="S119" s="71"/>
      <c r="T119" s="71"/>
      <c r="U119" s="71"/>
      <c r="V119" s="71"/>
      <c r="W119" s="71"/>
      <c r="X119" s="71"/>
      <c r="Y119" s="71"/>
      <c r="Z119" s="71"/>
      <c r="AA119" s="71"/>
      <c r="AB119" s="71"/>
      <c r="AC119" s="71"/>
      <c r="AD119" s="71"/>
      <c r="AF119" s="68" t="e">
        <v>#DIV/0!</v>
      </c>
    </row>
    <row r="120" spans="1:32">
      <c r="A120" t="s">
        <v>345</v>
      </c>
      <c r="B120" s="63">
        <v>4</v>
      </c>
      <c r="C120" s="63">
        <v>1</v>
      </c>
      <c r="D120" s="63">
        <v>2</v>
      </c>
      <c r="E120" s="63">
        <v>2</v>
      </c>
      <c r="F120" s="63">
        <v>2</v>
      </c>
      <c r="G120" s="63">
        <v>2</v>
      </c>
      <c r="H120" s="63">
        <v>3</v>
      </c>
      <c r="I120" s="63">
        <v>0</v>
      </c>
      <c r="J120" s="63">
        <v>2</v>
      </c>
      <c r="K120" s="63">
        <v>1</v>
      </c>
      <c r="L120" s="63">
        <v>1</v>
      </c>
      <c r="M120" s="63">
        <v>0</v>
      </c>
      <c r="N120" s="63">
        <v>2</v>
      </c>
      <c r="O120" s="63">
        <v>1</v>
      </c>
      <c r="Q120" s="71">
        <v>1.4347826086956523</v>
      </c>
      <c r="R120" s="71">
        <v>-0.39130434782608692</v>
      </c>
      <c r="S120" s="71">
        <v>0.21739130434782614</v>
      </c>
      <c r="T120" s="71">
        <v>0.21739130434782614</v>
      </c>
      <c r="U120" s="71">
        <v>0.21739130434782614</v>
      </c>
      <c r="V120" s="71">
        <v>0.21739130434782614</v>
      </c>
      <c r="W120" s="71">
        <v>0.82608695652173925</v>
      </c>
      <c r="X120" s="71">
        <v>-1</v>
      </c>
      <c r="Y120" s="71">
        <v>0.21739130434782614</v>
      </c>
      <c r="Z120" s="71">
        <v>-0.39130434782608692</v>
      </c>
      <c r="AA120" s="71">
        <v>-0.39130434782608692</v>
      </c>
      <c r="AB120" s="71">
        <v>-1</v>
      </c>
      <c r="AC120" s="71">
        <v>0.21739130434782614</v>
      </c>
      <c r="AD120" s="71">
        <v>-0.39130434782608692</v>
      </c>
      <c r="AF120" s="68">
        <v>1.6428571428571428</v>
      </c>
    </row>
    <row r="121" spans="1:32">
      <c r="A121" t="s">
        <v>298</v>
      </c>
      <c r="Q121" s="71"/>
      <c r="R121" s="71"/>
      <c r="S121" s="71"/>
      <c r="T121" s="71"/>
      <c r="U121" s="71"/>
      <c r="V121" s="71"/>
      <c r="W121" s="71"/>
      <c r="X121" s="71"/>
      <c r="Y121" s="71"/>
      <c r="Z121" s="71"/>
      <c r="AA121" s="71"/>
      <c r="AB121" s="71"/>
      <c r="AC121" s="71"/>
      <c r="AD121" s="71"/>
      <c r="AF121" s="68" t="e">
        <v>#DIV/0!</v>
      </c>
    </row>
    <row r="122" spans="1:32">
      <c r="A122" t="s">
        <v>346</v>
      </c>
      <c r="B122" s="63">
        <v>2</v>
      </c>
      <c r="C122" s="63">
        <v>1</v>
      </c>
      <c r="D122" s="63">
        <v>1</v>
      </c>
      <c r="E122" s="63">
        <v>0</v>
      </c>
      <c r="F122" s="63">
        <v>3</v>
      </c>
      <c r="G122" s="63">
        <v>1</v>
      </c>
      <c r="H122" s="63">
        <v>3</v>
      </c>
      <c r="I122" s="63">
        <v>0</v>
      </c>
      <c r="J122" s="63">
        <v>3</v>
      </c>
      <c r="K122" s="63">
        <v>1</v>
      </c>
      <c r="L122" s="63">
        <v>1</v>
      </c>
      <c r="M122" s="63">
        <v>2</v>
      </c>
      <c r="N122" s="63">
        <v>3</v>
      </c>
      <c r="O122" s="63">
        <v>2</v>
      </c>
      <c r="Q122" s="71">
        <v>0.21739130434782614</v>
      </c>
      <c r="R122" s="71">
        <v>-0.39130434782608692</v>
      </c>
      <c r="S122" s="71">
        <v>-0.39130434782608692</v>
      </c>
      <c r="T122" s="71">
        <v>-1</v>
      </c>
      <c r="U122" s="71">
        <v>0.82608695652173925</v>
      </c>
      <c r="V122" s="71">
        <v>-0.39130434782608692</v>
      </c>
      <c r="W122" s="71">
        <v>0.82608695652173925</v>
      </c>
      <c r="X122" s="71">
        <v>-1</v>
      </c>
      <c r="Y122" s="71">
        <v>0.82608695652173925</v>
      </c>
      <c r="Z122" s="71">
        <v>-0.39130434782608692</v>
      </c>
      <c r="AA122" s="71">
        <v>-0.39130434782608692</v>
      </c>
      <c r="AB122" s="71">
        <v>0.21739130434782614</v>
      </c>
      <c r="AC122" s="71">
        <v>0.82608695652173925</v>
      </c>
      <c r="AD122" s="71">
        <v>0.21739130434782614</v>
      </c>
      <c r="AF122" s="68">
        <v>1.6428571428571428</v>
      </c>
    </row>
    <row r="123" spans="1:32">
      <c r="A123" t="s">
        <v>298</v>
      </c>
      <c r="Q123" s="71"/>
      <c r="R123" s="71"/>
      <c r="S123" s="71"/>
      <c r="T123" s="71"/>
      <c r="U123" s="71"/>
      <c r="V123" s="71"/>
      <c r="W123" s="71"/>
      <c r="X123" s="71"/>
      <c r="Y123" s="71"/>
      <c r="Z123" s="71"/>
      <c r="AA123" s="71"/>
      <c r="AB123" s="71"/>
      <c r="AC123" s="71"/>
      <c r="AD123" s="71"/>
      <c r="AF123" s="68" t="e">
        <v>#DIV/0!</v>
      </c>
    </row>
    <row r="124" spans="1:32">
      <c r="A124" t="s">
        <v>347</v>
      </c>
      <c r="B124" s="63">
        <v>3</v>
      </c>
      <c r="C124" s="63">
        <v>1</v>
      </c>
      <c r="D124" s="63">
        <v>2</v>
      </c>
      <c r="E124" s="63">
        <v>0</v>
      </c>
      <c r="F124" s="63">
        <v>3</v>
      </c>
      <c r="G124" s="63">
        <v>1</v>
      </c>
      <c r="H124" s="63">
        <v>3</v>
      </c>
      <c r="I124" s="63">
        <v>0</v>
      </c>
      <c r="J124" s="63">
        <v>3</v>
      </c>
      <c r="K124" s="63">
        <v>1</v>
      </c>
      <c r="L124" s="63">
        <v>1</v>
      </c>
      <c r="M124" s="63">
        <v>1</v>
      </c>
      <c r="N124" s="63">
        <v>3</v>
      </c>
      <c r="O124" s="63">
        <v>2</v>
      </c>
      <c r="Q124" s="71">
        <v>0.75000000000000011</v>
      </c>
      <c r="R124" s="71">
        <v>-0.41666666666666663</v>
      </c>
      <c r="S124" s="71">
        <v>0.16666666666666674</v>
      </c>
      <c r="T124" s="71">
        <v>-1</v>
      </c>
      <c r="U124" s="71">
        <v>0.75000000000000011</v>
      </c>
      <c r="V124" s="71">
        <v>-0.41666666666666663</v>
      </c>
      <c r="W124" s="71">
        <v>0.75000000000000011</v>
      </c>
      <c r="X124" s="71">
        <v>-1</v>
      </c>
      <c r="Y124" s="71">
        <v>0.75000000000000011</v>
      </c>
      <c r="Z124" s="71">
        <v>-0.41666666666666663</v>
      </c>
      <c r="AA124" s="71">
        <v>-0.41666666666666663</v>
      </c>
      <c r="AB124" s="71">
        <v>-0.41666666666666663</v>
      </c>
      <c r="AC124" s="71">
        <v>0.75000000000000011</v>
      </c>
      <c r="AD124" s="71">
        <v>0.16666666666666674</v>
      </c>
      <c r="AF124" s="68">
        <v>1.7142857142857142</v>
      </c>
    </row>
    <row r="125" spans="1:32">
      <c r="A125" t="s">
        <v>298</v>
      </c>
      <c r="Q125" s="71"/>
      <c r="R125" s="71"/>
      <c r="S125" s="71"/>
      <c r="T125" s="71"/>
      <c r="U125" s="71"/>
      <c r="V125" s="71"/>
      <c r="W125" s="71"/>
      <c r="X125" s="71"/>
      <c r="Y125" s="71"/>
      <c r="Z125" s="71"/>
      <c r="AA125" s="71"/>
      <c r="AB125" s="71"/>
      <c r="AC125" s="71"/>
      <c r="AD125" s="71"/>
      <c r="AF125" s="68" t="e">
        <v>#DIV/0!</v>
      </c>
    </row>
    <row r="126" spans="1:32">
      <c r="A126" t="s">
        <v>348</v>
      </c>
      <c r="B126" s="63">
        <v>4</v>
      </c>
      <c r="C126" s="63">
        <v>3</v>
      </c>
      <c r="D126" s="63">
        <v>3</v>
      </c>
      <c r="E126" s="63">
        <v>3</v>
      </c>
      <c r="F126" s="63">
        <v>3</v>
      </c>
      <c r="G126" s="63">
        <v>2</v>
      </c>
      <c r="H126" s="63">
        <v>3</v>
      </c>
      <c r="I126" s="63">
        <v>0</v>
      </c>
      <c r="J126" s="63">
        <v>4</v>
      </c>
      <c r="K126" s="63">
        <v>4</v>
      </c>
      <c r="L126" s="63">
        <v>3</v>
      </c>
      <c r="M126" s="63">
        <v>2</v>
      </c>
      <c r="N126" s="63">
        <v>3</v>
      </c>
      <c r="O126" s="63">
        <v>3</v>
      </c>
      <c r="Q126" s="71">
        <v>0.39999999999999997</v>
      </c>
      <c r="R126" s="71">
        <v>4.9999999999999975E-2</v>
      </c>
      <c r="S126" s="71">
        <v>4.9999999999999975E-2</v>
      </c>
      <c r="T126" s="71">
        <v>4.9999999999999975E-2</v>
      </c>
      <c r="U126" s="71">
        <v>4.9999999999999975E-2</v>
      </c>
      <c r="V126" s="71">
        <v>-0.3</v>
      </c>
      <c r="W126" s="71">
        <v>4.9999999999999975E-2</v>
      </c>
      <c r="X126" s="71">
        <v>-1</v>
      </c>
      <c r="Y126" s="71">
        <v>0.39999999999999997</v>
      </c>
      <c r="Z126" s="71">
        <v>0.39999999999999997</v>
      </c>
      <c r="AA126" s="71">
        <v>4.9999999999999975E-2</v>
      </c>
      <c r="AB126" s="71">
        <v>-0.3</v>
      </c>
      <c r="AC126" s="71">
        <v>4.9999999999999975E-2</v>
      </c>
      <c r="AD126" s="71">
        <v>4.9999999999999975E-2</v>
      </c>
      <c r="AF126" s="68">
        <v>2.8571428571428572</v>
      </c>
    </row>
    <row r="127" spans="1:32">
      <c r="A127" t="s">
        <v>298</v>
      </c>
      <c r="Q127" s="71"/>
      <c r="R127" s="71"/>
      <c r="S127" s="71"/>
      <c r="T127" s="71"/>
      <c r="U127" s="71"/>
      <c r="V127" s="71"/>
      <c r="W127" s="71"/>
      <c r="X127" s="71"/>
      <c r="Y127" s="71"/>
      <c r="Z127" s="71"/>
      <c r="AA127" s="71"/>
      <c r="AB127" s="71"/>
      <c r="AC127" s="71"/>
      <c r="AD127" s="71"/>
      <c r="AF127" s="68" t="e">
        <v>#DIV/0!</v>
      </c>
    </row>
    <row r="128" spans="1:32">
      <c r="A128" t="s">
        <v>349</v>
      </c>
      <c r="B128" s="63">
        <v>2</v>
      </c>
      <c r="C128" s="63">
        <v>1</v>
      </c>
      <c r="D128" s="63">
        <v>2</v>
      </c>
      <c r="E128" s="63">
        <v>2</v>
      </c>
      <c r="F128" s="63">
        <v>2</v>
      </c>
      <c r="G128" s="63">
        <v>4</v>
      </c>
      <c r="H128" s="63">
        <v>3</v>
      </c>
      <c r="I128" s="63">
        <v>0</v>
      </c>
      <c r="J128" s="63">
        <v>2</v>
      </c>
      <c r="K128" s="63">
        <v>2</v>
      </c>
      <c r="L128" s="63">
        <v>3</v>
      </c>
      <c r="M128" s="63">
        <v>1</v>
      </c>
      <c r="N128" s="63">
        <v>2</v>
      </c>
      <c r="O128" s="63">
        <v>2</v>
      </c>
      <c r="Q128" s="71">
        <v>0</v>
      </c>
      <c r="R128" s="71">
        <v>-0.5</v>
      </c>
      <c r="S128" s="71">
        <v>0</v>
      </c>
      <c r="T128" s="71">
        <v>0</v>
      </c>
      <c r="U128" s="71">
        <v>0</v>
      </c>
      <c r="V128" s="71">
        <v>1</v>
      </c>
      <c r="W128" s="71">
        <v>0.5</v>
      </c>
      <c r="X128" s="71">
        <v>-1</v>
      </c>
      <c r="Y128" s="71">
        <v>0</v>
      </c>
      <c r="Z128" s="71">
        <v>0</v>
      </c>
      <c r="AA128" s="71">
        <v>0.5</v>
      </c>
      <c r="AB128" s="71">
        <v>-0.5</v>
      </c>
      <c r="AC128" s="71">
        <v>0</v>
      </c>
      <c r="AD128" s="71">
        <v>0</v>
      </c>
      <c r="AF128" s="68">
        <v>2</v>
      </c>
    </row>
    <row r="129" spans="1:32">
      <c r="A129" s="74" t="s">
        <v>1311</v>
      </c>
      <c r="B129" s="75">
        <v>2.8181818181818183</v>
      </c>
      <c r="C129" s="75">
        <v>1.5</v>
      </c>
      <c r="D129" s="75">
        <v>2.2727272727272729</v>
      </c>
      <c r="E129" s="75">
        <v>2</v>
      </c>
      <c r="F129" s="75">
        <v>2.2272727272727271</v>
      </c>
      <c r="G129" s="75">
        <v>2.1818181818181817</v>
      </c>
      <c r="H129" s="75">
        <v>3.0454545454545454</v>
      </c>
      <c r="I129" s="75">
        <v>0</v>
      </c>
      <c r="J129" s="75">
        <v>1.9545454545454546</v>
      </c>
      <c r="K129" s="75">
        <v>2.1363636363636362</v>
      </c>
      <c r="L129" s="75">
        <v>1.8181818181818181</v>
      </c>
      <c r="M129" s="75">
        <v>1.0909090909090908</v>
      </c>
      <c r="N129" s="75">
        <v>2.5909090909090908</v>
      </c>
      <c r="O129" s="75">
        <v>2.2272727272727271</v>
      </c>
      <c r="Q129" s="71">
        <v>0.4159869494290378</v>
      </c>
      <c r="R129" s="71">
        <v>-0.24632952691680249</v>
      </c>
      <c r="S129" s="71">
        <v>0.14192495921696602</v>
      </c>
      <c r="T129" s="71">
        <v>4.8939641109300089E-3</v>
      </c>
      <c r="U129" s="71">
        <v>0.1190864600326265</v>
      </c>
      <c r="V129" s="71">
        <v>9.6247960848287198E-2</v>
      </c>
      <c r="W129" s="71">
        <v>0.53017944535073436</v>
      </c>
      <c r="X129" s="71">
        <v>-1</v>
      </c>
      <c r="Y129" s="71">
        <v>-1.794453507340929E-2</v>
      </c>
      <c r="Z129" s="71">
        <v>7.3409461663947906E-2</v>
      </c>
      <c r="AA129" s="71">
        <v>-8.6460032626427291E-2</v>
      </c>
      <c r="AB129" s="71">
        <v>-0.45187601957585638</v>
      </c>
      <c r="AC129" s="71">
        <v>0.30179445350734113</v>
      </c>
      <c r="AD129" s="71">
        <v>0.1190864600326265</v>
      </c>
      <c r="AF129" s="68">
        <v>1.99025974025974</v>
      </c>
    </row>
    <row r="130" spans="1:32">
      <c r="A130" t="s">
        <v>298</v>
      </c>
      <c r="Q130" s="71"/>
      <c r="R130" s="71"/>
      <c r="S130" s="71"/>
      <c r="T130" s="71"/>
      <c r="U130" s="71"/>
      <c r="V130" s="71"/>
      <c r="W130" s="71"/>
      <c r="X130" s="71"/>
      <c r="Y130" s="71"/>
      <c r="Z130" s="71"/>
      <c r="AA130" s="71"/>
      <c r="AB130" s="71"/>
      <c r="AC130" s="71"/>
      <c r="AD130" s="71"/>
      <c r="AF130" s="68" t="e">
        <v>#DIV/0!</v>
      </c>
    </row>
    <row r="131" spans="1:32">
      <c r="A131" t="s">
        <v>298</v>
      </c>
      <c r="Q131" s="71"/>
      <c r="R131" s="71"/>
      <c r="S131" s="71"/>
      <c r="T131" s="71"/>
      <c r="U131" s="71"/>
      <c r="V131" s="71"/>
      <c r="W131" s="71"/>
      <c r="X131" s="71"/>
      <c r="Y131" s="71"/>
      <c r="Z131" s="71"/>
      <c r="AA131" s="71"/>
      <c r="AB131" s="71"/>
      <c r="AC131" s="71"/>
      <c r="AD131" s="71"/>
      <c r="AF131" s="68" t="e">
        <v>#DIV/0!</v>
      </c>
    </row>
    <row r="132" spans="1:32">
      <c r="A132" s="8" t="s">
        <v>11</v>
      </c>
      <c r="B132" s="59" t="s">
        <v>1241</v>
      </c>
      <c r="C132" s="59" t="s">
        <v>1242</v>
      </c>
      <c r="D132" s="59" t="s">
        <v>1243</v>
      </c>
      <c r="E132" s="59" t="s">
        <v>1244</v>
      </c>
      <c r="F132" s="59" t="s">
        <v>1245</v>
      </c>
      <c r="G132" s="59" t="s">
        <v>1246</v>
      </c>
      <c r="H132" s="59" t="s">
        <v>1247</v>
      </c>
      <c r="I132" s="59" t="s">
        <v>1248</v>
      </c>
      <c r="J132" s="59" t="s">
        <v>1249</v>
      </c>
      <c r="K132" s="59" t="s">
        <v>1250</v>
      </c>
      <c r="L132" s="59" t="s">
        <v>1251</v>
      </c>
      <c r="M132" s="59" t="s">
        <v>1303</v>
      </c>
      <c r="N132" s="59" t="s">
        <v>1304</v>
      </c>
      <c r="O132" s="59" t="s">
        <v>1305</v>
      </c>
      <c r="Q132" s="71"/>
      <c r="R132" s="71"/>
      <c r="S132" s="71"/>
      <c r="T132" s="71"/>
      <c r="U132" s="71"/>
      <c r="V132" s="71"/>
      <c r="W132" s="71"/>
      <c r="X132" s="71"/>
      <c r="Y132" s="71"/>
      <c r="Z132" s="71"/>
      <c r="AA132" s="71"/>
      <c r="AB132" s="71"/>
      <c r="AC132" s="71"/>
      <c r="AD132" s="71"/>
      <c r="AF132" s="68" t="e">
        <v>#DIV/0!</v>
      </c>
    </row>
    <row r="133" spans="1:32">
      <c r="A133" t="s">
        <v>298</v>
      </c>
      <c r="Q133" s="71"/>
      <c r="R133" s="71"/>
      <c r="S133" s="71"/>
      <c r="T133" s="71"/>
      <c r="U133" s="71"/>
      <c r="V133" s="71"/>
      <c r="W133" s="71"/>
      <c r="X133" s="71"/>
      <c r="Y133" s="71"/>
      <c r="Z133" s="71"/>
      <c r="AA133" s="71"/>
      <c r="AB133" s="71"/>
      <c r="AC133" s="71"/>
      <c r="AD133" s="71"/>
      <c r="AF133" s="68" t="e">
        <v>#DIV/0!</v>
      </c>
    </row>
    <row r="134" spans="1:32">
      <c r="A134" t="s">
        <v>350</v>
      </c>
      <c r="B134" s="63">
        <v>4</v>
      </c>
      <c r="C134" s="63">
        <v>3</v>
      </c>
      <c r="D134" s="63">
        <v>3</v>
      </c>
      <c r="E134" s="63">
        <v>3</v>
      </c>
      <c r="F134" s="63">
        <v>3</v>
      </c>
      <c r="G134" s="63">
        <v>2</v>
      </c>
      <c r="H134" s="63">
        <v>3</v>
      </c>
      <c r="I134" s="63">
        <v>0</v>
      </c>
      <c r="J134" s="63">
        <v>3</v>
      </c>
      <c r="K134" s="63">
        <v>3</v>
      </c>
      <c r="L134" s="63">
        <v>4</v>
      </c>
      <c r="M134" s="63">
        <v>2</v>
      </c>
      <c r="N134" s="63">
        <v>3</v>
      </c>
      <c r="O134" s="63">
        <v>3</v>
      </c>
      <c r="Q134" s="71">
        <v>0.43589743589743596</v>
      </c>
      <c r="R134" s="71">
        <v>7.6923076923076969E-2</v>
      </c>
      <c r="S134" s="71">
        <v>7.6923076923076969E-2</v>
      </c>
      <c r="T134" s="71">
        <v>7.6923076923076969E-2</v>
      </c>
      <c r="U134" s="71">
        <v>7.6923076923076969E-2</v>
      </c>
      <c r="V134" s="71">
        <v>-0.28205128205128199</v>
      </c>
      <c r="W134" s="71">
        <v>7.6923076923076969E-2</v>
      </c>
      <c r="X134" s="71">
        <v>-1</v>
      </c>
      <c r="Y134" s="71">
        <v>7.6923076923076969E-2</v>
      </c>
      <c r="Z134" s="71">
        <v>7.6923076923076969E-2</v>
      </c>
      <c r="AA134" s="71">
        <v>0.43589743589743596</v>
      </c>
      <c r="AB134" s="71">
        <v>-0.28205128205128199</v>
      </c>
      <c r="AC134" s="71">
        <v>7.6923076923076969E-2</v>
      </c>
      <c r="AD134" s="71">
        <v>7.6923076923076969E-2</v>
      </c>
      <c r="AF134" s="68">
        <v>2.7857142857142856</v>
      </c>
    </row>
    <row r="135" spans="1:32">
      <c r="A135" t="s">
        <v>298</v>
      </c>
      <c r="Q135" s="71"/>
      <c r="R135" s="71"/>
      <c r="S135" s="71"/>
      <c r="T135" s="71"/>
      <c r="U135" s="71"/>
      <c r="V135" s="71"/>
      <c r="W135" s="71"/>
      <c r="X135" s="71"/>
      <c r="Y135" s="71"/>
      <c r="Z135" s="71"/>
      <c r="AA135" s="71"/>
      <c r="AB135" s="71"/>
      <c r="AC135" s="71"/>
      <c r="AD135" s="71"/>
      <c r="AF135" s="68" t="e">
        <v>#DIV/0!</v>
      </c>
    </row>
    <row r="136" spans="1:32">
      <c r="A136" t="s">
        <v>351</v>
      </c>
      <c r="B136" s="63">
        <v>3</v>
      </c>
      <c r="C136" s="63">
        <v>4</v>
      </c>
      <c r="D136" s="63">
        <v>3</v>
      </c>
      <c r="E136" s="63">
        <v>3</v>
      </c>
      <c r="F136" s="63">
        <v>4</v>
      </c>
      <c r="G136" s="63">
        <v>3</v>
      </c>
      <c r="H136" s="63">
        <v>3</v>
      </c>
      <c r="I136" s="63">
        <v>3</v>
      </c>
      <c r="J136" s="63">
        <v>4</v>
      </c>
      <c r="K136" s="63">
        <v>3</v>
      </c>
      <c r="L136" s="63">
        <v>4</v>
      </c>
      <c r="M136" s="63">
        <v>2</v>
      </c>
      <c r="N136" s="63">
        <v>3</v>
      </c>
      <c r="O136" s="63">
        <v>3</v>
      </c>
      <c r="Q136" s="71">
        <v>-6.6666666666666707E-2</v>
      </c>
      <c r="R136" s="71">
        <v>0.24444444444444441</v>
      </c>
      <c r="S136" s="71">
        <v>-6.6666666666666707E-2</v>
      </c>
      <c r="T136" s="71">
        <v>-6.6666666666666707E-2</v>
      </c>
      <c r="U136" s="71">
        <v>0.24444444444444441</v>
      </c>
      <c r="V136" s="71">
        <v>-6.6666666666666707E-2</v>
      </c>
      <c r="W136" s="71">
        <v>-6.6666666666666707E-2</v>
      </c>
      <c r="X136" s="71">
        <v>-6.6666666666666707E-2</v>
      </c>
      <c r="Y136" s="71">
        <v>0.24444444444444441</v>
      </c>
      <c r="Z136" s="71">
        <v>-6.6666666666666707E-2</v>
      </c>
      <c r="AA136" s="71">
        <v>0.24444444444444441</v>
      </c>
      <c r="AB136" s="71">
        <v>-0.37777777777777782</v>
      </c>
      <c r="AC136" s="71">
        <v>-6.6666666666666707E-2</v>
      </c>
      <c r="AD136" s="71">
        <v>-6.6666666666666707E-2</v>
      </c>
      <c r="AF136" s="68">
        <v>3.2142857142857144</v>
      </c>
    </row>
    <row r="137" spans="1:32">
      <c r="A137" t="s">
        <v>298</v>
      </c>
      <c r="Q137" s="71"/>
      <c r="R137" s="71"/>
      <c r="S137" s="71"/>
      <c r="T137" s="71"/>
      <c r="U137" s="71"/>
      <c r="V137" s="71"/>
      <c r="W137" s="71"/>
      <c r="X137" s="71"/>
      <c r="Y137" s="71"/>
      <c r="Z137" s="71"/>
      <c r="AA137" s="71"/>
      <c r="AB137" s="71"/>
      <c r="AC137" s="71"/>
      <c r="AD137" s="71"/>
      <c r="AF137" s="68" t="e">
        <v>#DIV/0!</v>
      </c>
    </row>
    <row r="138" spans="1:32">
      <c r="A138" t="s">
        <v>47</v>
      </c>
      <c r="B138" s="63">
        <v>4</v>
      </c>
      <c r="C138" s="63">
        <v>2</v>
      </c>
      <c r="D138" s="63">
        <v>0</v>
      </c>
      <c r="E138" s="63">
        <v>4</v>
      </c>
      <c r="F138" s="63">
        <v>0</v>
      </c>
      <c r="G138" s="63">
        <v>2</v>
      </c>
      <c r="H138" s="63">
        <v>0</v>
      </c>
      <c r="I138" s="63">
        <v>0</v>
      </c>
      <c r="J138" s="63">
        <v>0</v>
      </c>
      <c r="K138" s="63">
        <v>0</v>
      </c>
      <c r="L138" s="63">
        <v>4</v>
      </c>
      <c r="M138" s="63">
        <v>3</v>
      </c>
      <c r="N138" s="63">
        <v>2</v>
      </c>
      <c r="O138" s="63">
        <v>4</v>
      </c>
      <c r="Q138" s="71">
        <v>1.24</v>
      </c>
      <c r="R138" s="71">
        <v>0.11999999999999994</v>
      </c>
      <c r="S138" s="71">
        <v>-1</v>
      </c>
      <c r="T138" s="71">
        <v>1.24</v>
      </c>
      <c r="U138" s="71">
        <v>-1</v>
      </c>
      <c r="V138" s="71">
        <v>0.11999999999999994</v>
      </c>
      <c r="W138" s="71">
        <v>-1</v>
      </c>
      <c r="X138" s="71">
        <v>-1</v>
      </c>
      <c r="Y138" s="71">
        <v>-1</v>
      </c>
      <c r="Z138" s="71">
        <v>-1</v>
      </c>
      <c r="AA138" s="71">
        <v>1.24</v>
      </c>
      <c r="AB138" s="71">
        <v>0.67999999999999994</v>
      </c>
      <c r="AC138" s="71">
        <v>0.11999999999999994</v>
      </c>
      <c r="AD138" s="71">
        <v>1.24</v>
      </c>
      <c r="AF138" s="68">
        <v>1.7857142857142858</v>
      </c>
    </row>
    <row r="139" spans="1:32">
      <c r="A139" t="s">
        <v>298</v>
      </c>
      <c r="Q139" s="71"/>
      <c r="R139" s="71"/>
      <c r="S139" s="71"/>
      <c r="T139" s="71"/>
      <c r="U139" s="71"/>
      <c r="V139" s="71"/>
      <c r="W139" s="71"/>
      <c r="X139" s="71"/>
      <c r="Y139" s="71"/>
      <c r="Z139" s="71"/>
      <c r="AA139" s="71"/>
      <c r="AB139" s="71"/>
      <c r="AC139" s="71"/>
      <c r="AD139" s="71"/>
      <c r="AF139" s="68" t="e">
        <v>#DIV/0!</v>
      </c>
    </row>
    <row r="140" spans="1:32">
      <c r="A140" t="s">
        <v>352</v>
      </c>
      <c r="B140" s="63">
        <v>2</v>
      </c>
      <c r="C140" s="63">
        <v>1</v>
      </c>
      <c r="D140" s="63">
        <v>3</v>
      </c>
      <c r="E140" s="63">
        <v>1</v>
      </c>
      <c r="F140" s="63">
        <v>0</v>
      </c>
      <c r="G140" s="63">
        <v>4</v>
      </c>
      <c r="H140" s="63">
        <v>0</v>
      </c>
      <c r="I140" s="63">
        <v>0</v>
      </c>
      <c r="J140" s="63">
        <v>3</v>
      </c>
      <c r="K140" s="63">
        <v>3</v>
      </c>
      <c r="L140" s="63">
        <v>3</v>
      </c>
      <c r="M140" s="63">
        <v>2</v>
      </c>
      <c r="N140" s="63">
        <v>2</v>
      </c>
      <c r="O140" s="63">
        <v>0</v>
      </c>
      <c r="Q140" s="71">
        <v>0.16666666666666674</v>
      </c>
      <c r="R140" s="71">
        <v>-0.41666666666666663</v>
      </c>
      <c r="S140" s="71">
        <v>0.75000000000000011</v>
      </c>
      <c r="T140" s="71">
        <v>-0.41666666666666663</v>
      </c>
      <c r="U140" s="71">
        <v>-1</v>
      </c>
      <c r="V140" s="71">
        <v>1.3333333333333333</v>
      </c>
      <c r="W140" s="71">
        <v>-1</v>
      </c>
      <c r="X140" s="71">
        <v>-1</v>
      </c>
      <c r="Y140" s="71">
        <v>0.75000000000000011</v>
      </c>
      <c r="Z140" s="71">
        <v>0.75000000000000011</v>
      </c>
      <c r="AA140" s="71">
        <v>0.75000000000000011</v>
      </c>
      <c r="AB140" s="71">
        <v>0.16666666666666674</v>
      </c>
      <c r="AC140" s="71">
        <v>0.16666666666666674</v>
      </c>
      <c r="AD140" s="71">
        <v>-1</v>
      </c>
      <c r="AF140" s="68">
        <v>1.7142857142857142</v>
      </c>
    </row>
    <row r="141" spans="1:32">
      <c r="A141" t="s">
        <v>298</v>
      </c>
      <c r="Q141" s="71"/>
      <c r="R141" s="71"/>
      <c r="S141" s="71"/>
      <c r="T141" s="71"/>
      <c r="U141" s="71"/>
      <c r="V141" s="71"/>
      <c r="W141" s="71"/>
      <c r="X141" s="71"/>
      <c r="Y141" s="71"/>
      <c r="Z141" s="71"/>
      <c r="AA141" s="71"/>
      <c r="AB141" s="71"/>
      <c r="AC141" s="71"/>
      <c r="AD141" s="71"/>
      <c r="AF141" s="68" t="e">
        <v>#DIV/0!</v>
      </c>
    </row>
    <row r="142" spans="1:32">
      <c r="A142" t="s">
        <v>353</v>
      </c>
      <c r="B142" s="63">
        <v>2</v>
      </c>
      <c r="C142" s="63">
        <v>2</v>
      </c>
      <c r="D142" s="63">
        <v>2</v>
      </c>
      <c r="E142" s="63">
        <v>2</v>
      </c>
      <c r="F142" s="63">
        <v>3</v>
      </c>
      <c r="G142" s="63">
        <v>3</v>
      </c>
      <c r="H142" s="63">
        <v>3</v>
      </c>
      <c r="I142" s="63">
        <v>3</v>
      </c>
      <c r="J142" s="63">
        <v>3</v>
      </c>
      <c r="K142" s="63">
        <v>2</v>
      </c>
      <c r="L142" s="63">
        <v>4</v>
      </c>
      <c r="M142" s="63">
        <v>3</v>
      </c>
      <c r="N142" s="63">
        <v>3</v>
      </c>
      <c r="O142" s="63">
        <v>3</v>
      </c>
      <c r="Q142" s="71">
        <v>-0.26315789473684215</v>
      </c>
      <c r="R142" s="71">
        <v>-0.26315789473684215</v>
      </c>
      <c r="S142" s="71">
        <v>-0.26315789473684215</v>
      </c>
      <c r="T142" s="71">
        <v>-0.26315789473684215</v>
      </c>
      <c r="U142" s="71">
        <v>0.10526315789473679</v>
      </c>
      <c r="V142" s="71">
        <v>0.10526315789473679</v>
      </c>
      <c r="W142" s="71">
        <v>0.10526315789473679</v>
      </c>
      <c r="X142" s="71">
        <v>0.10526315789473679</v>
      </c>
      <c r="Y142" s="71">
        <v>0.10526315789473679</v>
      </c>
      <c r="Z142" s="71">
        <v>-0.26315789473684215</v>
      </c>
      <c r="AA142" s="71">
        <v>0.47368421052631571</v>
      </c>
      <c r="AB142" s="71">
        <v>0.10526315789473679</v>
      </c>
      <c r="AC142" s="71">
        <v>0.10526315789473679</v>
      </c>
      <c r="AD142" s="71">
        <v>0.10526315789473679</v>
      </c>
      <c r="AF142" s="68">
        <v>2.7142857142857144</v>
      </c>
    </row>
    <row r="143" spans="1:32">
      <c r="A143" t="s">
        <v>298</v>
      </c>
      <c r="Q143" s="71"/>
      <c r="R143" s="71"/>
      <c r="S143" s="71"/>
      <c r="T143" s="71"/>
      <c r="U143" s="71"/>
      <c r="V143" s="71"/>
      <c r="W143" s="71"/>
      <c r="X143" s="71"/>
      <c r="Y143" s="71"/>
      <c r="Z143" s="71"/>
      <c r="AA143" s="71"/>
      <c r="AB143" s="71"/>
      <c r="AC143" s="71"/>
      <c r="AD143" s="71"/>
      <c r="AF143" s="68" t="e">
        <v>#DIV/0!</v>
      </c>
    </row>
    <row r="144" spans="1:32">
      <c r="A144" t="s">
        <v>354</v>
      </c>
      <c r="B144" s="63">
        <v>0</v>
      </c>
      <c r="C144" s="63">
        <v>0</v>
      </c>
      <c r="D144" s="63">
        <v>0</v>
      </c>
      <c r="E144" s="63">
        <v>0</v>
      </c>
      <c r="F144" s="63">
        <v>0</v>
      </c>
      <c r="G144" s="63">
        <v>2</v>
      </c>
      <c r="H144" s="63">
        <v>0</v>
      </c>
      <c r="I144" s="63">
        <v>0</v>
      </c>
      <c r="J144" s="63">
        <v>0</v>
      </c>
      <c r="K144" s="63">
        <v>0</v>
      </c>
      <c r="L144" s="63">
        <v>0</v>
      </c>
      <c r="M144" s="63">
        <v>0</v>
      </c>
      <c r="N144" s="63">
        <v>0</v>
      </c>
      <c r="O144" s="63">
        <v>0</v>
      </c>
      <c r="Q144" s="71">
        <v>-1</v>
      </c>
      <c r="R144" s="71">
        <v>-1</v>
      </c>
      <c r="S144" s="71">
        <v>-1</v>
      </c>
      <c r="T144" s="71">
        <v>-1</v>
      </c>
      <c r="U144" s="71">
        <v>-1</v>
      </c>
      <c r="V144" s="71">
        <v>13.000000000000002</v>
      </c>
      <c r="W144" s="71">
        <v>-1</v>
      </c>
      <c r="X144" s="71">
        <v>-1</v>
      </c>
      <c r="Y144" s="71">
        <v>-1</v>
      </c>
      <c r="Z144" s="71">
        <v>-1</v>
      </c>
      <c r="AA144" s="71">
        <v>-1</v>
      </c>
      <c r="AB144" s="71">
        <v>-1</v>
      </c>
      <c r="AC144" s="71">
        <v>-1</v>
      </c>
      <c r="AD144" s="71">
        <v>-1</v>
      </c>
      <c r="AF144" s="68">
        <v>0.14285714285714285</v>
      </c>
    </row>
    <row r="145" spans="1:32">
      <c r="A145" t="s">
        <v>298</v>
      </c>
      <c r="Q145" s="71"/>
      <c r="R145" s="71"/>
      <c r="S145" s="71"/>
      <c r="T145" s="71"/>
      <c r="U145" s="71"/>
      <c r="V145" s="71"/>
      <c r="W145" s="71"/>
      <c r="X145" s="71"/>
      <c r="Y145" s="71"/>
      <c r="Z145" s="71"/>
      <c r="AA145" s="71"/>
      <c r="AB145" s="71"/>
      <c r="AC145" s="71"/>
      <c r="AD145" s="71"/>
      <c r="AF145" s="68" t="e">
        <v>#DIV/0!</v>
      </c>
    </row>
    <row r="146" spans="1:32">
      <c r="A146" t="s">
        <v>355</v>
      </c>
      <c r="B146" s="63">
        <v>2</v>
      </c>
      <c r="C146" s="63">
        <v>2</v>
      </c>
      <c r="D146" s="63">
        <v>3</v>
      </c>
      <c r="E146" s="63">
        <v>3</v>
      </c>
      <c r="F146" s="63">
        <v>3</v>
      </c>
      <c r="G146" s="63">
        <v>3</v>
      </c>
      <c r="H146" s="63">
        <v>2</v>
      </c>
      <c r="I146" s="63">
        <v>3</v>
      </c>
      <c r="J146" s="63">
        <v>3</v>
      </c>
      <c r="K146" s="63">
        <v>3</v>
      </c>
      <c r="L146" s="63">
        <v>4</v>
      </c>
      <c r="M146" s="63">
        <v>0</v>
      </c>
      <c r="N146" s="63">
        <v>5</v>
      </c>
      <c r="O146" s="63">
        <v>2</v>
      </c>
      <c r="Q146" s="71">
        <v>-0.26315789473684215</v>
      </c>
      <c r="R146" s="71">
        <v>-0.26315789473684215</v>
      </c>
      <c r="S146" s="71">
        <v>0.10526315789473679</v>
      </c>
      <c r="T146" s="71">
        <v>0.10526315789473679</v>
      </c>
      <c r="U146" s="71">
        <v>0.10526315789473679</v>
      </c>
      <c r="V146" s="71">
        <v>0.10526315789473679</v>
      </c>
      <c r="W146" s="71">
        <v>-0.26315789473684215</v>
      </c>
      <c r="X146" s="71">
        <v>0.10526315789473679</v>
      </c>
      <c r="Y146" s="71">
        <v>0.10526315789473679</v>
      </c>
      <c r="Z146" s="71">
        <v>0.10526315789473679</v>
      </c>
      <c r="AA146" s="71">
        <v>0.47368421052631571</v>
      </c>
      <c r="AB146" s="71">
        <v>-1</v>
      </c>
      <c r="AC146" s="71">
        <v>0.84210526315789469</v>
      </c>
      <c r="AD146" s="71">
        <v>-0.26315789473684215</v>
      </c>
      <c r="AF146" s="68">
        <v>2.7142857142857144</v>
      </c>
    </row>
    <row r="147" spans="1:32">
      <c r="A147" t="s">
        <v>298</v>
      </c>
      <c r="Q147" s="71"/>
      <c r="R147" s="71"/>
      <c r="S147" s="71"/>
      <c r="T147" s="71"/>
      <c r="U147" s="71"/>
      <c r="V147" s="71"/>
      <c r="W147" s="71"/>
      <c r="X147" s="71"/>
      <c r="Y147" s="71"/>
      <c r="Z147" s="71"/>
      <c r="AA147" s="71"/>
      <c r="AB147" s="71"/>
      <c r="AC147" s="71"/>
      <c r="AD147" s="71"/>
      <c r="AF147" s="68" t="e">
        <v>#DIV/0!</v>
      </c>
    </row>
    <row r="148" spans="1:32">
      <c r="A148" t="s">
        <v>356</v>
      </c>
      <c r="B148" s="63">
        <v>1</v>
      </c>
      <c r="C148" s="63">
        <v>1</v>
      </c>
      <c r="D148" s="63">
        <v>1</v>
      </c>
      <c r="E148" s="63">
        <v>1</v>
      </c>
      <c r="F148" s="63">
        <v>1</v>
      </c>
      <c r="G148" s="63">
        <v>1</v>
      </c>
      <c r="H148" s="63">
        <v>1</v>
      </c>
      <c r="I148" s="63">
        <v>2</v>
      </c>
      <c r="J148" s="63">
        <v>2</v>
      </c>
      <c r="K148" s="63">
        <v>2</v>
      </c>
      <c r="L148" s="63">
        <v>4</v>
      </c>
      <c r="M148" s="63">
        <v>3</v>
      </c>
      <c r="N148" s="63">
        <v>3</v>
      </c>
      <c r="O148" s="63">
        <v>0</v>
      </c>
      <c r="Q148" s="71">
        <v>-0.39130434782608692</v>
      </c>
      <c r="R148" s="71">
        <v>-0.39130434782608692</v>
      </c>
      <c r="S148" s="71">
        <v>-0.39130434782608692</v>
      </c>
      <c r="T148" s="71">
        <v>-0.39130434782608692</v>
      </c>
      <c r="U148" s="71">
        <v>-0.39130434782608692</v>
      </c>
      <c r="V148" s="71">
        <v>-0.39130434782608692</v>
      </c>
      <c r="W148" s="71">
        <v>-0.39130434782608692</v>
      </c>
      <c r="X148" s="71">
        <v>0.21739130434782614</v>
      </c>
      <c r="Y148" s="71">
        <v>0.21739130434782614</v>
      </c>
      <c r="Z148" s="71">
        <v>0.21739130434782614</v>
      </c>
      <c r="AA148" s="71">
        <v>1.4347826086956523</v>
      </c>
      <c r="AB148" s="71">
        <v>0.82608695652173925</v>
      </c>
      <c r="AC148" s="71">
        <v>0.82608695652173925</v>
      </c>
      <c r="AD148" s="71">
        <v>-1</v>
      </c>
      <c r="AF148" s="68">
        <v>1.6428571428571428</v>
      </c>
    </row>
    <row r="149" spans="1:32">
      <c r="A149" t="s">
        <v>298</v>
      </c>
      <c r="I149" s="63" t="s">
        <v>298</v>
      </c>
      <c r="Q149" s="71"/>
      <c r="R149" s="71"/>
      <c r="S149" s="71"/>
      <c r="T149" s="71"/>
      <c r="U149" s="71"/>
      <c r="V149" s="71"/>
      <c r="W149" s="71"/>
      <c r="X149" s="71"/>
      <c r="Y149" s="71"/>
      <c r="Z149" s="71"/>
      <c r="AA149" s="71"/>
      <c r="AB149" s="71"/>
      <c r="AC149" s="71"/>
      <c r="AD149" s="71"/>
      <c r="AF149" s="68" t="e">
        <v>#DIV/0!</v>
      </c>
    </row>
    <row r="150" spans="1:32">
      <c r="A150" t="s">
        <v>357</v>
      </c>
      <c r="B150" s="63">
        <v>0</v>
      </c>
      <c r="C150" s="63">
        <v>3</v>
      </c>
      <c r="D150" s="63">
        <v>1</v>
      </c>
      <c r="E150" s="63">
        <v>3</v>
      </c>
      <c r="F150" s="63">
        <v>1</v>
      </c>
      <c r="G150" s="63">
        <v>3</v>
      </c>
      <c r="H150" s="63">
        <v>0</v>
      </c>
      <c r="I150" s="63">
        <v>0</v>
      </c>
      <c r="J150" s="63">
        <v>0</v>
      </c>
      <c r="K150" s="63">
        <v>3</v>
      </c>
      <c r="L150" s="63">
        <v>4</v>
      </c>
      <c r="M150" s="63">
        <v>0</v>
      </c>
      <c r="N150" s="63">
        <v>2</v>
      </c>
      <c r="O150" s="63">
        <v>3</v>
      </c>
      <c r="Q150" s="71">
        <v>-1</v>
      </c>
      <c r="R150" s="71">
        <v>0.82608695652173925</v>
      </c>
      <c r="S150" s="71">
        <v>-0.39130434782608692</v>
      </c>
      <c r="T150" s="71">
        <v>0.82608695652173925</v>
      </c>
      <c r="U150" s="71">
        <v>-0.39130434782608692</v>
      </c>
      <c r="V150" s="71">
        <v>0.82608695652173925</v>
      </c>
      <c r="W150" s="71">
        <v>-1</v>
      </c>
      <c r="X150" s="71">
        <v>-1</v>
      </c>
      <c r="Y150" s="71">
        <v>-1</v>
      </c>
      <c r="Z150" s="71">
        <v>0.82608695652173925</v>
      </c>
      <c r="AA150" s="71">
        <v>1.4347826086956523</v>
      </c>
      <c r="AB150" s="71">
        <v>-1</v>
      </c>
      <c r="AC150" s="71">
        <v>0.21739130434782614</v>
      </c>
      <c r="AD150" s="71">
        <v>0.82608695652173925</v>
      </c>
      <c r="AF150" s="68">
        <v>1.6428571428571428</v>
      </c>
    </row>
    <row r="151" spans="1:32">
      <c r="A151" t="s">
        <v>298</v>
      </c>
      <c r="I151" s="63" t="s">
        <v>298</v>
      </c>
      <c r="Q151" s="71"/>
      <c r="R151" s="71"/>
      <c r="S151" s="71"/>
      <c r="T151" s="71"/>
      <c r="U151" s="71"/>
      <c r="V151" s="71"/>
      <c r="W151" s="71"/>
      <c r="X151" s="71"/>
      <c r="Y151" s="71"/>
      <c r="Z151" s="71"/>
      <c r="AA151" s="71"/>
      <c r="AB151" s="71"/>
      <c r="AC151" s="71"/>
      <c r="AD151" s="71"/>
      <c r="AF151" s="68" t="e">
        <v>#DIV/0!</v>
      </c>
    </row>
    <row r="152" spans="1:32">
      <c r="A152" t="s">
        <v>112</v>
      </c>
      <c r="B152" s="63">
        <v>0</v>
      </c>
      <c r="C152" s="63">
        <v>0</v>
      </c>
      <c r="D152" s="63">
        <v>0</v>
      </c>
      <c r="E152" s="63">
        <v>0</v>
      </c>
      <c r="F152" s="63">
        <v>1</v>
      </c>
      <c r="G152" s="63">
        <v>0</v>
      </c>
      <c r="H152" s="63">
        <v>0</v>
      </c>
      <c r="I152" s="63">
        <v>1</v>
      </c>
      <c r="J152" s="63">
        <v>0</v>
      </c>
      <c r="K152" s="63">
        <v>2</v>
      </c>
      <c r="L152" s="63">
        <v>0</v>
      </c>
      <c r="M152" s="63">
        <v>1</v>
      </c>
      <c r="N152" s="63">
        <v>0</v>
      </c>
      <c r="O152" s="63">
        <v>0</v>
      </c>
      <c r="Q152" s="71">
        <v>-1</v>
      </c>
      <c r="R152" s="71">
        <v>-1</v>
      </c>
      <c r="S152" s="71">
        <v>-1</v>
      </c>
      <c r="T152" s="71">
        <v>-1</v>
      </c>
      <c r="U152" s="71">
        <v>1.7999999999999998</v>
      </c>
      <c r="V152" s="71">
        <v>-1</v>
      </c>
      <c r="W152" s="71">
        <v>-1</v>
      </c>
      <c r="X152" s="71">
        <v>1.7999999999999998</v>
      </c>
      <c r="Y152" s="71">
        <v>-1</v>
      </c>
      <c r="Z152" s="71">
        <v>4.5999999999999996</v>
      </c>
      <c r="AA152" s="71">
        <v>-1</v>
      </c>
      <c r="AB152" s="71">
        <v>1.7999999999999998</v>
      </c>
      <c r="AC152" s="71">
        <v>-1</v>
      </c>
      <c r="AD152" s="71">
        <v>-1</v>
      </c>
      <c r="AF152" s="68">
        <v>0.35714285714285715</v>
      </c>
    </row>
    <row r="153" spans="1:32">
      <c r="A153" t="s">
        <v>298</v>
      </c>
      <c r="Q153" s="71"/>
      <c r="R153" s="71"/>
      <c r="S153" s="71"/>
      <c r="T153" s="71"/>
      <c r="U153" s="71"/>
      <c r="V153" s="71"/>
      <c r="W153" s="71"/>
      <c r="X153" s="71"/>
      <c r="Y153" s="71"/>
      <c r="Z153" s="71"/>
      <c r="AA153" s="71"/>
      <c r="AB153" s="71"/>
      <c r="AC153" s="71"/>
      <c r="AD153" s="71"/>
      <c r="AF153" s="68" t="e">
        <v>#DIV/0!</v>
      </c>
    </row>
    <row r="154" spans="1:32">
      <c r="A154" t="s">
        <v>114</v>
      </c>
      <c r="B154" s="63">
        <v>4</v>
      </c>
      <c r="C154" s="63">
        <v>1</v>
      </c>
      <c r="D154" s="63">
        <v>2</v>
      </c>
      <c r="E154" s="63">
        <v>4</v>
      </c>
      <c r="F154" s="63">
        <v>3</v>
      </c>
      <c r="G154" s="63">
        <v>3</v>
      </c>
      <c r="H154" s="63">
        <v>3</v>
      </c>
      <c r="I154" s="63">
        <v>3</v>
      </c>
      <c r="J154" s="63">
        <v>3</v>
      </c>
      <c r="K154" s="63">
        <v>3</v>
      </c>
      <c r="L154" s="63">
        <v>4</v>
      </c>
      <c r="M154" s="63">
        <v>3</v>
      </c>
      <c r="N154" s="63">
        <v>3</v>
      </c>
      <c r="O154" s="63">
        <v>3</v>
      </c>
      <c r="Q154" s="71">
        <v>0.33333333333333331</v>
      </c>
      <c r="R154" s="71">
        <v>-0.66666666666666663</v>
      </c>
      <c r="S154" s="71">
        <v>-0.33333333333333331</v>
      </c>
      <c r="T154" s="71">
        <v>0.33333333333333331</v>
      </c>
      <c r="U154" s="71">
        <v>0</v>
      </c>
      <c r="V154" s="71">
        <v>0</v>
      </c>
      <c r="W154" s="71">
        <v>0</v>
      </c>
      <c r="X154" s="71">
        <v>0</v>
      </c>
      <c r="Y154" s="71">
        <v>0</v>
      </c>
      <c r="Z154" s="71">
        <v>0</v>
      </c>
      <c r="AA154" s="71">
        <v>0.33333333333333331</v>
      </c>
      <c r="AB154" s="71">
        <v>0</v>
      </c>
      <c r="AC154" s="71">
        <v>0</v>
      </c>
      <c r="AD154" s="71">
        <v>0</v>
      </c>
      <c r="AF154" s="68">
        <v>3</v>
      </c>
    </row>
    <row r="155" spans="1:32">
      <c r="A155" t="s">
        <v>298</v>
      </c>
      <c r="E155" s="63" t="s">
        <v>298</v>
      </c>
      <c r="Q155" s="71"/>
      <c r="R155" s="71"/>
      <c r="S155" s="71"/>
      <c r="T155" s="71"/>
      <c r="U155" s="71"/>
      <c r="V155" s="71"/>
      <c r="W155" s="71"/>
      <c r="X155" s="71"/>
      <c r="Y155" s="71"/>
      <c r="Z155" s="71"/>
      <c r="AA155" s="71"/>
      <c r="AB155" s="71"/>
      <c r="AC155" s="71"/>
      <c r="AD155" s="71"/>
      <c r="AF155" s="68" t="e">
        <v>#DIV/0!</v>
      </c>
    </row>
    <row r="156" spans="1:32">
      <c r="A156" t="s">
        <v>115</v>
      </c>
      <c r="B156" s="63">
        <v>3</v>
      </c>
      <c r="C156" s="63">
        <v>3</v>
      </c>
      <c r="D156" s="63">
        <v>2</v>
      </c>
      <c r="E156" s="63">
        <v>3</v>
      </c>
      <c r="F156" s="63">
        <v>3</v>
      </c>
      <c r="G156" s="63">
        <v>3</v>
      </c>
      <c r="H156" s="63">
        <v>3</v>
      </c>
      <c r="I156" s="63">
        <v>3</v>
      </c>
      <c r="J156" s="63" t="s">
        <v>298</v>
      </c>
      <c r="K156" s="63">
        <v>3</v>
      </c>
      <c r="L156" s="63">
        <v>3</v>
      </c>
      <c r="M156" s="63" t="s">
        <v>298</v>
      </c>
      <c r="N156" s="63">
        <v>0</v>
      </c>
      <c r="O156" s="63">
        <v>2</v>
      </c>
      <c r="Q156" s="71">
        <v>0.1612903225806451</v>
      </c>
      <c r="R156" s="71">
        <v>0.1612903225806451</v>
      </c>
      <c r="S156" s="71">
        <v>-0.22580645161290328</v>
      </c>
      <c r="T156" s="71">
        <v>0.1612903225806451</v>
      </c>
      <c r="U156" s="71">
        <v>0.1612903225806451</v>
      </c>
      <c r="V156" s="71">
        <v>0.1612903225806451</v>
      </c>
      <c r="W156" s="71">
        <v>0.1612903225806451</v>
      </c>
      <c r="X156" s="71">
        <v>0.1612903225806451</v>
      </c>
      <c r="Y156" s="71" t="e">
        <v>#VALUE!</v>
      </c>
      <c r="Z156" s="71">
        <v>0.1612903225806451</v>
      </c>
      <c r="AA156" s="71">
        <v>0.1612903225806451</v>
      </c>
      <c r="AB156" s="71" t="e">
        <v>#VALUE!</v>
      </c>
      <c r="AC156" s="71">
        <v>-1</v>
      </c>
      <c r="AD156" s="71">
        <v>-0.22580645161290328</v>
      </c>
      <c r="AF156" s="68">
        <v>2.5833333333333335</v>
      </c>
    </row>
    <row r="157" spans="1:32">
      <c r="A157" t="s">
        <v>298</v>
      </c>
      <c r="E157" s="63" t="s">
        <v>298</v>
      </c>
      <c r="Q157" s="71"/>
      <c r="R157" s="71"/>
      <c r="S157" s="71"/>
      <c r="T157" s="71"/>
      <c r="U157" s="71"/>
      <c r="V157" s="71"/>
      <c r="W157" s="71"/>
      <c r="X157" s="71"/>
      <c r="Y157" s="71"/>
      <c r="Z157" s="71"/>
      <c r="AA157" s="71"/>
      <c r="AB157" s="71"/>
      <c r="AC157" s="71"/>
      <c r="AD157" s="71"/>
      <c r="AF157" s="68" t="e">
        <v>#DIV/0!</v>
      </c>
    </row>
    <row r="158" spans="1:32">
      <c r="A158" t="s">
        <v>116</v>
      </c>
      <c r="B158" s="63">
        <v>3</v>
      </c>
      <c r="C158" s="63">
        <v>4</v>
      </c>
      <c r="D158" s="63">
        <v>3</v>
      </c>
      <c r="E158" s="63">
        <v>4</v>
      </c>
      <c r="F158" s="63">
        <v>3</v>
      </c>
      <c r="G158" s="63">
        <v>4</v>
      </c>
      <c r="H158" s="63">
        <v>4</v>
      </c>
      <c r="I158" s="63">
        <v>2</v>
      </c>
      <c r="J158" s="63">
        <v>3</v>
      </c>
      <c r="K158" s="63">
        <v>3</v>
      </c>
      <c r="L158" s="63">
        <v>4</v>
      </c>
      <c r="M158" s="63">
        <v>2</v>
      </c>
      <c r="N158" s="63">
        <v>0</v>
      </c>
      <c r="O158" s="63">
        <v>3</v>
      </c>
      <c r="Q158" s="71">
        <v>0</v>
      </c>
      <c r="R158" s="71">
        <v>0.33333333333333331</v>
      </c>
      <c r="S158" s="71">
        <v>0</v>
      </c>
      <c r="T158" s="71">
        <v>0.33333333333333331</v>
      </c>
      <c r="U158" s="71">
        <v>0</v>
      </c>
      <c r="V158" s="71">
        <v>0.33333333333333331</v>
      </c>
      <c r="W158" s="71">
        <v>0.33333333333333331</v>
      </c>
      <c r="X158" s="71">
        <v>-0.33333333333333331</v>
      </c>
      <c r="Y158" s="71">
        <v>0</v>
      </c>
      <c r="Z158" s="71">
        <v>0</v>
      </c>
      <c r="AA158" s="71">
        <v>0.33333333333333331</v>
      </c>
      <c r="AB158" s="71">
        <v>-0.33333333333333331</v>
      </c>
      <c r="AC158" s="71">
        <v>-1</v>
      </c>
      <c r="AD158" s="71">
        <v>0</v>
      </c>
      <c r="AF158" s="68">
        <v>3</v>
      </c>
    </row>
    <row r="159" spans="1:32">
      <c r="A159" t="s">
        <v>298</v>
      </c>
      <c r="E159" s="63" t="s">
        <v>298</v>
      </c>
      <c r="Q159" s="71"/>
      <c r="R159" s="71"/>
      <c r="S159" s="71"/>
      <c r="T159" s="71"/>
      <c r="U159" s="71"/>
      <c r="V159" s="71"/>
      <c r="W159" s="71"/>
      <c r="X159" s="71"/>
      <c r="Y159" s="71"/>
      <c r="Z159" s="71"/>
      <c r="AA159" s="71"/>
      <c r="AB159" s="71"/>
      <c r="AC159" s="71"/>
      <c r="AD159" s="71"/>
      <c r="AF159" s="68" t="e">
        <v>#DIV/0!</v>
      </c>
    </row>
    <row r="160" spans="1:32">
      <c r="A160" t="s">
        <v>358</v>
      </c>
      <c r="B160" s="63">
        <v>3</v>
      </c>
      <c r="C160" s="63">
        <v>3</v>
      </c>
      <c r="D160" s="63">
        <v>3</v>
      </c>
      <c r="E160" s="63">
        <v>4</v>
      </c>
      <c r="F160" s="63">
        <v>3</v>
      </c>
      <c r="G160" s="63">
        <v>3</v>
      </c>
      <c r="H160" s="63">
        <v>3</v>
      </c>
      <c r="I160" s="63">
        <v>2</v>
      </c>
      <c r="J160" s="63">
        <v>2</v>
      </c>
      <c r="K160" s="63">
        <v>3</v>
      </c>
      <c r="L160" s="63">
        <v>4</v>
      </c>
      <c r="M160" s="63">
        <v>1</v>
      </c>
      <c r="N160" s="63">
        <v>3</v>
      </c>
      <c r="O160" s="63">
        <v>3</v>
      </c>
      <c r="Q160" s="71">
        <v>4.9999999999999975E-2</v>
      </c>
      <c r="R160" s="71">
        <v>4.9999999999999975E-2</v>
      </c>
      <c r="S160" s="71">
        <v>4.9999999999999975E-2</v>
      </c>
      <c r="T160" s="71">
        <v>0.39999999999999997</v>
      </c>
      <c r="U160" s="71">
        <v>4.9999999999999975E-2</v>
      </c>
      <c r="V160" s="71">
        <v>4.9999999999999975E-2</v>
      </c>
      <c r="W160" s="71">
        <v>4.9999999999999975E-2</v>
      </c>
      <c r="X160" s="71">
        <v>-0.3</v>
      </c>
      <c r="Y160" s="71">
        <v>-0.3</v>
      </c>
      <c r="Z160" s="71">
        <v>4.9999999999999975E-2</v>
      </c>
      <c r="AA160" s="71">
        <v>0.39999999999999997</v>
      </c>
      <c r="AB160" s="71">
        <v>-0.65</v>
      </c>
      <c r="AC160" s="71">
        <v>4.9999999999999975E-2</v>
      </c>
      <c r="AD160" s="71">
        <v>4.9999999999999975E-2</v>
      </c>
      <c r="AF160" s="68">
        <v>2.8571428571428572</v>
      </c>
    </row>
    <row r="161" spans="1:32">
      <c r="A161" s="74" t="s">
        <v>1311</v>
      </c>
      <c r="B161" s="75">
        <v>2.2142857142857144</v>
      </c>
      <c r="C161" s="75">
        <v>2.0714285714285716</v>
      </c>
      <c r="D161" s="75">
        <v>1.8571428571428572</v>
      </c>
      <c r="E161" s="75">
        <v>2.5</v>
      </c>
      <c r="F161" s="75">
        <v>2</v>
      </c>
      <c r="G161" s="75">
        <v>2.5714285714285716</v>
      </c>
      <c r="H161" s="75">
        <v>1.7857142857142858</v>
      </c>
      <c r="I161" s="75">
        <v>1.5714285714285714</v>
      </c>
      <c r="J161" s="75">
        <v>2</v>
      </c>
      <c r="K161" s="75">
        <v>2.3571428571428572</v>
      </c>
      <c r="L161" s="75">
        <v>3.2857142857142856</v>
      </c>
      <c r="M161" s="75">
        <v>1.6923076923076923</v>
      </c>
      <c r="N161" s="75">
        <v>2.0714285714285716</v>
      </c>
      <c r="O161" s="75">
        <v>2.0714285714285716</v>
      </c>
      <c r="Q161" s="71">
        <v>3.1632839641616235E-2</v>
      </c>
      <c r="R161" s="71">
        <v>-3.492411775461704E-2</v>
      </c>
      <c r="S161" s="71">
        <v>-0.13475955384896704</v>
      </c>
      <c r="T161" s="71">
        <v>0.16474675443408279</v>
      </c>
      <c r="U161" s="71">
        <v>-6.8202596452733771E-2</v>
      </c>
      <c r="V161" s="71">
        <v>0.19802523313219952</v>
      </c>
      <c r="W161" s="71">
        <v>-0.16803803254708369</v>
      </c>
      <c r="X161" s="71">
        <v>-0.26787346864143369</v>
      </c>
      <c r="Y161" s="71">
        <v>-6.8202596452733771E-2</v>
      </c>
      <c r="Z161" s="71">
        <v>9.8189797037849511E-2</v>
      </c>
      <c r="AA161" s="71">
        <v>0.53081002011336587</v>
      </c>
      <c r="AB161" s="71">
        <v>-0.21155604315231322</v>
      </c>
      <c r="AC161" s="71">
        <v>-3.492411775461704E-2</v>
      </c>
      <c r="AD161" s="71">
        <v>-3.492411775461704E-2</v>
      </c>
      <c r="AF161" s="68">
        <v>2.146389324960754</v>
      </c>
    </row>
    <row r="162" spans="1:32">
      <c r="A162" t="s">
        <v>298</v>
      </c>
      <c r="Q162" s="71"/>
      <c r="R162" s="71"/>
      <c r="S162" s="71"/>
      <c r="T162" s="71"/>
      <c r="U162" s="71"/>
      <c r="V162" s="71"/>
      <c r="W162" s="71"/>
      <c r="X162" s="71"/>
      <c r="Y162" s="71"/>
      <c r="Z162" s="71"/>
      <c r="AA162" s="71"/>
      <c r="AB162" s="71"/>
      <c r="AC162" s="71"/>
      <c r="AD162" s="71"/>
      <c r="AF162" s="68" t="e">
        <v>#DIV/0!</v>
      </c>
    </row>
    <row r="163" spans="1:32">
      <c r="A163" t="s">
        <v>298</v>
      </c>
      <c r="Q163" s="71"/>
      <c r="R163" s="71"/>
      <c r="S163" s="71"/>
      <c r="T163" s="71"/>
      <c r="U163" s="71"/>
      <c r="V163" s="71"/>
      <c r="W163" s="71"/>
      <c r="X163" s="71"/>
      <c r="Y163" s="71"/>
      <c r="Z163" s="71"/>
      <c r="AA163" s="71"/>
      <c r="AB163" s="71"/>
      <c r="AC163" s="71"/>
      <c r="AD163" s="71"/>
      <c r="AF163" s="68" t="e">
        <v>#DIV/0!</v>
      </c>
    </row>
    <row r="164" spans="1:32">
      <c r="A164" s="8" t="s">
        <v>10</v>
      </c>
      <c r="B164" s="59" t="s">
        <v>1241</v>
      </c>
      <c r="C164" s="59" t="s">
        <v>1242</v>
      </c>
      <c r="D164" s="59" t="s">
        <v>1243</v>
      </c>
      <c r="E164" s="59" t="s">
        <v>1244</v>
      </c>
      <c r="F164" s="59" t="s">
        <v>1245</v>
      </c>
      <c r="G164" s="59" t="s">
        <v>1246</v>
      </c>
      <c r="H164" s="59" t="s">
        <v>1247</v>
      </c>
      <c r="I164" s="59" t="s">
        <v>1248</v>
      </c>
      <c r="J164" s="59" t="s">
        <v>1249</v>
      </c>
      <c r="K164" s="59" t="s">
        <v>1250</v>
      </c>
      <c r="L164" s="59" t="s">
        <v>1251</v>
      </c>
      <c r="M164" s="59" t="s">
        <v>1303</v>
      </c>
      <c r="N164" s="59" t="s">
        <v>1304</v>
      </c>
      <c r="O164" s="59" t="s">
        <v>1305</v>
      </c>
      <c r="Q164" s="71"/>
      <c r="R164" s="71"/>
      <c r="S164" s="71"/>
      <c r="T164" s="71"/>
      <c r="U164" s="71"/>
      <c r="V164" s="71"/>
      <c r="W164" s="71"/>
      <c r="X164" s="71"/>
      <c r="Y164" s="71"/>
      <c r="Z164" s="71"/>
      <c r="AA164" s="71"/>
      <c r="AB164" s="71"/>
      <c r="AC164" s="71"/>
      <c r="AD164" s="71"/>
      <c r="AF164" s="68" t="e">
        <v>#DIV/0!</v>
      </c>
    </row>
    <row r="165" spans="1:32">
      <c r="A165" t="s">
        <v>298</v>
      </c>
      <c r="Q165" s="71"/>
      <c r="R165" s="71"/>
      <c r="S165" s="71"/>
      <c r="T165" s="71"/>
      <c r="U165" s="71"/>
      <c r="V165" s="71"/>
      <c r="W165" s="71"/>
      <c r="X165" s="71"/>
      <c r="Y165" s="71"/>
      <c r="Z165" s="71"/>
      <c r="AA165" s="71"/>
      <c r="AB165" s="71"/>
      <c r="AC165" s="71"/>
      <c r="AD165" s="71"/>
      <c r="AF165" s="68" t="e">
        <v>#DIV/0!</v>
      </c>
    </row>
    <row r="166" spans="1:32">
      <c r="A166" t="s">
        <v>359</v>
      </c>
      <c r="B166" s="63">
        <v>3</v>
      </c>
      <c r="C166" s="63">
        <v>2</v>
      </c>
      <c r="D166" s="63">
        <v>3</v>
      </c>
      <c r="E166" s="63">
        <v>3</v>
      </c>
      <c r="F166" s="63">
        <v>3</v>
      </c>
      <c r="G166" s="63">
        <v>2</v>
      </c>
      <c r="H166" s="63">
        <v>3</v>
      </c>
      <c r="I166" s="63">
        <v>3</v>
      </c>
      <c r="J166" s="63">
        <v>3</v>
      </c>
      <c r="K166" s="63">
        <v>3</v>
      </c>
      <c r="L166" s="63">
        <v>4</v>
      </c>
      <c r="M166" s="63">
        <v>3</v>
      </c>
      <c r="N166" s="63">
        <v>3</v>
      </c>
      <c r="O166" s="63">
        <v>3</v>
      </c>
      <c r="Q166" s="71">
        <v>2.4390243902439091E-2</v>
      </c>
      <c r="R166" s="71">
        <v>-0.31707317073170727</v>
      </c>
      <c r="S166" s="71">
        <v>2.4390243902439091E-2</v>
      </c>
      <c r="T166" s="71">
        <v>2.4390243902439091E-2</v>
      </c>
      <c r="U166" s="71">
        <v>2.4390243902439091E-2</v>
      </c>
      <c r="V166" s="71">
        <v>-0.31707317073170727</v>
      </c>
      <c r="W166" s="71">
        <v>2.4390243902439091E-2</v>
      </c>
      <c r="X166" s="71">
        <v>2.4390243902439091E-2</v>
      </c>
      <c r="Y166" s="71">
        <v>2.4390243902439091E-2</v>
      </c>
      <c r="Z166" s="71">
        <v>2.4390243902439091E-2</v>
      </c>
      <c r="AA166" s="71">
        <v>0.36585365853658547</v>
      </c>
      <c r="AB166" s="71">
        <v>2.4390243902439091E-2</v>
      </c>
      <c r="AC166" s="71">
        <v>2.4390243902439091E-2</v>
      </c>
      <c r="AD166" s="71">
        <v>2.4390243902439091E-2</v>
      </c>
      <c r="AF166" s="68">
        <v>2.9285714285714284</v>
      </c>
    </row>
    <row r="167" spans="1:32">
      <c r="A167" t="s">
        <v>298</v>
      </c>
      <c r="Q167" s="71"/>
      <c r="R167" s="71"/>
      <c r="S167" s="71"/>
      <c r="T167" s="71"/>
      <c r="U167" s="71"/>
      <c r="V167" s="71"/>
      <c r="W167" s="71"/>
      <c r="X167" s="71"/>
      <c r="Y167" s="71"/>
      <c r="Z167" s="71"/>
      <c r="AA167" s="71"/>
      <c r="AB167" s="71"/>
      <c r="AC167" s="71"/>
      <c r="AD167" s="71"/>
      <c r="AF167" s="68" t="e">
        <v>#DIV/0!</v>
      </c>
    </row>
    <row r="168" spans="1:32">
      <c r="A168" t="s">
        <v>360</v>
      </c>
      <c r="B168" s="63">
        <v>3</v>
      </c>
      <c r="C168" s="63">
        <v>2</v>
      </c>
      <c r="D168" s="63">
        <v>3</v>
      </c>
      <c r="E168" s="63">
        <v>4</v>
      </c>
      <c r="F168" s="63">
        <v>3</v>
      </c>
      <c r="G168" s="63">
        <v>3</v>
      </c>
      <c r="H168" s="63">
        <v>1</v>
      </c>
      <c r="I168" s="63">
        <v>0</v>
      </c>
      <c r="J168" s="63">
        <v>3</v>
      </c>
      <c r="K168" s="63">
        <v>3</v>
      </c>
      <c r="L168" s="63">
        <v>4</v>
      </c>
      <c r="M168" s="63">
        <v>4</v>
      </c>
      <c r="N168" s="63">
        <v>3</v>
      </c>
      <c r="O168" s="63">
        <v>3</v>
      </c>
      <c r="Q168" s="71">
        <v>7.6923076923076969E-2</v>
      </c>
      <c r="R168" s="71">
        <v>-0.28205128205128199</v>
      </c>
      <c r="S168" s="71">
        <v>7.6923076923076969E-2</v>
      </c>
      <c r="T168" s="71">
        <v>0.43589743589743596</v>
      </c>
      <c r="U168" s="71">
        <v>7.6923076923076969E-2</v>
      </c>
      <c r="V168" s="71">
        <v>7.6923076923076969E-2</v>
      </c>
      <c r="W168" s="71">
        <v>-0.64102564102564097</v>
      </c>
      <c r="X168" s="71">
        <v>-1</v>
      </c>
      <c r="Y168" s="71">
        <v>7.6923076923076969E-2</v>
      </c>
      <c r="Z168" s="71">
        <v>7.6923076923076969E-2</v>
      </c>
      <c r="AA168" s="71">
        <v>0.43589743589743596</v>
      </c>
      <c r="AB168" s="71">
        <v>0.43589743589743596</v>
      </c>
      <c r="AC168" s="71">
        <v>7.6923076923076969E-2</v>
      </c>
      <c r="AD168" s="71">
        <v>7.6923076923076969E-2</v>
      </c>
      <c r="AF168" s="68">
        <v>2.7857142857142856</v>
      </c>
    </row>
    <row r="169" spans="1:32">
      <c r="A169" t="s">
        <v>298</v>
      </c>
      <c r="Q169" s="71"/>
      <c r="R169" s="71"/>
      <c r="S169" s="71"/>
      <c r="T169" s="71"/>
      <c r="U169" s="71"/>
      <c r="V169" s="71"/>
      <c r="W169" s="71"/>
      <c r="X169" s="71"/>
      <c r="Y169" s="71"/>
      <c r="Z169" s="71"/>
      <c r="AA169" s="71"/>
      <c r="AB169" s="71"/>
      <c r="AC169" s="71"/>
      <c r="AD169" s="71"/>
      <c r="AF169" s="68" t="e">
        <v>#DIV/0!</v>
      </c>
    </row>
    <row r="170" spans="1:32">
      <c r="A170" t="s">
        <v>361</v>
      </c>
      <c r="B170" s="63">
        <v>4</v>
      </c>
      <c r="C170" s="63">
        <v>3</v>
      </c>
      <c r="D170" s="63">
        <v>3</v>
      </c>
      <c r="E170" s="63">
        <v>3</v>
      </c>
      <c r="F170" s="63">
        <v>3</v>
      </c>
      <c r="G170" s="63">
        <v>2</v>
      </c>
      <c r="H170" s="63">
        <v>3</v>
      </c>
      <c r="I170" s="63">
        <v>3</v>
      </c>
      <c r="J170" s="63">
        <v>3</v>
      </c>
      <c r="K170" s="63">
        <v>2</v>
      </c>
      <c r="L170" s="63">
        <v>4</v>
      </c>
      <c r="M170" s="63">
        <v>2</v>
      </c>
      <c r="N170" s="63">
        <v>4</v>
      </c>
      <c r="O170" s="63">
        <v>3</v>
      </c>
      <c r="Q170" s="71">
        <v>0.33333333333333331</v>
      </c>
      <c r="R170" s="71">
        <v>0</v>
      </c>
      <c r="S170" s="71">
        <v>0</v>
      </c>
      <c r="T170" s="71">
        <v>0</v>
      </c>
      <c r="U170" s="71">
        <v>0</v>
      </c>
      <c r="V170" s="71">
        <v>-0.33333333333333331</v>
      </c>
      <c r="W170" s="71">
        <v>0</v>
      </c>
      <c r="X170" s="71">
        <v>0</v>
      </c>
      <c r="Y170" s="71">
        <v>0</v>
      </c>
      <c r="Z170" s="71">
        <v>-0.33333333333333331</v>
      </c>
      <c r="AA170" s="71">
        <v>0.33333333333333331</v>
      </c>
      <c r="AB170" s="71">
        <v>-0.33333333333333331</v>
      </c>
      <c r="AC170" s="71">
        <v>0.33333333333333331</v>
      </c>
      <c r="AD170" s="71">
        <v>0</v>
      </c>
      <c r="AF170" s="68">
        <v>3</v>
      </c>
    </row>
    <row r="171" spans="1:32">
      <c r="A171" t="s">
        <v>298</v>
      </c>
      <c r="Q171" s="71"/>
      <c r="R171" s="71"/>
      <c r="S171" s="71"/>
      <c r="T171" s="71"/>
      <c r="U171" s="71"/>
      <c r="V171" s="71"/>
      <c r="W171" s="71"/>
      <c r="X171" s="71"/>
      <c r="Y171" s="71"/>
      <c r="Z171" s="71"/>
      <c r="AA171" s="71"/>
      <c r="AB171" s="71"/>
      <c r="AC171" s="71"/>
      <c r="AD171" s="71"/>
      <c r="AF171" s="68" t="e">
        <v>#DIV/0!</v>
      </c>
    </row>
    <row r="172" spans="1:32">
      <c r="A172" t="s">
        <v>362</v>
      </c>
      <c r="B172" s="63">
        <v>3</v>
      </c>
      <c r="C172" s="63">
        <v>1</v>
      </c>
      <c r="D172" s="63">
        <v>3</v>
      </c>
      <c r="E172" s="63">
        <v>4</v>
      </c>
      <c r="F172" s="63">
        <v>2</v>
      </c>
      <c r="G172" s="63">
        <v>2</v>
      </c>
      <c r="H172" s="63">
        <v>2</v>
      </c>
      <c r="I172" s="63">
        <v>0</v>
      </c>
      <c r="J172" s="63">
        <v>2</v>
      </c>
      <c r="K172" s="63">
        <v>3</v>
      </c>
      <c r="L172" s="63">
        <v>4</v>
      </c>
      <c r="M172" s="63">
        <v>0</v>
      </c>
      <c r="N172" s="63">
        <v>3</v>
      </c>
      <c r="O172" s="63">
        <v>2</v>
      </c>
      <c r="Q172" s="71">
        <v>0.35483870967741926</v>
      </c>
      <c r="R172" s="71">
        <v>-0.54838709677419362</v>
      </c>
      <c r="S172" s="71">
        <v>0.35483870967741926</v>
      </c>
      <c r="T172" s="71">
        <v>0.80645161290322576</v>
      </c>
      <c r="U172" s="71">
        <v>-9.677419354838715E-2</v>
      </c>
      <c r="V172" s="71">
        <v>-9.677419354838715E-2</v>
      </c>
      <c r="W172" s="71">
        <v>-9.677419354838715E-2</v>
      </c>
      <c r="X172" s="71">
        <v>-1</v>
      </c>
      <c r="Y172" s="71">
        <v>-9.677419354838715E-2</v>
      </c>
      <c r="Z172" s="71">
        <v>0.35483870967741926</v>
      </c>
      <c r="AA172" s="71">
        <v>0.80645161290322576</v>
      </c>
      <c r="AB172" s="71">
        <v>-1</v>
      </c>
      <c r="AC172" s="71">
        <v>0.35483870967741926</v>
      </c>
      <c r="AD172" s="71">
        <v>-9.677419354838715E-2</v>
      </c>
      <c r="AF172" s="68">
        <v>2.2142857142857144</v>
      </c>
    </row>
    <row r="173" spans="1:32">
      <c r="A173" t="s">
        <v>298</v>
      </c>
      <c r="Q173" s="71"/>
      <c r="R173" s="71"/>
      <c r="S173" s="71"/>
      <c r="T173" s="71"/>
      <c r="U173" s="71"/>
      <c r="V173" s="71"/>
      <c r="W173" s="71"/>
      <c r="X173" s="71"/>
      <c r="Y173" s="71"/>
      <c r="Z173" s="71"/>
      <c r="AA173" s="71"/>
      <c r="AB173" s="71"/>
      <c r="AC173" s="71"/>
      <c r="AD173" s="71"/>
      <c r="AF173" s="68" t="e">
        <v>#DIV/0!</v>
      </c>
    </row>
    <row r="174" spans="1:32">
      <c r="A174" t="s">
        <v>285</v>
      </c>
      <c r="B174" s="63">
        <v>3</v>
      </c>
      <c r="C174" s="63">
        <v>3</v>
      </c>
      <c r="D174" s="63">
        <v>3</v>
      </c>
      <c r="E174" s="63">
        <v>3</v>
      </c>
      <c r="F174" s="63">
        <v>3</v>
      </c>
      <c r="G174" s="63">
        <v>3</v>
      </c>
      <c r="H174" s="63">
        <v>2</v>
      </c>
      <c r="I174" s="63">
        <v>2</v>
      </c>
      <c r="J174" s="63">
        <v>2</v>
      </c>
      <c r="K174" s="63">
        <v>3</v>
      </c>
      <c r="L174" s="63">
        <v>2</v>
      </c>
      <c r="M174" s="63">
        <v>1</v>
      </c>
      <c r="N174" s="63">
        <v>3</v>
      </c>
      <c r="O174" s="63">
        <v>2</v>
      </c>
      <c r="Q174" s="71">
        <v>0.2</v>
      </c>
      <c r="R174" s="71">
        <v>0.2</v>
      </c>
      <c r="S174" s="71">
        <v>0.2</v>
      </c>
      <c r="T174" s="71">
        <v>0.2</v>
      </c>
      <c r="U174" s="71">
        <v>0.2</v>
      </c>
      <c r="V174" s="71">
        <v>0.2</v>
      </c>
      <c r="W174" s="71">
        <v>-0.2</v>
      </c>
      <c r="X174" s="71">
        <v>-0.2</v>
      </c>
      <c r="Y174" s="71">
        <v>-0.2</v>
      </c>
      <c r="Z174" s="71">
        <v>0.2</v>
      </c>
      <c r="AA174" s="71">
        <v>-0.2</v>
      </c>
      <c r="AB174" s="71">
        <v>-0.6</v>
      </c>
      <c r="AC174" s="71">
        <v>0.2</v>
      </c>
      <c r="AD174" s="71">
        <v>-0.2</v>
      </c>
      <c r="AF174" s="68">
        <v>2.5</v>
      </c>
    </row>
    <row r="175" spans="1:32">
      <c r="A175" t="s">
        <v>286</v>
      </c>
      <c r="B175" s="63">
        <v>4</v>
      </c>
      <c r="C175" s="63">
        <v>3</v>
      </c>
      <c r="D175" s="63">
        <v>3</v>
      </c>
      <c r="E175" s="63">
        <v>4</v>
      </c>
      <c r="F175" s="63">
        <v>3</v>
      </c>
      <c r="G175" s="63">
        <v>3</v>
      </c>
      <c r="H175" s="63">
        <v>3</v>
      </c>
      <c r="I175" s="63">
        <v>2</v>
      </c>
      <c r="J175" s="63">
        <v>3</v>
      </c>
      <c r="K175" s="63">
        <v>3</v>
      </c>
      <c r="L175" s="63">
        <v>2</v>
      </c>
      <c r="M175" s="63">
        <v>2</v>
      </c>
      <c r="N175" s="63">
        <v>3</v>
      </c>
      <c r="O175" s="63">
        <v>3</v>
      </c>
      <c r="Q175" s="71">
        <v>0.36585365853658547</v>
      </c>
      <c r="R175" s="71">
        <v>2.4390243902439091E-2</v>
      </c>
      <c r="S175" s="71">
        <v>2.4390243902439091E-2</v>
      </c>
      <c r="T175" s="71">
        <v>0.36585365853658547</v>
      </c>
      <c r="U175" s="71">
        <v>2.4390243902439091E-2</v>
      </c>
      <c r="V175" s="71">
        <v>2.4390243902439091E-2</v>
      </c>
      <c r="W175" s="71">
        <v>2.4390243902439091E-2</v>
      </c>
      <c r="X175" s="71">
        <v>-0.31707317073170727</v>
      </c>
      <c r="Y175" s="71">
        <v>2.4390243902439091E-2</v>
      </c>
      <c r="Z175" s="71">
        <v>2.4390243902439091E-2</v>
      </c>
      <c r="AA175" s="71">
        <v>-0.31707317073170727</v>
      </c>
      <c r="AB175" s="71">
        <v>-0.31707317073170727</v>
      </c>
      <c r="AC175" s="71">
        <v>2.4390243902439091E-2</v>
      </c>
      <c r="AD175" s="71">
        <v>2.4390243902439091E-2</v>
      </c>
      <c r="AF175" s="68">
        <v>2.9285714285714284</v>
      </c>
    </row>
    <row r="176" spans="1:32">
      <c r="A176" t="s">
        <v>287</v>
      </c>
      <c r="B176" s="63">
        <v>3</v>
      </c>
      <c r="C176" s="63">
        <v>3</v>
      </c>
      <c r="D176" s="63">
        <v>3</v>
      </c>
      <c r="E176" s="63">
        <v>3</v>
      </c>
      <c r="F176" s="63">
        <v>3</v>
      </c>
      <c r="G176" s="63">
        <v>3</v>
      </c>
      <c r="H176" s="63">
        <v>1</v>
      </c>
      <c r="I176" s="63">
        <v>3</v>
      </c>
      <c r="J176" s="63">
        <v>2</v>
      </c>
      <c r="K176" s="63">
        <v>3</v>
      </c>
      <c r="L176" s="63">
        <v>2</v>
      </c>
      <c r="M176" s="63">
        <v>2</v>
      </c>
      <c r="N176" s="63">
        <v>3</v>
      </c>
      <c r="O176" s="63">
        <v>3</v>
      </c>
      <c r="Q176" s="71">
        <v>0.13513513513513517</v>
      </c>
      <c r="R176" s="71">
        <v>0.13513513513513517</v>
      </c>
      <c r="S176" s="71">
        <v>0.13513513513513517</v>
      </c>
      <c r="T176" s="71">
        <v>0.13513513513513517</v>
      </c>
      <c r="U176" s="71">
        <v>0.13513513513513517</v>
      </c>
      <c r="V176" s="71">
        <v>0.13513513513513517</v>
      </c>
      <c r="W176" s="71">
        <v>-0.6216216216216216</v>
      </c>
      <c r="X176" s="71">
        <v>0.13513513513513517</v>
      </c>
      <c r="Y176" s="71">
        <v>-0.24324324324324323</v>
      </c>
      <c r="Z176" s="71">
        <v>0.13513513513513517</v>
      </c>
      <c r="AA176" s="71">
        <v>-0.24324324324324323</v>
      </c>
      <c r="AB176" s="71">
        <v>-0.24324324324324323</v>
      </c>
      <c r="AC176" s="71">
        <v>0.13513513513513517</v>
      </c>
      <c r="AD176" s="71">
        <v>0.13513513513513517</v>
      </c>
      <c r="AF176" s="68">
        <v>2.6428571428571428</v>
      </c>
    </row>
    <row r="177" spans="1:32">
      <c r="A177" s="74" t="s">
        <v>1311</v>
      </c>
      <c r="B177" s="75">
        <v>3.2857142857142856</v>
      </c>
      <c r="C177" s="75">
        <v>2.4285714285714284</v>
      </c>
      <c r="D177" s="75">
        <v>3</v>
      </c>
      <c r="E177" s="75">
        <v>3.4285714285714284</v>
      </c>
      <c r="F177" s="75">
        <v>2.8571428571428572</v>
      </c>
      <c r="G177" s="75">
        <v>2.5714285714285716</v>
      </c>
      <c r="H177" s="75">
        <v>2.1428571428571428</v>
      </c>
      <c r="I177" s="75">
        <v>1.8571428571428572</v>
      </c>
      <c r="J177" s="75">
        <v>2.5714285714285716</v>
      </c>
      <c r="K177" s="75">
        <v>2.8571428571428572</v>
      </c>
      <c r="L177" s="75">
        <v>3.1428571428571428</v>
      </c>
      <c r="M177" s="75">
        <v>2</v>
      </c>
      <c r="N177" s="75">
        <v>3.1428571428571428</v>
      </c>
      <c r="O177" s="75">
        <v>2.7142857142857144</v>
      </c>
      <c r="Q177" s="71">
        <v>0.21052631578947339</v>
      </c>
      <c r="R177" s="71">
        <v>-0.1052631578947371</v>
      </c>
      <c r="S177" s="71">
        <v>0.10526315789473661</v>
      </c>
      <c r="T177" s="71">
        <v>0.26315789473684176</v>
      </c>
      <c r="U177" s="71">
        <v>5.2631578947368224E-2</v>
      </c>
      <c r="V177" s="71">
        <v>-5.263157894736855E-2</v>
      </c>
      <c r="W177" s="71">
        <v>-0.21052631578947387</v>
      </c>
      <c r="X177" s="71">
        <v>-0.31578947368421062</v>
      </c>
      <c r="Y177" s="71">
        <v>-5.263157894736855E-2</v>
      </c>
      <c r="Z177" s="71">
        <v>5.2631578947368224E-2</v>
      </c>
      <c r="AA177" s="71">
        <v>0.157894736842105</v>
      </c>
      <c r="AB177" s="71">
        <v>-0.26315789473684226</v>
      </c>
      <c r="AC177" s="71">
        <v>0.157894736842105</v>
      </c>
      <c r="AD177" s="71">
        <v>-1.6361181415528619E-16</v>
      </c>
      <c r="AF177" s="68">
        <v>2.7142857142857149</v>
      </c>
    </row>
    <row r="178" spans="1:32">
      <c r="A178" t="s">
        <v>298</v>
      </c>
      <c r="Q178" s="71"/>
      <c r="R178" s="71"/>
      <c r="S178" s="71"/>
      <c r="T178" s="71"/>
      <c r="U178" s="71"/>
      <c r="V178" s="71"/>
      <c r="W178" s="71"/>
      <c r="X178" s="71"/>
      <c r="Y178" s="71"/>
      <c r="Z178" s="71"/>
      <c r="AA178" s="71"/>
      <c r="AB178" s="71"/>
      <c r="AC178" s="71"/>
      <c r="AD178" s="71"/>
      <c r="AF178" s="68" t="e">
        <v>#DIV/0!</v>
      </c>
    </row>
    <row r="179" spans="1:32">
      <c r="A179" t="s">
        <v>298</v>
      </c>
      <c r="Q179" s="71"/>
      <c r="R179" s="71"/>
      <c r="S179" s="71"/>
      <c r="T179" s="71"/>
      <c r="U179" s="71"/>
      <c r="V179" s="71"/>
      <c r="W179" s="71"/>
      <c r="X179" s="71"/>
      <c r="Y179" s="71"/>
      <c r="Z179" s="71"/>
      <c r="AA179" s="71"/>
      <c r="AB179" s="71"/>
      <c r="AC179" s="71"/>
      <c r="AD179" s="71"/>
      <c r="AF179" s="68" t="e">
        <v>#DIV/0!</v>
      </c>
    </row>
    <row r="180" spans="1:32">
      <c r="A180" s="8" t="s">
        <v>33</v>
      </c>
      <c r="B180" s="59" t="s">
        <v>1241</v>
      </c>
      <c r="C180" s="59" t="s">
        <v>1242</v>
      </c>
      <c r="D180" s="59" t="s">
        <v>1243</v>
      </c>
      <c r="E180" s="59" t="s">
        <v>1244</v>
      </c>
      <c r="F180" s="59" t="s">
        <v>1245</v>
      </c>
      <c r="G180" s="59" t="s">
        <v>1246</v>
      </c>
      <c r="H180" s="59" t="s">
        <v>1247</v>
      </c>
      <c r="I180" s="59" t="s">
        <v>1248</v>
      </c>
      <c r="J180" s="59" t="s">
        <v>1249</v>
      </c>
      <c r="K180" s="59" t="s">
        <v>1250</v>
      </c>
      <c r="L180" s="59" t="s">
        <v>1251</v>
      </c>
      <c r="M180" s="59" t="s">
        <v>1303</v>
      </c>
      <c r="N180" s="59" t="s">
        <v>1304</v>
      </c>
      <c r="O180" s="59" t="s">
        <v>1305</v>
      </c>
      <c r="Q180" s="71"/>
      <c r="R180" s="71"/>
      <c r="S180" s="71"/>
      <c r="T180" s="71"/>
      <c r="U180" s="71"/>
      <c r="V180" s="71"/>
      <c r="W180" s="71"/>
      <c r="X180" s="71"/>
      <c r="Y180" s="71"/>
      <c r="Z180" s="71"/>
      <c r="AA180" s="71"/>
      <c r="AB180" s="71"/>
      <c r="AC180" s="71"/>
      <c r="AD180" s="71"/>
      <c r="AF180" s="68" t="e">
        <v>#DIV/0!</v>
      </c>
    </row>
    <row r="181" spans="1:32">
      <c r="A181" t="s">
        <v>298</v>
      </c>
      <c r="Q181" s="71"/>
      <c r="R181" s="71"/>
      <c r="S181" s="71"/>
      <c r="T181" s="71"/>
      <c r="U181" s="71"/>
      <c r="V181" s="71"/>
      <c r="W181" s="71"/>
      <c r="X181" s="71"/>
      <c r="Y181" s="71"/>
      <c r="Z181" s="71"/>
      <c r="AA181" s="71"/>
      <c r="AB181" s="71"/>
      <c r="AC181" s="71"/>
      <c r="AD181" s="71"/>
      <c r="AF181" s="68" t="e">
        <v>#DIV/0!</v>
      </c>
    </row>
    <row r="182" spans="1:32">
      <c r="A182" t="s">
        <v>364</v>
      </c>
      <c r="B182" s="63">
        <v>4</v>
      </c>
      <c r="C182" s="63">
        <v>3</v>
      </c>
      <c r="D182" s="63">
        <v>4</v>
      </c>
      <c r="E182" s="63">
        <v>3</v>
      </c>
      <c r="F182" s="63">
        <v>4</v>
      </c>
      <c r="G182" s="63">
        <v>4</v>
      </c>
      <c r="H182" s="63">
        <v>5</v>
      </c>
      <c r="I182" s="63">
        <v>1</v>
      </c>
      <c r="J182" s="63">
        <v>3</v>
      </c>
      <c r="K182" s="63">
        <v>4</v>
      </c>
      <c r="L182" s="63">
        <v>3</v>
      </c>
      <c r="M182" s="63">
        <v>3</v>
      </c>
      <c r="N182" s="63">
        <v>3</v>
      </c>
      <c r="O182" s="63">
        <v>3</v>
      </c>
      <c r="Q182" s="71">
        <v>0.19148936170212763</v>
      </c>
      <c r="R182" s="71">
        <v>-0.10638297872340427</v>
      </c>
      <c r="S182" s="71">
        <v>0.19148936170212763</v>
      </c>
      <c r="T182" s="71">
        <v>-0.10638297872340427</v>
      </c>
      <c r="U182" s="71">
        <v>0.19148936170212763</v>
      </c>
      <c r="V182" s="71">
        <v>0.19148936170212763</v>
      </c>
      <c r="W182" s="71">
        <v>0.48936170212765956</v>
      </c>
      <c r="X182" s="71">
        <v>-0.7021276595744681</v>
      </c>
      <c r="Y182" s="71">
        <v>-0.10638297872340427</v>
      </c>
      <c r="Z182" s="71">
        <v>0.19148936170212763</v>
      </c>
      <c r="AA182" s="71">
        <v>-0.10638297872340427</v>
      </c>
      <c r="AB182" s="71">
        <v>-0.10638297872340427</v>
      </c>
      <c r="AC182" s="71">
        <v>-0.10638297872340427</v>
      </c>
      <c r="AD182" s="71">
        <v>-0.10638297872340427</v>
      </c>
      <c r="AF182" s="68">
        <v>3.3571428571428572</v>
      </c>
    </row>
    <row r="183" spans="1:32">
      <c r="A183" t="s">
        <v>298</v>
      </c>
      <c r="Q183" s="71"/>
      <c r="R183" s="71"/>
      <c r="S183" s="71"/>
      <c r="T183" s="71"/>
      <c r="U183" s="71"/>
      <c r="V183" s="71"/>
      <c r="W183" s="71"/>
      <c r="X183" s="71"/>
      <c r="Y183" s="71"/>
      <c r="Z183" s="71"/>
      <c r="AA183" s="71"/>
      <c r="AB183" s="71"/>
      <c r="AC183" s="71"/>
      <c r="AD183" s="71"/>
      <c r="AF183" s="68" t="e">
        <v>#DIV/0!</v>
      </c>
    </row>
    <row r="184" spans="1:32">
      <c r="A184" t="s">
        <v>365</v>
      </c>
      <c r="B184" s="63">
        <v>4</v>
      </c>
      <c r="C184" s="63">
        <v>3</v>
      </c>
      <c r="D184" s="63">
        <v>4</v>
      </c>
      <c r="E184" s="63">
        <v>3</v>
      </c>
      <c r="F184" s="63">
        <v>4</v>
      </c>
      <c r="G184" s="63">
        <v>4</v>
      </c>
      <c r="H184" s="63">
        <v>5</v>
      </c>
      <c r="I184" s="63">
        <v>3</v>
      </c>
      <c r="J184" s="63">
        <v>4</v>
      </c>
      <c r="K184" s="63">
        <v>4</v>
      </c>
      <c r="L184" s="63">
        <v>3</v>
      </c>
      <c r="M184" s="63">
        <v>3</v>
      </c>
      <c r="N184" s="63">
        <v>3</v>
      </c>
      <c r="O184" s="63">
        <v>3</v>
      </c>
      <c r="Q184" s="71">
        <v>0.11999999999999994</v>
      </c>
      <c r="R184" s="71">
        <v>-0.16000000000000003</v>
      </c>
      <c r="S184" s="71">
        <v>0.11999999999999994</v>
      </c>
      <c r="T184" s="71">
        <v>-0.16000000000000003</v>
      </c>
      <c r="U184" s="71">
        <v>0.11999999999999994</v>
      </c>
      <c r="V184" s="71">
        <v>0.11999999999999994</v>
      </c>
      <c r="W184" s="71">
        <v>0.39999999999999991</v>
      </c>
      <c r="X184" s="71">
        <v>-0.16000000000000003</v>
      </c>
      <c r="Y184" s="71">
        <v>0.11999999999999994</v>
      </c>
      <c r="Z184" s="71">
        <v>0.11999999999999994</v>
      </c>
      <c r="AA184" s="71">
        <v>-0.16000000000000003</v>
      </c>
      <c r="AB184" s="71">
        <v>-0.16000000000000003</v>
      </c>
      <c r="AC184" s="71">
        <v>-0.16000000000000003</v>
      </c>
      <c r="AD184" s="71">
        <v>-0.16000000000000003</v>
      </c>
      <c r="AF184" s="68">
        <v>3.5714285714285716</v>
      </c>
    </row>
    <row r="185" spans="1:32">
      <c r="A185" t="s">
        <v>298</v>
      </c>
      <c r="Q185" s="71"/>
      <c r="R185" s="71"/>
      <c r="S185" s="71"/>
      <c r="T185" s="71"/>
      <c r="U185" s="71"/>
      <c r="V185" s="71"/>
      <c r="W185" s="71"/>
      <c r="X185" s="71"/>
      <c r="Y185" s="71"/>
      <c r="Z185" s="71"/>
      <c r="AA185" s="71"/>
      <c r="AB185" s="71"/>
      <c r="AC185" s="71"/>
      <c r="AD185" s="71"/>
      <c r="AF185" s="68" t="e">
        <v>#DIV/0!</v>
      </c>
    </row>
    <row r="186" spans="1:32">
      <c r="A186" t="s">
        <v>117</v>
      </c>
      <c r="B186" s="63">
        <v>4</v>
      </c>
      <c r="C186" s="63">
        <v>3</v>
      </c>
      <c r="D186" s="63">
        <v>4</v>
      </c>
      <c r="E186" s="63">
        <v>3</v>
      </c>
      <c r="F186" s="63">
        <v>4</v>
      </c>
      <c r="G186" s="63">
        <v>4</v>
      </c>
      <c r="H186" s="63">
        <v>5</v>
      </c>
      <c r="I186" s="63">
        <v>3</v>
      </c>
      <c r="J186" s="63">
        <v>5</v>
      </c>
      <c r="K186" s="63">
        <v>4</v>
      </c>
      <c r="L186" s="63">
        <v>4</v>
      </c>
      <c r="M186" s="63">
        <v>3</v>
      </c>
      <c r="N186" s="63">
        <v>3</v>
      </c>
      <c r="O186" s="63">
        <v>3</v>
      </c>
      <c r="Q186" s="71">
        <v>7.6923076923076886E-2</v>
      </c>
      <c r="R186" s="71">
        <v>-0.19230769230769235</v>
      </c>
      <c r="S186" s="71">
        <v>7.6923076923076886E-2</v>
      </c>
      <c r="T186" s="71">
        <v>-0.19230769230769235</v>
      </c>
      <c r="U186" s="71">
        <v>7.6923076923076886E-2</v>
      </c>
      <c r="V186" s="71">
        <v>7.6923076923076886E-2</v>
      </c>
      <c r="W186" s="71">
        <v>0.34615384615384609</v>
      </c>
      <c r="X186" s="71">
        <v>-0.19230769230769235</v>
      </c>
      <c r="Y186" s="71">
        <v>0.34615384615384609</v>
      </c>
      <c r="Z186" s="71">
        <v>7.6923076923076886E-2</v>
      </c>
      <c r="AA186" s="71">
        <v>7.6923076923076886E-2</v>
      </c>
      <c r="AB186" s="71">
        <v>-0.19230769230769235</v>
      </c>
      <c r="AC186" s="71">
        <v>-0.19230769230769235</v>
      </c>
      <c r="AD186" s="71">
        <v>-0.19230769230769235</v>
      </c>
      <c r="AF186" s="68">
        <v>3.7142857142857144</v>
      </c>
    </row>
    <row r="187" spans="1:32">
      <c r="A187" t="s">
        <v>298</v>
      </c>
      <c r="Q187" s="71"/>
      <c r="R187" s="71"/>
      <c r="S187" s="71"/>
      <c r="T187" s="71"/>
      <c r="U187" s="71"/>
      <c r="V187" s="71"/>
      <c r="W187" s="71"/>
      <c r="X187" s="71"/>
      <c r="Y187" s="71"/>
      <c r="Z187" s="71"/>
      <c r="AA187" s="71"/>
      <c r="AB187" s="71"/>
      <c r="AC187" s="71"/>
      <c r="AD187" s="71"/>
      <c r="AF187" s="68" t="e">
        <v>#DIV/0!</v>
      </c>
    </row>
    <row r="188" spans="1:32">
      <c r="A188" t="s">
        <v>366</v>
      </c>
      <c r="B188" s="63">
        <v>4</v>
      </c>
      <c r="C188" s="63">
        <v>1</v>
      </c>
      <c r="D188" s="63">
        <v>2</v>
      </c>
      <c r="E188" s="63">
        <v>1</v>
      </c>
      <c r="F188" s="63">
        <v>1</v>
      </c>
      <c r="G188" s="63">
        <v>2</v>
      </c>
      <c r="H188" s="63">
        <v>1</v>
      </c>
      <c r="I188" s="63">
        <v>0</v>
      </c>
      <c r="J188" s="63">
        <v>3</v>
      </c>
      <c r="K188" s="63">
        <v>3</v>
      </c>
      <c r="L188" s="63">
        <v>2</v>
      </c>
      <c r="M188" s="63">
        <v>3</v>
      </c>
      <c r="N188" s="63">
        <v>4</v>
      </c>
      <c r="O188" s="63">
        <v>0</v>
      </c>
      <c r="Q188" s="71">
        <v>1.074074074074074</v>
      </c>
      <c r="R188" s="71">
        <v>-0.48148148148148151</v>
      </c>
      <c r="S188" s="71">
        <v>3.7037037037037021E-2</v>
      </c>
      <c r="T188" s="71">
        <v>-0.48148148148148151</v>
      </c>
      <c r="U188" s="71">
        <v>-0.48148148148148151</v>
      </c>
      <c r="V188" s="71">
        <v>3.7037037037037021E-2</v>
      </c>
      <c r="W188" s="71">
        <v>-0.48148148148148151</v>
      </c>
      <c r="X188" s="71">
        <v>-1</v>
      </c>
      <c r="Y188" s="71">
        <v>0.55555555555555558</v>
      </c>
      <c r="Z188" s="71">
        <v>0.55555555555555558</v>
      </c>
      <c r="AA188" s="71">
        <v>3.7037037037037021E-2</v>
      </c>
      <c r="AB188" s="71">
        <v>0.55555555555555558</v>
      </c>
      <c r="AC188" s="71">
        <v>1.074074074074074</v>
      </c>
      <c r="AD188" s="71">
        <v>-1</v>
      </c>
      <c r="AF188" s="68">
        <v>1.9285714285714286</v>
      </c>
    </row>
    <row r="189" spans="1:32">
      <c r="A189" t="s">
        <v>298</v>
      </c>
      <c r="Q189" s="71"/>
      <c r="R189" s="71"/>
      <c r="S189" s="71"/>
      <c r="T189" s="71"/>
      <c r="U189" s="71"/>
      <c r="V189" s="71"/>
      <c r="W189" s="71"/>
      <c r="X189" s="71"/>
      <c r="Y189" s="71"/>
      <c r="Z189" s="71"/>
      <c r="AA189" s="71"/>
      <c r="AB189" s="71"/>
      <c r="AC189" s="71"/>
      <c r="AD189" s="71"/>
      <c r="AF189" s="68" t="e">
        <v>#DIV/0!</v>
      </c>
    </row>
    <row r="190" spans="1:32">
      <c r="A190" t="s">
        <v>367</v>
      </c>
      <c r="B190" s="63">
        <v>5</v>
      </c>
      <c r="C190" s="63">
        <v>1</v>
      </c>
      <c r="D190" s="63">
        <v>5</v>
      </c>
      <c r="E190" s="63">
        <v>1</v>
      </c>
      <c r="F190" s="63">
        <v>1</v>
      </c>
      <c r="G190" s="63">
        <v>1</v>
      </c>
      <c r="H190" s="63">
        <v>0</v>
      </c>
      <c r="I190" s="63">
        <v>0</v>
      </c>
      <c r="J190" s="63">
        <v>5</v>
      </c>
      <c r="K190" s="63">
        <v>1</v>
      </c>
      <c r="L190" s="63">
        <v>1</v>
      </c>
      <c r="M190" s="63">
        <v>1</v>
      </c>
      <c r="N190" s="63">
        <v>4</v>
      </c>
      <c r="O190" s="63">
        <v>3</v>
      </c>
      <c r="Q190" s="71">
        <v>1.4137931034482756</v>
      </c>
      <c r="R190" s="71">
        <v>-0.51724137931034486</v>
      </c>
      <c r="S190" s="71">
        <v>1.4137931034482756</v>
      </c>
      <c r="T190" s="71">
        <v>-0.51724137931034486</v>
      </c>
      <c r="U190" s="71">
        <v>-0.51724137931034486</v>
      </c>
      <c r="V190" s="71">
        <v>-0.51724137931034486</v>
      </c>
      <c r="W190" s="71">
        <v>-1</v>
      </c>
      <c r="X190" s="71">
        <v>-1</v>
      </c>
      <c r="Y190" s="71">
        <v>1.4137931034482756</v>
      </c>
      <c r="Z190" s="71">
        <v>-0.51724137931034486</v>
      </c>
      <c r="AA190" s="71">
        <v>-0.51724137931034486</v>
      </c>
      <c r="AB190" s="71">
        <v>-0.51724137931034486</v>
      </c>
      <c r="AC190" s="71">
        <v>0.93103448275862055</v>
      </c>
      <c r="AD190" s="71">
        <v>0.44827586206896536</v>
      </c>
      <c r="AF190" s="68">
        <v>2.0714285714285716</v>
      </c>
    </row>
    <row r="191" spans="1:32">
      <c r="A191" t="s">
        <v>298</v>
      </c>
      <c r="Q191" s="71"/>
      <c r="R191" s="71"/>
      <c r="S191" s="71"/>
      <c r="T191" s="71"/>
      <c r="U191" s="71"/>
      <c r="V191" s="71"/>
      <c r="W191" s="71"/>
      <c r="X191" s="71"/>
      <c r="Y191" s="71"/>
      <c r="Z191" s="71"/>
      <c r="AA191" s="71"/>
      <c r="AB191" s="71"/>
      <c r="AC191" s="71"/>
      <c r="AD191" s="71"/>
      <c r="AF191" s="68" t="e">
        <v>#DIV/0!</v>
      </c>
    </row>
    <row r="192" spans="1:32">
      <c r="A192" t="s">
        <v>119</v>
      </c>
      <c r="B192" s="63">
        <v>4</v>
      </c>
      <c r="C192" s="63">
        <v>2</v>
      </c>
      <c r="D192" s="63">
        <v>4</v>
      </c>
      <c r="E192" s="63">
        <v>1</v>
      </c>
      <c r="F192" s="63">
        <v>2</v>
      </c>
      <c r="G192" s="63">
        <v>3</v>
      </c>
      <c r="H192" s="63">
        <v>1</v>
      </c>
      <c r="I192" s="63">
        <v>0</v>
      </c>
      <c r="J192" s="63">
        <v>5</v>
      </c>
      <c r="K192" s="63">
        <v>2</v>
      </c>
      <c r="L192" s="63">
        <v>1</v>
      </c>
      <c r="M192" s="63">
        <v>1</v>
      </c>
      <c r="N192" s="63">
        <v>4</v>
      </c>
      <c r="O192" s="63">
        <v>1</v>
      </c>
      <c r="Q192" s="71">
        <v>0.80645161290322576</v>
      </c>
      <c r="R192" s="71">
        <v>-9.677419354838715E-2</v>
      </c>
      <c r="S192" s="71">
        <v>0.80645161290322576</v>
      </c>
      <c r="T192" s="71">
        <v>-0.54838709677419362</v>
      </c>
      <c r="U192" s="71">
        <v>-9.677419354838715E-2</v>
      </c>
      <c r="V192" s="71">
        <v>0.35483870967741926</v>
      </c>
      <c r="W192" s="71">
        <v>-0.54838709677419362</v>
      </c>
      <c r="X192" s="71">
        <v>-1</v>
      </c>
      <c r="Y192" s="71">
        <v>1.258064516129032</v>
      </c>
      <c r="Z192" s="71">
        <v>-9.677419354838715E-2</v>
      </c>
      <c r="AA192" s="71">
        <v>-0.54838709677419362</v>
      </c>
      <c r="AB192" s="71">
        <v>-0.54838709677419362</v>
      </c>
      <c r="AC192" s="71">
        <v>0.80645161290322576</v>
      </c>
      <c r="AD192" s="71">
        <v>-0.54838709677419362</v>
      </c>
      <c r="AF192" s="68">
        <v>2.2142857142857144</v>
      </c>
    </row>
    <row r="193" spans="1:32">
      <c r="A193" s="74" t="s">
        <v>1311</v>
      </c>
      <c r="B193" s="75">
        <v>4.166666666666667</v>
      </c>
      <c r="C193" s="75">
        <v>2.1666666666666665</v>
      </c>
      <c r="D193" s="75">
        <v>3.8333333333333335</v>
      </c>
      <c r="E193" s="75">
        <v>2</v>
      </c>
      <c r="F193" s="75">
        <v>2.6666666666666665</v>
      </c>
      <c r="G193" s="75">
        <v>3</v>
      </c>
      <c r="H193" s="75">
        <v>2.8333333333333335</v>
      </c>
      <c r="I193" s="75">
        <v>1.1666666666666667</v>
      </c>
      <c r="J193" s="75">
        <v>4.166666666666667</v>
      </c>
      <c r="K193" s="75">
        <v>3</v>
      </c>
      <c r="L193" s="75">
        <v>2.3333333333333335</v>
      </c>
      <c r="M193" s="75">
        <v>2.3333333333333335</v>
      </c>
      <c r="N193" s="75">
        <v>3.5</v>
      </c>
      <c r="O193" s="75">
        <v>2.1666666666666665</v>
      </c>
      <c r="Q193" s="71">
        <v>0.48305084745762711</v>
      </c>
      <c r="R193" s="71">
        <v>-0.22881355932203401</v>
      </c>
      <c r="S193" s="71">
        <v>0.36440677966101687</v>
      </c>
      <c r="T193" s="71">
        <v>-0.28813559322033905</v>
      </c>
      <c r="U193" s="71">
        <v>-5.0847457627118772E-2</v>
      </c>
      <c r="V193" s="71">
        <v>6.7796610169491442E-2</v>
      </c>
      <c r="W193" s="71">
        <v>8.4745762711864094E-3</v>
      </c>
      <c r="X193" s="71">
        <v>-0.5847457627118644</v>
      </c>
      <c r="Y193" s="71">
        <v>0.48305084745762711</v>
      </c>
      <c r="Z193" s="71">
        <v>6.7796610169491442E-2</v>
      </c>
      <c r="AA193" s="71">
        <v>-0.16949152542372883</v>
      </c>
      <c r="AB193" s="71">
        <v>-0.16949152542372883</v>
      </c>
      <c r="AC193" s="71">
        <v>0.24576271186440668</v>
      </c>
      <c r="AD193" s="71">
        <v>-0.22881355932203401</v>
      </c>
      <c r="AF193" s="68">
        <v>2.8095238095238098</v>
      </c>
    </row>
    <row r="194" spans="1:32">
      <c r="A194" t="s">
        <v>298</v>
      </c>
      <c r="Q194" s="71"/>
      <c r="R194" s="71"/>
      <c r="S194" s="71"/>
      <c r="T194" s="71"/>
      <c r="U194" s="71"/>
      <c r="V194" s="71"/>
      <c r="W194" s="71"/>
      <c r="X194" s="71"/>
      <c r="Y194" s="71"/>
      <c r="Z194" s="71"/>
      <c r="AA194" s="71"/>
      <c r="AB194" s="71"/>
      <c r="AC194" s="71"/>
      <c r="AD194" s="71"/>
      <c r="AF194" s="68" t="e">
        <v>#DIV/0!</v>
      </c>
    </row>
    <row r="195" spans="1:32">
      <c r="A195" t="s">
        <v>298</v>
      </c>
      <c r="Q195" s="71"/>
      <c r="R195" s="71"/>
      <c r="S195" s="71"/>
      <c r="T195" s="71"/>
      <c r="U195" s="71"/>
      <c r="V195" s="71"/>
      <c r="W195" s="71"/>
      <c r="X195" s="71"/>
      <c r="Y195" s="71"/>
      <c r="Z195" s="71"/>
      <c r="AA195" s="71"/>
      <c r="AB195" s="71"/>
      <c r="AC195" s="71"/>
      <c r="AD195" s="71"/>
      <c r="AF195" s="68" t="e">
        <v>#DIV/0!</v>
      </c>
    </row>
    <row r="196" spans="1:32">
      <c r="A196" s="8" t="s">
        <v>1312</v>
      </c>
      <c r="B196" s="59" t="s">
        <v>1241</v>
      </c>
      <c r="C196" s="59" t="s">
        <v>1242</v>
      </c>
      <c r="D196" s="59" t="s">
        <v>1243</v>
      </c>
      <c r="E196" s="59" t="s">
        <v>1244</v>
      </c>
      <c r="F196" s="59" t="s">
        <v>1245</v>
      </c>
      <c r="G196" s="59" t="s">
        <v>1246</v>
      </c>
      <c r="H196" s="59" t="s">
        <v>1247</v>
      </c>
      <c r="I196" s="59" t="s">
        <v>1248</v>
      </c>
      <c r="J196" s="59" t="s">
        <v>1249</v>
      </c>
      <c r="K196" s="59" t="s">
        <v>1250</v>
      </c>
      <c r="L196" s="78" t="s">
        <v>1251</v>
      </c>
      <c r="M196" s="78" t="s">
        <v>1303</v>
      </c>
      <c r="N196" s="78" t="s">
        <v>1304</v>
      </c>
      <c r="O196" s="78" t="s">
        <v>1305</v>
      </c>
      <c r="Q196" s="71"/>
      <c r="R196" s="71"/>
      <c r="S196" s="71"/>
      <c r="T196" s="71"/>
      <c r="U196" s="71"/>
      <c r="V196" s="71"/>
      <c r="W196" s="71"/>
      <c r="X196" s="71"/>
      <c r="Y196" s="71"/>
      <c r="Z196" s="71"/>
      <c r="AA196" s="71"/>
      <c r="AB196" s="71"/>
      <c r="AC196" s="71"/>
      <c r="AD196" s="71"/>
      <c r="AF196" s="68" t="e">
        <v>#DIV/0!</v>
      </c>
    </row>
    <row r="197" spans="1:32">
      <c r="A197" s="79" t="s">
        <v>1320</v>
      </c>
      <c r="B197" s="80">
        <v>8.1999998092651367</v>
      </c>
      <c r="C197" s="80">
        <v>8</v>
      </c>
      <c r="D197" s="80">
        <v>8</v>
      </c>
      <c r="E197" s="80">
        <v>8.8000001907348633</v>
      </c>
      <c r="F197" s="80">
        <v>8.6999998092651367</v>
      </c>
      <c r="G197" s="80">
        <v>9.3000001907348633</v>
      </c>
      <c r="H197" s="80">
        <v>9.1999998092651367</v>
      </c>
      <c r="I197" s="80">
        <v>9.8000001907348633</v>
      </c>
      <c r="J197" s="80">
        <v>8.3999996185302734</v>
      </c>
      <c r="K197" s="80">
        <v>8</v>
      </c>
      <c r="L197" s="80">
        <v>9.6999998092651367</v>
      </c>
      <c r="M197" s="80">
        <v>9</v>
      </c>
      <c r="N197" s="80">
        <v>8.8999996185302734</v>
      </c>
      <c r="O197" s="80">
        <v>8.6999998092651367</v>
      </c>
      <c r="Q197" s="71">
        <v>-6.4384691112969281E-2</v>
      </c>
      <c r="R197" s="71">
        <v>-8.7204555463639019E-2</v>
      </c>
      <c r="S197" s="71">
        <v>-8.7204555463639019E-2</v>
      </c>
      <c r="T197" s="71">
        <v>4.0750107527363693E-3</v>
      </c>
      <c r="U197" s="71">
        <v>-7.3349758294467228E-3</v>
      </c>
      <c r="V197" s="71">
        <v>6.1124726036258931E-2</v>
      </c>
      <c r="W197" s="71">
        <v>4.971473945407584E-2</v>
      </c>
      <c r="X197" s="71">
        <v>0.1181744413197815</v>
      </c>
      <c r="Y197" s="71">
        <v>-4.1564826762299549E-2</v>
      </c>
      <c r="Z197" s="71">
        <v>-8.7204555463639019E-2</v>
      </c>
      <c r="AA197" s="71">
        <v>0.10676445473759839</v>
      </c>
      <c r="AB197" s="71">
        <v>2.6894875103406105E-2</v>
      </c>
      <c r="AC197" s="71">
        <v>1.5484888521223011E-2</v>
      </c>
      <c r="AD197" s="71">
        <v>-7.3349758294467228E-3</v>
      </c>
      <c r="AF197" s="68">
        <v>8.7642856325422009</v>
      </c>
    </row>
    <row r="198" spans="1:32">
      <c r="A198" s="79" t="s">
        <v>1321</v>
      </c>
      <c r="B198" s="80">
        <v>7.3000001907348633</v>
      </c>
      <c r="C198" s="80">
        <v>8</v>
      </c>
      <c r="D198" s="80">
        <v>7.5</v>
      </c>
      <c r="E198" s="80">
        <v>8.6000003814697266</v>
      </c>
      <c r="F198" s="80">
        <v>6.3000001907348633</v>
      </c>
      <c r="G198" s="80">
        <v>9</v>
      </c>
      <c r="H198" s="80">
        <v>8.8000001907348633</v>
      </c>
      <c r="I198" s="80">
        <v>8.8999996185302734</v>
      </c>
      <c r="J198" s="80">
        <v>8.1999998092651367</v>
      </c>
      <c r="K198" s="80">
        <v>7.5999999046325684</v>
      </c>
      <c r="L198" s="80">
        <v>9.3000001907348633</v>
      </c>
      <c r="M198" s="80">
        <v>8.3000001907348633</v>
      </c>
      <c r="N198" s="80">
        <v>7.9000000953674316</v>
      </c>
      <c r="O198" s="80">
        <v>8.6999998092651367</v>
      </c>
      <c r="Q198" s="71">
        <v>-0.10664333777005859</v>
      </c>
      <c r="R198" s="71">
        <v>-2.0979025875876765E-2</v>
      </c>
      <c r="S198" s="71">
        <v>-8.2167836758634469E-2</v>
      </c>
      <c r="T198" s="71">
        <v>5.244759386679039E-2</v>
      </c>
      <c r="U198" s="71">
        <v>-0.229020959535574</v>
      </c>
      <c r="V198" s="71">
        <v>0.10139859588963863</v>
      </c>
      <c r="W198" s="71">
        <v>7.6923094878214512E-2</v>
      </c>
      <c r="X198" s="71">
        <v>8.9160787029729183E-2</v>
      </c>
      <c r="Y198" s="71">
        <v>3.49647513554736E-3</v>
      </c>
      <c r="Z198" s="71">
        <v>-6.9930086252922408E-2</v>
      </c>
      <c r="AA198" s="71">
        <v>0.13811190576097221</v>
      </c>
      <c r="AB198" s="71">
        <v>1.5734283995456812E-2</v>
      </c>
      <c r="AC198" s="71">
        <v>-3.3216776381588826E-2</v>
      </c>
      <c r="AD198" s="71">
        <v>6.468528601830506E-2</v>
      </c>
      <c r="AF198" s="68">
        <v>8.1714286123003284</v>
      </c>
    </row>
    <row r="199" spans="1:32">
      <c r="A199" s="79" t="s">
        <v>1322</v>
      </c>
      <c r="B199" s="80">
        <v>7.5</v>
      </c>
      <c r="C199" s="80">
        <v>7.5</v>
      </c>
      <c r="D199" s="80">
        <v>7.5</v>
      </c>
      <c r="E199" s="80">
        <v>8.1000003814697266</v>
      </c>
      <c r="F199" s="80">
        <v>8.6999998092651367</v>
      </c>
      <c r="G199" s="80">
        <v>9.3000001907348633</v>
      </c>
      <c r="H199" s="80">
        <v>9</v>
      </c>
      <c r="I199" s="80">
        <v>9.3999996185302734</v>
      </c>
      <c r="J199" s="80">
        <v>8.3000001907348633</v>
      </c>
      <c r="K199" s="80">
        <v>7.1999998092651367</v>
      </c>
      <c r="L199" s="80">
        <v>8.5</v>
      </c>
      <c r="M199" s="80">
        <v>8.6999998092651367</v>
      </c>
      <c r="N199" s="80">
        <v>8.8000001907348633</v>
      </c>
      <c r="O199" s="80">
        <v>8.3000001907348633</v>
      </c>
      <c r="Q199" s="71">
        <v>-0.10102739872829977</v>
      </c>
      <c r="R199" s="71">
        <v>-0.10102739872829977</v>
      </c>
      <c r="S199" s="71">
        <v>-0.10102739872829977</v>
      </c>
      <c r="T199" s="71">
        <v>-2.9109544902452763E-2</v>
      </c>
      <c r="U199" s="71">
        <v>4.2808194613116773E-2</v>
      </c>
      <c r="V199" s="71">
        <v>0.11472604843896378</v>
      </c>
      <c r="W199" s="71">
        <v>7.8767121526040276E-2</v>
      </c>
      <c r="X199" s="71">
        <v>0.12671228120308664</v>
      </c>
      <c r="Y199" s="71">
        <v>-5.136965063929585E-3</v>
      </c>
      <c r="Z199" s="71">
        <v>-0.13698632564122326</v>
      </c>
      <c r="AA199" s="71">
        <v>1.8835614774593595E-2</v>
      </c>
      <c r="AB199" s="71">
        <v>4.2808194613116773E-2</v>
      </c>
      <c r="AC199" s="71">
        <v>5.4794541687517094E-2</v>
      </c>
      <c r="AD199" s="71">
        <v>-5.136965063929585E-3</v>
      </c>
      <c r="AF199" s="68">
        <v>8.3428571564810614</v>
      </c>
    </row>
    <row r="200" spans="1:32">
      <c r="A200" s="79" t="s">
        <v>1323</v>
      </c>
      <c r="B200" s="80">
        <v>7.5999999046325684</v>
      </c>
      <c r="C200" s="80">
        <v>7.5</v>
      </c>
      <c r="D200" s="80">
        <v>7.5</v>
      </c>
      <c r="E200" s="80">
        <v>8.1999998092651367</v>
      </c>
      <c r="F200" s="80">
        <v>7.3000001907348633</v>
      </c>
      <c r="G200" s="80">
        <v>8.3000001907348633</v>
      </c>
      <c r="H200" s="80">
        <v>8.8000001907348633</v>
      </c>
      <c r="I200" s="80">
        <v>9.3000001907348633</v>
      </c>
      <c r="J200" s="80">
        <v>8.1000003814697266</v>
      </c>
      <c r="K200" s="80">
        <v>7.1999998092651367</v>
      </c>
      <c r="L200" s="80">
        <v>8.5</v>
      </c>
      <c r="M200" s="80">
        <v>8.3000001907348633</v>
      </c>
      <c r="N200" s="80">
        <v>8.5</v>
      </c>
      <c r="O200" s="80">
        <v>8.3000001907348633</v>
      </c>
      <c r="Q200" s="71">
        <v>-6.1728415515256728E-2</v>
      </c>
      <c r="R200" s="71">
        <v>-7.4074082639638009E-2</v>
      </c>
      <c r="S200" s="71">
        <v>-7.4074082639638009E-2</v>
      </c>
      <c r="T200" s="71">
        <v>1.234564609981535E-2</v>
      </c>
      <c r="U200" s="71">
        <v>-9.8765416888400556E-2</v>
      </c>
      <c r="V200" s="71">
        <v>2.4691372092981046E-2</v>
      </c>
      <c r="W200" s="71">
        <v>8.6419766583671842E-2</v>
      </c>
      <c r="X200" s="71">
        <v>0.14814816107436266</v>
      </c>
      <c r="Y200" s="71">
        <v>3.7844218492262192E-8</v>
      </c>
      <c r="Z200" s="71">
        <v>-0.11111114288156625</v>
      </c>
      <c r="AA200" s="71">
        <v>4.9382706341743597E-2</v>
      </c>
      <c r="AB200" s="71">
        <v>2.4691372092981046E-2</v>
      </c>
      <c r="AC200" s="71">
        <v>4.9382706341743597E-2</v>
      </c>
      <c r="AD200" s="71">
        <v>2.4691372092981046E-2</v>
      </c>
      <c r="AF200" s="68">
        <v>8.1000000749315539</v>
      </c>
    </row>
    <row r="201" spans="1:32">
      <c r="A201" s="79" t="s">
        <v>298</v>
      </c>
      <c r="B201" s="80"/>
      <c r="C201" s="80"/>
      <c r="D201" s="80"/>
      <c r="E201" s="80"/>
      <c r="F201" s="80"/>
      <c r="G201" s="80"/>
      <c r="H201" s="80"/>
      <c r="I201" s="80"/>
      <c r="J201" s="80"/>
      <c r="K201" s="80"/>
      <c r="L201" s="80"/>
      <c r="M201" s="80"/>
      <c r="N201" s="80"/>
      <c r="O201" s="80"/>
      <c r="Q201" s="71"/>
      <c r="R201" s="71"/>
      <c r="S201" s="71"/>
      <c r="T201" s="71"/>
      <c r="U201" s="71"/>
      <c r="V201" s="71"/>
      <c r="W201" s="71"/>
      <c r="X201" s="71"/>
      <c r="Y201" s="71"/>
      <c r="Z201" s="71"/>
      <c r="AA201" s="71"/>
      <c r="AB201" s="71"/>
      <c r="AC201" s="71"/>
      <c r="AD201" s="71"/>
      <c r="AF201" s="68" t="e">
        <v>#DIV/0!</v>
      </c>
    </row>
    <row r="202" spans="1:32">
      <c r="A202" s="79" t="s">
        <v>1324</v>
      </c>
      <c r="B202" s="80">
        <v>6.6999998092651367</v>
      </c>
      <c r="C202" s="80">
        <v>7</v>
      </c>
      <c r="D202" s="80">
        <v>8</v>
      </c>
      <c r="E202" s="80">
        <v>8.3999996185302734</v>
      </c>
      <c r="F202" s="80">
        <v>6.3000001907348633</v>
      </c>
      <c r="G202" s="80">
        <v>7.3000001907348633</v>
      </c>
      <c r="H202" s="80">
        <v>7.6999998092651367</v>
      </c>
      <c r="I202" s="80">
        <v>10</v>
      </c>
      <c r="J202" s="80">
        <v>8.1000003814697266</v>
      </c>
      <c r="K202" s="80">
        <v>8.3999996185302734</v>
      </c>
      <c r="L202" s="80">
        <v>8.5</v>
      </c>
      <c r="M202" s="80">
        <v>7.3000001907348633</v>
      </c>
      <c r="N202" s="80">
        <v>8.6000003814697266</v>
      </c>
      <c r="O202" s="80">
        <v>9</v>
      </c>
      <c r="Q202" s="71">
        <v>-0.15723272983857312</v>
      </c>
      <c r="R202" s="71">
        <v>-0.11949685685483064</v>
      </c>
      <c r="S202" s="71">
        <v>6.2893064516221309E-3</v>
      </c>
      <c r="T202" s="71">
        <v>5.6603723790589915E-2</v>
      </c>
      <c r="U202" s="71">
        <v>-0.20754714717754091</v>
      </c>
      <c r="V202" s="71">
        <v>-8.1760983871088141E-2</v>
      </c>
      <c r="W202" s="71">
        <v>-3.1446566532120357E-2</v>
      </c>
      <c r="X202" s="71">
        <v>0.25786163306452764</v>
      </c>
      <c r="Y202" s="71">
        <v>1.8867970765880728E-2</v>
      </c>
      <c r="Z202" s="71">
        <v>5.6603723790589915E-2</v>
      </c>
      <c r="AA202" s="71">
        <v>6.9182388104848516E-2</v>
      </c>
      <c r="AB202" s="71">
        <v>-8.1760983871088141E-2</v>
      </c>
      <c r="AC202" s="71">
        <v>8.1761052419107111E-2</v>
      </c>
      <c r="AD202" s="71">
        <v>0.13207546975807491</v>
      </c>
      <c r="AF202" s="68">
        <v>7.9500000136239191</v>
      </c>
    </row>
    <row r="203" spans="1:32">
      <c r="A203" s="79" t="s">
        <v>1325</v>
      </c>
      <c r="B203" s="80">
        <v>7.0999999046325684</v>
      </c>
      <c r="C203" s="80">
        <v>8</v>
      </c>
      <c r="D203" s="80">
        <v>8.5</v>
      </c>
      <c r="E203" s="80">
        <v>7.9000000953674316</v>
      </c>
      <c r="F203" s="80">
        <v>8.6999998092651367</v>
      </c>
      <c r="G203" s="80">
        <v>7.6999998092651367</v>
      </c>
      <c r="H203" s="80">
        <v>8.8000001907348633</v>
      </c>
      <c r="I203" s="80">
        <v>9.8000001907348633</v>
      </c>
      <c r="J203" s="80">
        <v>8.1999998092651367</v>
      </c>
      <c r="K203" s="80">
        <v>7.1999998092651367</v>
      </c>
      <c r="L203" s="80">
        <v>9</v>
      </c>
      <c r="M203" s="80">
        <v>7</v>
      </c>
      <c r="N203" s="80">
        <v>9.1999998092651367</v>
      </c>
      <c r="O203" s="80">
        <v>8.5</v>
      </c>
      <c r="Q203" s="71">
        <v>-0.14013841559798698</v>
      </c>
      <c r="R203" s="71">
        <v>-3.1141863716392076E-2</v>
      </c>
      <c r="S203" s="71">
        <v>2.9411769801333417E-2</v>
      </c>
      <c r="T203" s="71">
        <v>-4.3252578870248165E-2</v>
      </c>
      <c r="U203" s="71">
        <v>5.3633200109045598E-2</v>
      </c>
      <c r="V203" s="71">
        <v>-6.7474066926405396E-2</v>
      </c>
      <c r="W203" s="71">
        <v>6.574397301134674E-2</v>
      </c>
      <c r="X203" s="71">
        <v>0.18685124004679773</v>
      </c>
      <c r="Y203" s="71">
        <v>-6.9204334086798991E-3</v>
      </c>
      <c r="Z203" s="71">
        <v>-0.12802770044413089</v>
      </c>
      <c r="AA203" s="71">
        <v>8.9965403319058918E-2</v>
      </c>
      <c r="AB203" s="71">
        <v>-0.15224913075184307</v>
      </c>
      <c r="AC203" s="71">
        <v>0.11418683362677109</v>
      </c>
      <c r="AD203" s="71">
        <v>2.9411769801333417E-2</v>
      </c>
      <c r="AF203" s="68">
        <v>8.2571428162711005</v>
      </c>
    </row>
    <row r="204" spans="1:32">
      <c r="A204" s="79" t="s">
        <v>1326</v>
      </c>
      <c r="B204" s="80">
        <v>6.9000000953674316</v>
      </c>
      <c r="C204" s="80" t="s">
        <v>1327</v>
      </c>
      <c r="D204" s="80">
        <v>5.5</v>
      </c>
      <c r="E204" s="80">
        <v>8.6000003814697266</v>
      </c>
      <c r="F204" s="80">
        <v>8</v>
      </c>
      <c r="G204" s="80">
        <v>7.6999998092651367</v>
      </c>
      <c r="H204" s="80">
        <v>8.1000003814697266</v>
      </c>
      <c r="I204" s="80">
        <v>8.6000003814697266</v>
      </c>
      <c r="J204" s="80">
        <v>7.4000000953674316</v>
      </c>
      <c r="K204" s="80">
        <v>6</v>
      </c>
      <c r="L204" s="80">
        <v>7.8000001907348633</v>
      </c>
      <c r="M204" s="80">
        <v>8</v>
      </c>
      <c r="N204" s="80">
        <v>8.3999996185302734</v>
      </c>
      <c r="O204" s="80">
        <v>8.5</v>
      </c>
      <c r="Q204" s="71">
        <v>-9.8492458492140528E-2</v>
      </c>
      <c r="R204" s="71" t="e">
        <v>#VALUE!</v>
      </c>
      <c r="S204" s="71">
        <v>-0.28140704206335326</v>
      </c>
      <c r="T204" s="71">
        <v>0.12361812952302199</v>
      </c>
      <c r="U204" s="71">
        <v>4.5226120635122498E-2</v>
      </c>
      <c r="V204" s="71">
        <v>6.0301161911727498E-3</v>
      </c>
      <c r="W204" s="71">
        <v>5.8291496983326835E-2</v>
      </c>
      <c r="X204" s="71">
        <v>0.12361812952302199</v>
      </c>
      <c r="Y204" s="71">
        <v>-3.3165825952445369E-2</v>
      </c>
      <c r="Z204" s="71">
        <v>-0.21608040952365812</v>
      </c>
      <c r="AA204" s="71">
        <v>1.9095492539377087E-2</v>
      </c>
      <c r="AB204" s="71">
        <v>4.5226120635122498E-2</v>
      </c>
      <c r="AC204" s="71">
        <v>9.748737682661332E-2</v>
      </c>
      <c r="AD204" s="71">
        <v>0.11055275317481765</v>
      </c>
      <c r="AF204" s="68">
        <v>7.6538462272057171</v>
      </c>
    </row>
    <row r="205" spans="1:32">
      <c r="A205" s="79" t="s">
        <v>1328</v>
      </c>
      <c r="B205" s="80">
        <v>6.6999998092651367</v>
      </c>
      <c r="C205" s="80" t="s">
        <v>1327</v>
      </c>
      <c r="D205" s="80">
        <v>5</v>
      </c>
      <c r="E205" s="80">
        <v>9</v>
      </c>
      <c r="F205" s="80">
        <v>9</v>
      </c>
      <c r="G205" s="80">
        <v>8.6999998092651367</v>
      </c>
      <c r="H205" s="80">
        <v>8.8999996185302734</v>
      </c>
      <c r="I205" s="80">
        <v>8.8000001907348633</v>
      </c>
      <c r="J205" s="80">
        <v>8</v>
      </c>
      <c r="K205" s="80">
        <v>6</v>
      </c>
      <c r="L205" s="80">
        <v>8.1999998092651367</v>
      </c>
      <c r="M205" s="80">
        <v>8.3000001907348633</v>
      </c>
      <c r="N205" s="80">
        <v>9</v>
      </c>
      <c r="O205" s="80">
        <v>8.5</v>
      </c>
      <c r="Q205" s="71">
        <v>-0.1633045341094356</v>
      </c>
      <c r="R205" s="71" t="e">
        <v>#VALUE!</v>
      </c>
      <c r="S205" s="71">
        <v>-0.37560038081379132</v>
      </c>
      <c r="T205" s="71">
        <v>0.12391931453517559</v>
      </c>
      <c r="U205" s="71">
        <v>0.12391931453517559</v>
      </c>
      <c r="V205" s="71">
        <v>8.6455313565047862E-2</v>
      </c>
      <c r="W205" s="71">
        <v>0.11143127451354101</v>
      </c>
      <c r="X205" s="71">
        <v>9.8943353586682437E-2</v>
      </c>
      <c r="Y205" s="71">
        <v>-9.6060930206614658E-4</v>
      </c>
      <c r="Z205" s="71">
        <v>-0.2507204569765496</v>
      </c>
      <c r="AA205" s="71">
        <v>2.4015351646426999E-2</v>
      </c>
      <c r="AB205" s="71">
        <v>3.6503391668061574E-2</v>
      </c>
      <c r="AC205" s="71">
        <v>0.12391931453517559</v>
      </c>
      <c r="AD205" s="71">
        <v>6.1479352616554718E-2</v>
      </c>
      <c r="AF205" s="68">
        <v>8.0076922636765708</v>
      </c>
    </row>
    <row r="206" spans="1:32">
      <c r="A206" s="79" t="s">
        <v>1329</v>
      </c>
      <c r="B206" s="80">
        <v>6.8000001907348633</v>
      </c>
      <c r="C206" s="80">
        <v>7</v>
      </c>
      <c r="D206" s="80">
        <v>7.5</v>
      </c>
      <c r="E206" s="80">
        <v>9.1000003814697266</v>
      </c>
      <c r="F206" s="80">
        <v>8.3000001907348633</v>
      </c>
      <c r="G206" s="80">
        <v>7.3000001907348633</v>
      </c>
      <c r="H206" s="80">
        <v>8.1999998092651367</v>
      </c>
      <c r="I206" s="80">
        <v>9.5</v>
      </c>
      <c r="J206" s="80">
        <v>7.6999998092651367</v>
      </c>
      <c r="K206" s="80">
        <v>7.5</v>
      </c>
      <c r="L206" s="80">
        <v>7.8000001907348633</v>
      </c>
      <c r="M206" s="80" t="s">
        <v>1327</v>
      </c>
      <c r="N206" s="80">
        <v>8.6000003814697266</v>
      </c>
      <c r="O206" s="80">
        <v>9</v>
      </c>
      <c r="Q206" s="71"/>
      <c r="R206" s="71"/>
      <c r="S206" s="71"/>
      <c r="T206" s="71"/>
      <c r="U206" s="71"/>
      <c r="V206" s="71"/>
      <c r="W206" s="71"/>
      <c r="X206" s="71"/>
      <c r="Y206" s="71"/>
      <c r="Z206" s="71"/>
      <c r="AA206" s="71"/>
      <c r="AB206" s="71"/>
      <c r="AC206" s="71"/>
      <c r="AD206" s="71"/>
      <c r="AF206" s="68"/>
    </row>
    <row r="207" spans="1:32">
      <c r="A207" s="79" t="s">
        <v>1330</v>
      </c>
      <c r="B207" s="80">
        <v>6.6999998092651367</v>
      </c>
      <c r="C207" s="80">
        <v>7</v>
      </c>
      <c r="D207" s="80">
        <v>7.5</v>
      </c>
      <c r="E207" s="80">
        <v>9</v>
      </c>
      <c r="F207" s="80">
        <v>10</v>
      </c>
      <c r="G207" s="80">
        <v>7.3000001907348633</v>
      </c>
      <c r="H207" s="80">
        <v>7.8000001907348633</v>
      </c>
      <c r="I207" s="80">
        <v>9.3000001907348633</v>
      </c>
      <c r="J207" s="80">
        <v>7</v>
      </c>
      <c r="K207" s="80">
        <v>8</v>
      </c>
      <c r="L207" s="80">
        <v>8</v>
      </c>
      <c r="M207" s="80" t="s">
        <v>1327</v>
      </c>
      <c r="N207" s="80">
        <v>8.8999996185302734</v>
      </c>
      <c r="O207" s="80">
        <v>8.6999998092651367</v>
      </c>
      <c r="Q207" s="71"/>
      <c r="R207" s="71"/>
      <c r="S207" s="71"/>
      <c r="T207" s="71"/>
      <c r="U207" s="71"/>
      <c r="V207" s="71"/>
      <c r="W207" s="71"/>
      <c r="X207" s="71"/>
      <c r="Y207" s="71"/>
      <c r="Z207" s="71"/>
      <c r="AA207" s="71"/>
      <c r="AB207" s="71"/>
      <c r="AC207" s="71"/>
      <c r="AD207" s="71"/>
      <c r="AF207" s="68"/>
    </row>
    <row r="208" spans="1:32">
      <c r="A208" s="79" t="s">
        <v>1331</v>
      </c>
      <c r="B208" s="80">
        <v>7.3000001907348633</v>
      </c>
      <c r="C208" s="80">
        <v>7</v>
      </c>
      <c r="D208" s="80">
        <v>6</v>
      </c>
      <c r="E208" s="80">
        <v>8.8000001907348633</v>
      </c>
      <c r="F208" s="80">
        <v>8</v>
      </c>
      <c r="G208" s="80">
        <v>9</v>
      </c>
      <c r="H208" s="80">
        <v>8.5</v>
      </c>
      <c r="I208" s="80">
        <v>9</v>
      </c>
      <c r="J208" s="80">
        <v>8</v>
      </c>
      <c r="K208" s="80">
        <v>7.1999998092651367</v>
      </c>
      <c r="L208" s="80">
        <v>8.5</v>
      </c>
      <c r="M208" s="80">
        <v>8.5</v>
      </c>
      <c r="N208" s="80">
        <v>9</v>
      </c>
      <c r="O208" s="80">
        <v>9</v>
      </c>
      <c r="Q208" s="71">
        <v>-0.101933194209179</v>
      </c>
      <c r="R208" s="71">
        <v>-0.13884007174211974</v>
      </c>
      <c r="S208" s="71">
        <v>-0.26186291863610262</v>
      </c>
      <c r="T208" s="71">
        <v>8.2601076131795348E-2</v>
      </c>
      <c r="U208" s="71">
        <v>-1.5817224848136854E-2</v>
      </c>
      <c r="V208" s="71">
        <v>0.10720562204584604</v>
      </c>
      <c r="W208" s="71">
        <v>4.5694198598854589E-2</v>
      </c>
      <c r="X208" s="71">
        <v>0.10720562204584604</v>
      </c>
      <c r="Y208" s="71">
        <v>-1.5817224848136854E-2</v>
      </c>
      <c r="Z208" s="71">
        <v>-0.11423552582806905</v>
      </c>
      <c r="AA208" s="71">
        <v>4.5694198598854589E-2</v>
      </c>
      <c r="AB208" s="71">
        <v>4.5694198598854589E-2</v>
      </c>
      <c r="AC208" s="71">
        <v>0.10720562204584604</v>
      </c>
      <c r="AD208" s="71">
        <v>0.10720562204584604</v>
      </c>
      <c r="AF208" s="68">
        <v>8.1285714421953479</v>
      </c>
    </row>
    <row r="209" spans="1:32">
      <c r="A209" s="79" t="s">
        <v>1332</v>
      </c>
      <c r="B209" s="80">
        <v>7.0999999046325684</v>
      </c>
      <c r="C209" s="80">
        <v>7</v>
      </c>
      <c r="D209" s="80" t="s">
        <v>1327</v>
      </c>
      <c r="E209" s="80">
        <v>9</v>
      </c>
      <c r="F209" s="80">
        <v>5</v>
      </c>
      <c r="G209" s="80">
        <v>9.6999998092651367</v>
      </c>
      <c r="H209" s="80">
        <v>7.1999998092651367</v>
      </c>
      <c r="I209" s="80">
        <v>8.5</v>
      </c>
      <c r="J209" s="80">
        <v>6.4000000953674316</v>
      </c>
      <c r="K209" s="80">
        <v>5.8000001907348633</v>
      </c>
      <c r="L209" s="80">
        <v>3.5</v>
      </c>
      <c r="M209" s="80">
        <v>9</v>
      </c>
      <c r="N209" s="80">
        <v>7.3000001907348633</v>
      </c>
      <c r="O209" s="80">
        <v>8.1999998092651367</v>
      </c>
      <c r="Q209" s="71">
        <v>-1.4941313253912264E-2</v>
      </c>
      <c r="R209" s="71">
        <v>-2.8815366219436856E-2</v>
      </c>
      <c r="S209" s="71" t="e">
        <v>#VALUE!</v>
      </c>
      <c r="T209" s="71">
        <v>0.2486659577178669</v>
      </c>
      <c r="U209" s="71">
        <v>-0.3062966901567406</v>
      </c>
      <c r="V209" s="71">
        <v>0.34578439463324201</v>
      </c>
      <c r="W209" s="71">
        <v>-1.0672602883876722E-3</v>
      </c>
      <c r="X209" s="71">
        <v>0.17929562673354096</v>
      </c>
      <c r="Y209" s="71">
        <v>-0.11205975016928739</v>
      </c>
      <c r="Z209" s="71">
        <v>-0.19530413411913791</v>
      </c>
      <c r="AA209" s="71">
        <v>-0.51440768310971841</v>
      </c>
      <c r="AB209" s="71">
        <v>0.2486659577178669</v>
      </c>
      <c r="AC209" s="71">
        <v>1.2806858833839899E-2</v>
      </c>
      <c r="AD209" s="71">
        <v>0.13767340168026421</v>
      </c>
      <c r="AF209" s="68">
        <v>7.2076922930203953</v>
      </c>
    </row>
    <row r="210" spans="1:32">
      <c r="A210" s="79" t="s">
        <v>1333</v>
      </c>
      <c r="B210" s="80">
        <v>6.5</v>
      </c>
      <c r="C210" s="80">
        <v>8.5</v>
      </c>
      <c r="D210" s="80">
        <v>6.5</v>
      </c>
      <c r="E210" s="80">
        <v>8.5</v>
      </c>
      <c r="F210" s="80">
        <v>8.3000001907348633</v>
      </c>
      <c r="G210" s="80">
        <v>8.3000001907348633</v>
      </c>
      <c r="H210" s="80">
        <v>9.1000003814697266</v>
      </c>
      <c r="I210" s="80">
        <v>9.8000001907348633</v>
      </c>
      <c r="J210" s="80">
        <v>9</v>
      </c>
      <c r="K210" s="80">
        <v>8</v>
      </c>
      <c r="L210" s="80">
        <v>8.1999998092651367</v>
      </c>
      <c r="M210" s="80">
        <v>9</v>
      </c>
      <c r="N210" s="80">
        <v>8.8999996185302734</v>
      </c>
      <c r="O210" s="80">
        <v>7.8000001907348633</v>
      </c>
      <c r="Q210" s="71">
        <v>-0.21821306226238896</v>
      </c>
      <c r="R210" s="71">
        <v>2.2336764733799062E-2</v>
      </c>
      <c r="S210" s="71">
        <v>-0.21821306226238896</v>
      </c>
      <c r="T210" s="71">
        <v>2.2336764733799062E-2</v>
      </c>
      <c r="U210" s="71">
        <v>-1.718195025200557E-3</v>
      </c>
      <c r="V210" s="71">
        <v>-1.718195025200557E-3</v>
      </c>
      <c r="W210" s="71">
        <v>9.4501758713893838E-2</v>
      </c>
      <c r="X210" s="71">
        <v>0.17869417522194045</v>
      </c>
      <c r="Y210" s="71">
        <v>8.2474221482846069E-2</v>
      </c>
      <c r="Z210" s="71">
        <v>-3.7800692015247939E-2</v>
      </c>
      <c r="AA210" s="71">
        <v>-1.3745732256248321E-2</v>
      </c>
      <c r="AB210" s="71">
        <v>8.2474221482846069E-2</v>
      </c>
      <c r="AC210" s="71">
        <v>7.04466842517983E-2</v>
      </c>
      <c r="AD210" s="71">
        <v>-6.185565177424756E-2</v>
      </c>
      <c r="AF210" s="68">
        <v>8.3142857551574707</v>
      </c>
    </row>
    <row r="211" spans="1:32">
      <c r="A211" s="79" t="s">
        <v>1334</v>
      </c>
      <c r="B211" s="80">
        <v>6.6999998092651367</v>
      </c>
      <c r="C211" s="80">
        <v>9</v>
      </c>
      <c r="D211" s="80">
        <v>5.5</v>
      </c>
      <c r="E211" s="80">
        <v>8.1999998092651367</v>
      </c>
      <c r="F211" s="80">
        <v>8</v>
      </c>
      <c r="G211" s="80">
        <v>8</v>
      </c>
      <c r="H211" s="80">
        <v>9</v>
      </c>
      <c r="I211" s="80">
        <v>8.6999998092651367</v>
      </c>
      <c r="J211" s="80">
        <v>7.3000001907348633</v>
      </c>
      <c r="K211" s="80">
        <v>7.1999998092651367</v>
      </c>
      <c r="L211" s="80">
        <v>8.5</v>
      </c>
      <c r="M211" s="80">
        <v>8</v>
      </c>
      <c r="N211" s="80">
        <v>7.4000000953674316</v>
      </c>
      <c r="O211" s="80">
        <v>10</v>
      </c>
      <c r="Q211" s="71">
        <v>-0.15874441496992078</v>
      </c>
      <c r="R211" s="71">
        <v>0.13004484788203918</v>
      </c>
      <c r="S211" s="71">
        <v>-0.30941703740542048</v>
      </c>
      <c r="T211" s="71">
        <v>2.9596393010419074E-2</v>
      </c>
      <c r="U211" s="71">
        <v>4.4843092284792656E-3</v>
      </c>
      <c r="V211" s="71">
        <v>4.4843092284792656E-3</v>
      </c>
      <c r="W211" s="71">
        <v>0.13004484788203918</v>
      </c>
      <c r="X211" s="71">
        <v>9.2376662337199031E-2</v>
      </c>
      <c r="Y211" s="71">
        <v>-8.3408043880240493E-2</v>
      </c>
      <c r="Z211" s="71">
        <v>-9.5964145643140833E-2</v>
      </c>
      <c r="AA211" s="71">
        <v>6.7264578555259219E-2</v>
      </c>
      <c r="AB211" s="71">
        <v>4.4843092284792656E-3</v>
      </c>
      <c r="AC211" s="71">
        <v>-7.0852001989270594E-2</v>
      </c>
      <c r="AD211" s="71">
        <v>0.25560538653559906</v>
      </c>
      <c r="AF211" s="68">
        <v>7.9642856802259177</v>
      </c>
    </row>
    <row r="212" spans="1:32">
      <c r="A212" s="79" t="s">
        <v>1335</v>
      </c>
      <c r="B212" s="80" t="s">
        <v>1327</v>
      </c>
      <c r="C212" s="80" t="s">
        <v>1327</v>
      </c>
      <c r="D212" s="80" t="s">
        <v>1327</v>
      </c>
      <c r="E212" s="80" t="s">
        <v>1327</v>
      </c>
      <c r="F212" s="80" t="s">
        <v>1327</v>
      </c>
      <c r="G212" s="80" t="s">
        <v>1327</v>
      </c>
      <c r="H212" s="80">
        <v>9.5</v>
      </c>
      <c r="I212" s="80">
        <v>10</v>
      </c>
      <c r="J212" s="80">
        <v>7.8000001907348633</v>
      </c>
      <c r="K212" s="80" t="s">
        <v>1327</v>
      </c>
      <c r="L212" s="80" t="s">
        <v>1327</v>
      </c>
      <c r="M212" s="80">
        <v>10</v>
      </c>
      <c r="N212" s="80">
        <v>8.6000003814697266</v>
      </c>
      <c r="O212" s="80">
        <v>8.1999998092651367</v>
      </c>
      <c r="Q212" s="71" t="e">
        <v>#VALUE!</v>
      </c>
      <c r="R212" s="71" t="e">
        <v>#VALUE!</v>
      </c>
      <c r="S212" s="71" t="e">
        <v>#VALUE!</v>
      </c>
      <c r="T212" s="71" t="e">
        <v>#VALUE!</v>
      </c>
      <c r="U212" s="71" t="e">
        <v>#VALUE!</v>
      </c>
      <c r="V212" s="71" t="e">
        <v>#VALUE!</v>
      </c>
      <c r="W212" s="71">
        <v>5.3604428800033327E-2</v>
      </c>
      <c r="X212" s="71">
        <v>0.10905729347371929</v>
      </c>
      <c r="Y212" s="71">
        <v>-0.13493528993690984</v>
      </c>
      <c r="Z212" s="71" t="e">
        <v>#VALUE!</v>
      </c>
      <c r="AA212" s="71" t="e">
        <v>#VALUE!</v>
      </c>
      <c r="AB212" s="71">
        <v>0.10905729347371929</v>
      </c>
      <c r="AC212" s="71">
        <v>-4.621068530542316E-2</v>
      </c>
      <c r="AD212" s="71">
        <v>-9.0573040505139313E-2</v>
      </c>
      <c r="AF212" s="68">
        <v>9.016666730244955</v>
      </c>
    </row>
    <row r="213" spans="1:32">
      <c r="A213" s="79" t="s">
        <v>1336</v>
      </c>
      <c r="B213" s="80" t="s">
        <v>1327</v>
      </c>
      <c r="C213" s="80" t="s">
        <v>1327</v>
      </c>
      <c r="D213" s="80" t="s">
        <v>1327</v>
      </c>
      <c r="E213" s="80" t="s">
        <v>1327</v>
      </c>
      <c r="F213" s="80" t="s">
        <v>1327</v>
      </c>
      <c r="G213" s="80" t="s">
        <v>1327</v>
      </c>
      <c r="H213" s="80">
        <v>6.5</v>
      </c>
      <c r="I213" s="80">
        <v>10</v>
      </c>
      <c r="J213" s="80">
        <v>6.3000001907348633</v>
      </c>
      <c r="K213" s="80" t="s">
        <v>1327</v>
      </c>
      <c r="L213" s="80" t="s">
        <v>1327</v>
      </c>
      <c r="M213" s="80" t="s">
        <v>1327</v>
      </c>
      <c r="N213" s="80">
        <v>7.1999998092651367</v>
      </c>
      <c r="O213" s="80">
        <v>9.5</v>
      </c>
      <c r="Q213" s="71" t="e">
        <v>#VALUE!</v>
      </c>
      <c r="R213" s="71" t="e">
        <v>#VALUE!</v>
      </c>
      <c r="S213" s="71" t="e">
        <v>#VALUE!</v>
      </c>
      <c r="T213" s="71" t="e">
        <v>#VALUE!</v>
      </c>
      <c r="U213" s="71" t="e">
        <v>#VALUE!</v>
      </c>
      <c r="V213" s="71" t="e">
        <v>#VALUE!</v>
      </c>
      <c r="W213" s="71">
        <v>-0.17721518987341775</v>
      </c>
      <c r="X213" s="71">
        <v>0.2658227848101265</v>
      </c>
      <c r="Y213" s="71">
        <v>-0.2025316214259667</v>
      </c>
      <c r="Z213" s="71" t="e">
        <v>#VALUE!</v>
      </c>
      <c r="AA213" s="71" t="e">
        <v>#VALUE!</v>
      </c>
      <c r="AB213" s="71" t="e">
        <v>#VALUE!</v>
      </c>
      <c r="AC213" s="71">
        <v>-8.8607619080362479E-2</v>
      </c>
      <c r="AD213" s="71">
        <v>0.20253164556962019</v>
      </c>
      <c r="AF213" s="68">
        <v>7.9</v>
      </c>
    </row>
    <row r="214" spans="1:32">
      <c r="A214" s="79" t="s">
        <v>1337</v>
      </c>
      <c r="B214" s="80">
        <v>6.5</v>
      </c>
      <c r="C214" s="80">
        <v>8</v>
      </c>
      <c r="D214" s="80">
        <v>8</v>
      </c>
      <c r="E214" s="80">
        <v>8.3999996185302734</v>
      </c>
      <c r="F214" s="80">
        <v>7</v>
      </c>
      <c r="G214" s="80">
        <v>8.3000001907348633</v>
      </c>
      <c r="H214" s="80">
        <v>8.3000001907348633</v>
      </c>
      <c r="I214" s="80">
        <v>8.1999998092651367</v>
      </c>
      <c r="J214" s="80">
        <v>8.3000001907348633</v>
      </c>
      <c r="K214" s="80">
        <v>6.1999998092651367</v>
      </c>
      <c r="L214" s="80">
        <v>9.3000001907348633</v>
      </c>
      <c r="M214" s="80" t="s">
        <v>1327</v>
      </c>
      <c r="N214" s="80">
        <v>8.5</v>
      </c>
      <c r="O214" s="80">
        <v>10</v>
      </c>
      <c r="Q214" s="71">
        <v>-0.19523809523809521</v>
      </c>
      <c r="R214" s="71">
        <v>-9.52380952380949E-3</v>
      </c>
      <c r="S214" s="71">
        <v>-9.52380952380949E-3</v>
      </c>
      <c r="T214" s="71">
        <v>3.9999952770414841E-2</v>
      </c>
      <c r="U214" s="71">
        <v>-0.1333333333333333</v>
      </c>
      <c r="V214" s="71">
        <v>2.7619071233840251E-2</v>
      </c>
      <c r="W214" s="71">
        <v>2.7619071233840251E-2</v>
      </c>
      <c r="X214" s="71">
        <v>1.5238071623302676E-2</v>
      </c>
      <c r="Y214" s="71">
        <v>2.7619071233840251E-2</v>
      </c>
      <c r="Z214" s="71">
        <v>-0.23238097599574495</v>
      </c>
      <c r="AA214" s="71">
        <v>0.15142859504336406</v>
      </c>
      <c r="AB214" s="71" t="e">
        <v>#VALUE!</v>
      </c>
      <c r="AC214" s="71">
        <v>5.2380952380952417E-2</v>
      </c>
      <c r="AD214" s="71">
        <v>0.23809523809523814</v>
      </c>
      <c r="AF214" s="68">
        <v>8.0769230769230766</v>
      </c>
    </row>
    <row r="215" spans="1:32">
      <c r="A215" s="79" t="s">
        <v>1338</v>
      </c>
      <c r="B215" s="80">
        <v>6.8000001907348633</v>
      </c>
      <c r="C215" s="80">
        <v>8</v>
      </c>
      <c r="D215" s="80">
        <v>7</v>
      </c>
      <c r="E215" s="80">
        <v>7.1999998092651367</v>
      </c>
      <c r="F215" s="80" t="s">
        <v>1327</v>
      </c>
      <c r="G215" s="80">
        <v>7.3000001907348633</v>
      </c>
      <c r="H215" s="80">
        <v>8.6000003814697266</v>
      </c>
      <c r="I215" s="80">
        <v>8.8999996185302734</v>
      </c>
      <c r="J215" s="80">
        <v>7.3000001907348633</v>
      </c>
      <c r="K215" s="80">
        <v>6.1999998092651367</v>
      </c>
      <c r="L215" s="80">
        <v>5</v>
      </c>
      <c r="M215" s="80">
        <v>10</v>
      </c>
      <c r="N215" s="80">
        <v>8.8999996185302734</v>
      </c>
      <c r="O215" s="80">
        <v>10</v>
      </c>
      <c r="Q215" s="71">
        <v>-0.12648218729087427</v>
      </c>
      <c r="R215" s="71">
        <v>2.7667986126601922E-2</v>
      </c>
      <c r="S215" s="71">
        <v>-0.10079051213922331</v>
      </c>
      <c r="T215" s="71">
        <v>-7.5098836987572373E-2</v>
      </c>
      <c r="U215" s="71" t="e">
        <v>#VALUE!</v>
      </c>
      <c r="V215" s="71">
        <v>-6.2252938157961638E-2</v>
      </c>
      <c r="W215" s="71">
        <v>0.10474313408912528</v>
      </c>
      <c r="X215" s="71">
        <v>0.14328058556281642</v>
      </c>
      <c r="Y215" s="71">
        <v>-6.2252938157961638E-2</v>
      </c>
      <c r="Z215" s="71">
        <v>-0.20355733525339761</v>
      </c>
      <c r="AA215" s="71">
        <v>-0.35770750867087381</v>
      </c>
      <c r="AB215" s="71">
        <v>0.28458498265825238</v>
      </c>
      <c r="AC215" s="71">
        <v>0.14328058556281642</v>
      </c>
      <c r="AD215" s="71">
        <v>0.28458498265825238</v>
      </c>
      <c r="AF215" s="68">
        <v>7.7846153699434719</v>
      </c>
    </row>
    <row r="216" spans="1:32">
      <c r="A216" s="79" t="s">
        <v>1339</v>
      </c>
      <c r="B216" s="80">
        <v>7.5</v>
      </c>
      <c r="C216" s="80">
        <v>8.5</v>
      </c>
      <c r="D216" s="80">
        <v>7</v>
      </c>
      <c r="E216" s="80">
        <v>6.8000001907348633</v>
      </c>
      <c r="F216" s="80">
        <v>8.8000001907348633</v>
      </c>
      <c r="G216" s="80">
        <v>6.8000001907348633</v>
      </c>
      <c r="H216" s="80">
        <v>7.9000000953674316</v>
      </c>
      <c r="I216" s="80">
        <v>8.8999996185302734</v>
      </c>
      <c r="J216" s="80">
        <v>8.1000003814697266</v>
      </c>
      <c r="K216" s="80">
        <v>6.5999999046325684</v>
      </c>
      <c r="L216" s="80">
        <v>8.5</v>
      </c>
      <c r="M216" s="80" t="s">
        <v>1327</v>
      </c>
      <c r="N216" s="80">
        <v>8.6999998092651367</v>
      </c>
      <c r="O216" s="80">
        <v>10</v>
      </c>
      <c r="Q216" s="71">
        <v>-6.3400579801002152E-2</v>
      </c>
      <c r="R216" s="71">
        <v>6.1479342892197551E-2</v>
      </c>
      <c r="S216" s="71">
        <v>-0.12584054114760201</v>
      </c>
      <c r="T216" s="71">
        <v>-0.15081650186728698</v>
      </c>
      <c r="U216" s="71">
        <v>9.8943343519112451E-2</v>
      </c>
      <c r="V216" s="71">
        <v>-0.15081650186728698</v>
      </c>
      <c r="W216" s="71">
        <v>-1.3448598814244784E-2</v>
      </c>
      <c r="X216" s="71">
        <v>0.11143126433156747</v>
      </c>
      <c r="Y216" s="71">
        <v>1.1527421452827631E-2</v>
      </c>
      <c r="Z216" s="71">
        <v>-0.17579252213435939</v>
      </c>
      <c r="AA216" s="71">
        <v>6.1479342892197551E-2</v>
      </c>
      <c r="AB216" s="71" t="e">
        <v>#VALUE!</v>
      </c>
      <c r="AC216" s="71">
        <v>8.6455303611882514E-2</v>
      </c>
      <c r="AD216" s="71">
        <v>0.24879922693199713</v>
      </c>
      <c r="AF216" s="68">
        <v>8.0076923370361328</v>
      </c>
    </row>
    <row r="217" spans="1:32">
      <c r="A217" s="79" t="s">
        <v>1340</v>
      </c>
      <c r="B217" s="80">
        <v>7.5</v>
      </c>
      <c r="C217" s="80">
        <v>8</v>
      </c>
      <c r="D217" s="80">
        <v>7</v>
      </c>
      <c r="E217" s="80">
        <v>8.5</v>
      </c>
      <c r="F217" s="80">
        <v>7.5</v>
      </c>
      <c r="G217" s="80">
        <v>8.6999998092651367</v>
      </c>
      <c r="H217" s="80">
        <v>8.1999998092651367</v>
      </c>
      <c r="I217" s="80">
        <v>8</v>
      </c>
      <c r="J217" s="80">
        <v>8.3999996185302734</v>
      </c>
      <c r="K217" s="80">
        <v>7.8000001907348633</v>
      </c>
      <c r="L217" s="80">
        <v>7.8000001907348633</v>
      </c>
      <c r="M217" s="80" t="s">
        <v>1327</v>
      </c>
      <c r="N217" s="80">
        <v>8.3999996185302734</v>
      </c>
      <c r="O217" s="80">
        <v>9</v>
      </c>
      <c r="Q217" s="71">
        <v>-6.9656481776757845E-2</v>
      </c>
      <c r="R217" s="71">
        <v>-7.6335805618750301E-3</v>
      </c>
      <c r="S217" s="71">
        <v>-0.13167938299164064</v>
      </c>
      <c r="T217" s="71">
        <v>5.4389320653007778E-2</v>
      </c>
      <c r="U217" s="71">
        <v>-6.9656481776757845E-2</v>
      </c>
      <c r="V217" s="71">
        <v>7.9198457479101744E-2</v>
      </c>
      <c r="W217" s="71">
        <v>1.7175556264218926E-2</v>
      </c>
      <c r="X217" s="71">
        <v>-7.6335805618750301E-3</v>
      </c>
      <c r="Y217" s="71">
        <v>4.1984693090312886E-2</v>
      </c>
      <c r="Z217" s="71">
        <v>-3.2442717387968986E-2</v>
      </c>
      <c r="AA217" s="71">
        <v>-3.2442717387968986E-2</v>
      </c>
      <c r="AB217" s="71" t="e">
        <v>#VALUE!</v>
      </c>
      <c r="AC217" s="71">
        <v>4.1984693090312886E-2</v>
      </c>
      <c r="AD217" s="71">
        <v>0.11641222186789059</v>
      </c>
      <c r="AF217" s="68">
        <v>8.061538402850811</v>
      </c>
    </row>
    <row r="218" spans="1:32">
      <c r="A218" s="79" t="s">
        <v>1341</v>
      </c>
      <c r="B218" s="80">
        <v>7.3000001907348633</v>
      </c>
      <c r="C218" s="80">
        <v>7.5</v>
      </c>
      <c r="D218" s="80">
        <v>7</v>
      </c>
      <c r="E218" s="80">
        <v>8.6000003814697266</v>
      </c>
      <c r="F218" s="80">
        <v>7</v>
      </c>
      <c r="G218" s="80">
        <v>9.6999998092651367</v>
      </c>
      <c r="H218" s="80">
        <v>7.8000001907348633</v>
      </c>
      <c r="I218" s="80">
        <v>7.1999998092651367</v>
      </c>
      <c r="J218" s="80">
        <v>7.4000000953674316</v>
      </c>
      <c r="K218" s="80">
        <v>7.8000001907348633</v>
      </c>
      <c r="L218" s="80">
        <v>9</v>
      </c>
      <c r="M218" s="80" t="s">
        <v>1327</v>
      </c>
      <c r="N218" s="80">
        <v>8.1000003814697266</v>
      </c>
      <c r="O218" s="80">
        <v>10</v>
      </c>
      <c r="Q218" s="71">
        <v>-9.0996153965802351E-2</v>
      </c>
      <c r="R218" s="71">
        <v>-6.6091963407169774E-2</v>
      </c>
      <c r="S218" s="71">
        <v>-0.12835249918002511</v>
      </c>
      <c r="T218" s="71">
        <v>7.0881262794131109E-2</v>
      </c>
      <c r="U218" s="71">
        <v>-0.12835249918002511</v>
      </c>
      <c r="V218" s="71">
        <v>0.2078543702428842</v>
      </c>
      <c r="W218" s="71">
        <v>-2.8735618192947007E-2</v>
      </c>
      <c r="X218" s="71">
        <v>-0.10344830862139254</v>
      </c>
      <c r="Y218" s="71">
        <v>-7.8544058686486062E-2</v>
      </c>
      <c r="Z218" s="71">
        <v>-2.8735618192947007E-2</v>
      </c>
      <c r="AA218" s="71">
        <v>0.12068964391139628</v>
      </c>
      <c r="AB218" s="71" t="e">
        <v>#VALUE!</v>
      </c>
      <c r="AC218" s="71">
        <v>8.6207270212757606E-3</v>
      </c>
      <c r="AD218" s="71">
        <v>0.24521071545710696</v>
      </c>
      <c r="AF218" s="68">
        <v>8.0307693114647503</v>
      </c>
    </row>
    <row r="219" spans="1:32">
      <c r="A219" s="79" t="s">
        <v>1342</v>
      </c>
      <c r="B219" s="80">
        <v>7.8000001907348633</v>
      </c>
      <c r="C219" s="80">
        <v>8</v>
      </c>
      <c r="D219" s="80">
        <v>6</v>
      </c>
      <c r="E219" s="80">
        <v>7.4000000953674316</v>
      </c>
      <c r="F219" s="80">
        <v>9</v>
      </c>
      <c r="G219" s="80">
        <v>9.3000001907348633</v>
      </c>
      <c r="H219" s="80">
        <v>8.3000001907348633</v>
      </c>
      <c r="I219" s="80">
        <v>8.5</v>
      </c>
      <c r="J219" s="80">
        <v>7.5999999046325684</v>
      </c>
      <c r="K219" s="80">
        <v>7.4000000953674316</v>
      </c>
      <c r="L219" s="80">
        <v>8.6999998092651367</v>
      </c>
      <c r="M219" s="80" t="s">
        <v>1327</v>
      </c>
      <c r="N219" s="80">
        <v>8.1999998092651367</v>
      </c>
      <c r="O219" s="80">
        <v>8.3000001907348633</v>
      </c>
      <c r="Q219" s="71">
        <v>-2.9665052470225162E-2</v>
      </c>
      <c r="R219" s="71">
        <v>-4.7846935364175263E-3</v>
      </c>
      <c r="S219" s="71">
        <v>-0.25358852015231315</v>
      </c>
      <c r="T219" s="71">
        <v>-7.9425829657295249E-2</v>
      </c>
      <c r="U219" s="71">
        <v>0.11961721977153028</v>
      </c>
      <c r="V219" s="71">
        <v>0.15693781749169655</v>
      </c>
      <c r="W219" s="71">
        <v>3.2535904183748743E-2</v>
      </c>
      <c r="X219" s="71">
        <v>5.7416263117556376E-2</v>
      </c>
      <c r="Y219" s="71">
        <v>-5.4545470723487616E-2</v>
      </c>
      <c r="Z219" s="71">
        <v>-7.9425829657295249E-2</v>
      </c>
      <c r="AA219" s="71">
        <v>8.229662205136401E-2</v>
      </c>
      <c r="AB219" s="71" t="e">
        <v>#VALUE!</v>
      </c>
      <c r="AC219" s="71">
        <v>2.0095665397390109E-2</v>
      </c>
      <c r="AD219" s="71">
        <v>3.2535904183748743E-2</v>
      </c>
      <c r="AF219" s="68">
        <v>8.0384615751413193</v>
      </c>
    </row>
    <row r="220" spans="1:32">
      <c r="A220" s="79" t="s">
        <v>1343</v>
      </c>
      <c r="B220" s="80">
        <v>7.3000001907348633</v>
      </c>
      <c r="C220" s="80">
        <v>8</v>
      </c>
      <c r="D220" s="80">
        <v>8</v>
      </c>
      <c r="E220" s="80">
        <v>8.3999996185302734</v>
      </c>
      <c r="F220" s="80">
        <v>6</v>
      </c>
      <c r="G220" s="80">
        <v>9.3000001907348633</v>
      </c>
      <c r="H220" s="80">
        <v>8.6999998092651367</v>
      </c>
      <c r="I220" s="80">
        <v>9</v>
      </c>
      <c r="J220" s="80">
        <v>8.5</v>
      </c>
      <c r="K220" s="80">
        <v>7.1999998092651367</v>
      </c>
      <c r="L220" s="80">
        <v>9.3000001907348633</v>
      </c>
      <c r="M220" s="80">
        <v>8.5</v>
      </c>
      <c r="N220" s="80">
        <v>8.8999996185302734</v>
      </c>
      <c r="O220" s="80">
        <v>8.6999998092651367</v>
      </c>
      <c r="Q220" s="71">
        <v>-0.11744383986506914</v>
      </c>
      <c r="R220" s="71">
        <v>-3.2815192246084271E-2</v>
      </c>
      <c r="S220" s="71">
        <v>-3.2815192246084271E-2</v>
      </c>
      <c r="T220" s="71">
        <v>1.5544002022645997E-2</v>
      </c>
      <c r="U220" s="71">
        <v>-0.27461139418456321</v>
      </c>
      <c r="V220" s="71">
        <v>0.1243523620734098</v>
      </c>
      <c r="W220" s="71">
        <v>5.1813455372900594E-2</v>
      </c>
      <c r="X220" s="71">
        <v>8.808290872315519E-2</v>
      </c>
      <c r="Y220" s="71">
        <v>2.7633858238535463E-2</v>
      </c>
      <c r="Z220" s="71">
        <v>-0.1295336960809586</v>
      </c>
      <c r="AA220" s="71">
        <v>0.1243523620734098</v>
      </c>
      <c r="AB220" s="71">
        <v>2.7633858238535463E-2</v>
      </c>
      <c r="AC220" s="71">
        <v>7.5993052507265735E-2</v>
      </c>
      <c r="AD220" s="71">
        <v>5.1813455372900594E-2</v>
      </c>
      <c r="AF220" s="68">
        <v>8.2714285169328967</v>
      </c>
    </row>
    <row r="221" spans="1:32">
      <c r="A221" s="79" t="s">
        <v>10</v>
      </c>
      <c r="B221" s="80">
        <v>7.6999998092651367</v>
      </c>
      <c r="C221" s="80">
        <v>8</v>
      </c>
      <c r="D221" s="80">
        <v>6.5</v>
      </c>
      <c r="E221" s="80">
        <v>9.1000003814697266</v>
      </c>
      <c r="F221" s="80">
        <v>8.6999998092651367</v>
      </c>
      <c r="G221" s="80">
        <v>9.6999998092651367</v>
      </c>
      <c r="H221" s="80">
        <v>8.8000001907348633</v>
      </c>
      <c r="I221" s="80">
        <v>8.6999998092651367</v>
      </c>
      <c r="J221" s="80">
        <v>8</v>
      </c>
      <c r="K221" s="80">
        <v>6.8000001907348633</v>
      </c>
      <c r="L221" s="80">
        <v>8</v>
      </c>
      <c r="M221" s="80">
        <v>8</v>
      </c>
      <c r="N221" s="80">
        <v>9.1000003814697266</v>
      </c>
      <c r="O221" s="80">
        <v>9</v>
      </c>
      <c r="Q221" s="71">
        <v>-7.1490120796610643E-2</v>
      </c>
      <c r="R221" s="71">
        <v>-3.5314387321260611E-2</v>
      </c>
      <c r="S221" s="71">
        <v>-0.21619293969852424</v>
      </c>
      <c r="T221" s="71">
        <v>9.7329930421860666E-2</v>
      </c>
      <c r="U221" s="71">
        <v>4.9095580788231778E-2</v>
      </c>
      <c r="V221" s="71">
        <v>0.1696812823730742</v>
      </c>
      <c r="W221" s="71">
        <v>6.1154196946510635E-2</v>
      </c>
      <c r="X221" s="71">
        <v>4.9095580788231778E-2</v>
      </c>
      <c r="Y221" s="71">
        <v>-3.5314387321260611E-2</v>
      </c>
      <c r="Z221" s="71">
        <v>-0.18001720622317421</v>
      </c>
      <c r="AA221" s="71">
        <v>-3.5314387321260611E-2</v>
      </c>
      <c r="AB221" s="71">
        <v>-3.5314387321260611E-2</v>
      </c>
      <c r="AC221" s="71">
        <v>9.7329930421860666E-2</v>
      </c>
      <c r="AD221" s="71">
        <v>8.527131426358181E-2</v>
      </c>
      <c r="AF221" s="68">
        <v>8.2928571701049805</v>
      </c>
    </row>
    <row r="222" spans="1:32">
      <c r="A222" s="79" t="s">
        <v>1344</v>
      </c>
      <c r="B222" s="80">
        <v>7.5999999046325684</v>
      </c>
      <c r="C222" s="80">
        <v>8</v>
      </c>
      <c r="D222" s="80">
        <v>8</v>
      </c>
      <c r="E222" s="80">
        <v>9.1000003814697266</v>
      </c>
      <c r="F222" s="80">
        <v>5</v>
      </c>
      <c r="G222" s="80">
        <v>9.3000001907348633</v>
      </c>
      <c r="H222" s="80">
        <v>8.6999998092651367</v>
      </c>
      <c r="I222" s="80">
        <v>8.3999996185302734</v>
      </c>
      <c r="J222" s="80">
        <v>8.3000001907348633</v>
      </c>
      <c r="K222" s="80">
        <v>6.5</v>
      </c>
      <c r="L222" s="80">
        <v>8</v>
      </c>
      <c r="M222" s="80">
        <v>8</v>
      </c>
      <c r="N222" s="80">
        <v>9.5</v>
      </c>
      <c r="O222" s="80">
        <v>7.8000001907348633</v>
      </c>
      <c r="Q222" s="71">
        <v>-5.1693418952377349E-2</v>
      </c>
      <c r="R222" s="71">
        <v>-1.782533739681952E-3</v>
      </c>
      <c r="S222" s="71">
        <v>-1.782533739681952E-3</v>
      </c>
      <c r="T222" s="71">
        <v>0.13547241546982977</v>
      </c>
      <c r="U222" s="71">
        <v>-0.3761140835873012</v>
      </c>
      <c r="V222" s="71">
        <v>0.16042782832697872</v>
      </c>
      <c r="W222" s="71">
        <v>8.5561470758736879E-2</v>
      </c>
      <c r="X222" s="71">
        <v>4.8128291974615961E-2</v>
      </c>
      <c r="Y222" s="71">
        <v>3.5650645044438968E-2</v>
      </c>
      <c r="Z222" s="71">
        <v>-0.18894830866349158</v>
      </c>
      <c r="AA222" s="71">
        <v>-1.782533739681952E-3</v>
      </c>
      <c r="AB222" s="71">
        <v>-1.782533739681952E-3</v>
      </c>
      <c r="AC222" s="71">
        <v>0.18538324118412769</v>
      </c>
      <c r="AD222" s="71">
        <v>-2.673794659683091E-2</v>
      </c>
      <c r="AF222" s="68">
        <v>8.014285734721593</v>
      </c>
    </row>
    <row r="223" spans="1:32">
      <c r="A223" s="74" t="s">
        <v>1311</v>
      </c>
      <c r="B223" s="75">
        <v>7.3644736722895967</v>
      </c>
      <c r="C223" s="75">
        <v>7.7720588235294112</v>
      </c>
      <c r="D223" s="75">
        <v>7.2993421052631575</v>
      </c>
      <c r="E223" s="75">
        <v>8.4230264362535969</v>
      </c>
      <c r="F223" s="75">
        <v>7.7250000105963812</v>
      </c>
      <c r="G223" s="75">
        <v>8.6822369286888517</v>
      </c>
      <c r="H223" s="75">
        <v>8.6454545801336113</v>
      </c>
      <c r="I223" s="75">
        <v>9.170454480431296</v>
      </c>
      <c r="J223" s="75">
        <v>7.968181848526001</v>
      </c>
      <c r="K223" s="75">
        <v>7.2710525518969487</v>
      </c>
      <c r="L223" s="75">
        <v>8.4894736942492024</v>
      </c>
      <c r="M223" s="75">
        <v>8.502884653898386</v>
      </c>
      <c r="N223" s="75">
        <v>8.5339285390717645</v>
      </c>
      <c r="O223" s="75">
        <v>8.7190476145063123</v>
      </c>
    </row>
    <row r="224" spans="1:32">
      <c r="A224" t="s">
        <v>298</v>
      </c>
      <c r="B224" s="68"/>
      <c r="C224" s="68"/>
      <c r="D224" s="68"/>
      <c r="E224" s="68"/>
      <c r="F224" s="68"/>
      <c r="G224" s="68"/>
      <c r="H224" s="68"/>
      <c r="I224" s="68"/>
      <c r="J224" s="68"/>
      <c r="K224" s="68"/>
      <c r="L224" s="68"/>
      <c r="M224" s="68"/>
      <c r="N224" s="68"/>
      <c r="O224" s="68"/>
    </row>
    <row r="225" spans="1:32">
      <c r="A225" s="81" t="s">
        <v>1313</v>
      </c>
      <c r="B225" s="68"/>
      <c r="C225"/>
      <c r="D225"/>
      <c r="E225"/>
      <c r="F225"/>
      <c r="G225"/>
      <c r="H225"/>
      <c r="I225"/>
      <c r="J225"/>
      <c r="K225"/>
      <c r="L225"/>
      <c r="M225"/>
      <c r="N225"/>
      <c r="O225"/>
      <c r="AF225"/>
    </row>
    <row r="226" spans="1:32">
      <c r="A226" t="s">
        <v>23</v>
      </c>
      <c r="B226" s="63">
        <v>0</v>
      </c>
      <c r="C226" s="63">
        <v>0</v>
      </c>
      <c r="D226" s="63">
        <v>0</v>
      </c>
      <c r="E226" s="63">
        <v>0</v>
      </c>
      <c r="F226" s="63">
        <v>0</v>
      </c>
      <c r="G226" s="63">
        <v>0</v>
      </c>
      <c r="H226" s="63">
        <v>0</v>
      </c>
      <c r="I226" s="63">
        <v>0</v>
      </c>
      <c r="J226" s="63">
        <v>0</v>
      </c>
      <c r="K226" s="63">
        <v>0</v>
      </c>
      <c r="L226" s="63">
        <v>2</v>
      </c>
      <c r="AF226"/>
    </row>
    <row r="227" spans="1:32" ht="15" customHeight="1">
      <c r="A227" t="s">
        <v>24</v>
      </c>
      <c r="B227" s="63">
        <v>0</v>
      </c>
      <c r="C227" s="63">
        <v>0</v>
      </c>
      <c r="D227" s="63">
        <v>0</v>
      </c>
      <c r="E227" s="63">
        <v>0</v>
      </c>
      <c r="F227" s="63">
        <v>0</v>
      </c>
      <c r="G227" s="63">
        <v>0</v>
      </c>
      <c r="H227" s="63">
        <v>0</v>
      </c>
      <c r="I227" s="63">
        <v>0</v>
      </c>
      <c r="J227" s="63">
        <v>0</v>
      </c>
      <c r="K227" s="63">
        <v>0</v>
      </c>
      <c r="L227" s="63">
        <v>0</v>
      </c>
      <c r="AF227"/>
    </row>
    <row r="228" spans="1:32" ht="15" customHeight="1">
      <c r="A228" t="s">
        <v>25</v>
      </c>
      <c r="B228" s="63">
        <v>0</v>
      </c>
      <c r="C228" s="63">
        <v>0</v>
      </c>
      <c r="D228" s="63">
        <v>0</v>
      </c>
      <c r="E228" s="63">
        <v>0</v>
      </c>
      <c r="F228" s="63">
        <v>0</v>
      </c>
      <c r="G228" s="63">
        <v>0</v>
      </c>
      <c r="H228" s="63">
        <v>1</v>
      </c>
      <c r="I228" s="63">
        <v>0</v>
      </c>
      <c r="J228" s="63">
        <v>0</v>
      </c>
      <c r="K228" s="63">
        <v>0</v>
      </c>
      <c r="L228" s="63">
        <v>0</v>
      </c>
      <c r="AF228"/>
    </row>
    <row r="229" spans="1:32" ht="15" customHeight="1">
      <c r="A229" t="s">
        <v>11</v>
      </c>
      <c r="B229" s="63">
        <v>0</v>
      </c>
      <c r="C229" s="63">
        <v>0</v>
      </c>
      <c r="D229" s="63">
        <v>0</v>
      </c>
      <c r="E229" s="63">
        <v>0</v>
      </c>
      <c r="F229" s="63">
        <v>0</v>
      </c>
      <c r="G229" s="63">
        <v>0</v>
      </c>
      <c r="H229" s="63">
        <v>0</v>
      </c>
      <c r="I229" s="63">
        <v>0</v>
      </c>
      <c r="J229" s="63">
        <v>0</v>
      </c>
      <c r="K229" s="63">
        <v>0</v>
      </c>
      <c r="L229" s="63">
        <v>0</v>
      </c>
      <c r="AF229"/>
    </row>
    <row r="230" spans="1:32" ht="15" customHeight="1">
      <c r="A230" t="s">
        <v>10</v>
      </c>
      <c r="B230" s="63">
        <v>0</v>
      </c>
      <c r="C230" s="63">
        <v>0</v>
      </c>
      <c r="D230" s="63">
        <v>0</v>
      </c>
      <c r="E230" s="63">
        <v>0</v>
      </c>
      <c r="F230" s="63">
        <v>0</v>
      </c>
      <c r="G230" s="63">
        <v>0</v>
      </c>
      <c r="H230" s="63">
        <v>0</v>
      </c>
      <c r="I230" s="63">
        <v>0</v>
      </c>
      <c r="J230" s="63">
        <v>0</v>
      </c>
      <c r="K230" s="63">
        <v>0</v>
      </c>
      <c r="L230" s="63">
        <v>0</v>
      </c>
    </row>
    <row r="231" spans="1:32" ht="15" customHeight="1">
      <c r="A231" t="s">
        <v>33</v>
      </c>
      <c r="B231" s="63">
        <v>1</v>
      </c>
      <c r="C231" s="63">
        <v>0</v>
      </c>
      <c r="D231" s="63">
        <v>1</v>
      </c>
      <c r="E231" s="63">
        <v>0</v>
      </c>
      <c r="F231" s="63">
        <v>0</v>
      </c>
      <c r="G231" s="63">
        <v>0</v>
      </c>
      <c r="H231" s="63">
        <v>3</v>
      </c>
      <c r="I231" s="63">
        <v>0</v>
      </c>
      <c r="J231" s="63">
        <v>3</v>
      </c>
      <c r="K231" s="63">
        <v>0</v>
      </c>
      <c r="L231" s="63">
        <v>0</v>
      </c>
    </row>
    <row r="232" spans="1:32" s="81" customFormat="1" ht="15" customHeight="1">
      <c r="A232" s="82" t="s">
        <v>1314</v>
      </c>
      <c r="B232" s="83">
        <v>1</v>
      </c>
      <c r="C232" s="83">
        <v>0</v>
      </c>
      <c r="D232" s="83">
        <v>1</v>
      </c>
      <c r="E232" s="83">
        <v>0</v>
      </c>
      <c r="F232" s="83">
        <v>0</v>
      </c>
      <c r="G232" s="83">
        <v>0</v>
      </c>
      <c r="H232" s="83">
        <v>4</v>
      </c>
      <c r="I232" s="83">
        <v>0</v>
      </c>
      <c r="J232" s="83">
        <v>3</v>
      </c>
      <c r="K232" s="83">
        <v>0</v>
      </c>
      <c r="L232" s="83">
        <v>2</v>
      </c>
      <c r="M232" s="83"/>
      <c r="N232" s="83"/>
      <c r="O232" s="83"/>
      <c r="P232" s="83">
        <v>11</v>
      </c>
      <c r="AF232" s="83"/>
    </row>
    <row r="233" spans="1:32">
      <c r="A233" t="s">
        <v>298</v>
      </c>
    </row>
    <row r="234" spans="1:32" ht="15" customHeight="1">
      <c r="A234" s="81" t="s">
        <v>1315</v>
      </c>
    </row>
    <row r="235" spans="1:32" ht="15" customHeight="1">
      <c r="A235" t="s">
        <v>23</v>
      </c>
      <c r="B235" s="63">
        <v>2</v>
      </c>
      <c r="C235" s="63">
        <v>0</v>
      </c>
      <c r="D235" s="63">
        <v>1</v>
      </c>
      <c r="E235" s="63">
        <v>3</v>
      </c>
      <c r="F235" s="63">
        <v>0</v>
      </c>
      <c r="G235" s="63">
        <v>0</v>
      </c>
      <c r="H235" s="63">
        <v>3</v>
      </c>
      <c r="I235" s="63">
        <v>0</v>
      </c>
      <c r="J235" s="63">
        <v>2</v>
      </c>
      <c r="K235" s="63">
        <v>0</v>
      </c>
      <c r="L235" s="63">
        <v>6</v>
      </c>
    </row>
    <row r="236" spans="1:32" ht="15" customHeight="1">
      <c r="A236" t="s">
        <v>24</v>
      </c>
      <c r="B236" s="63">
        <v>6</v>
      </c>
      <c r="C236" s="63">
        <v>0</v>
      </c>
      <c r="D236" s="63">
        <v>2</v>
      </c>
      <c r="E236" s="63">
        <v>3</v>
      </c>
      <c r="F236" s="63">
        <v>2</v>
      </c>
      <c r="G236" s="63">
        <v>2</v>
      </c>
      <c r="H236" s="63">
        <v>7</v>
      </c>
      <c r="I236" s="63">
        <v>4</v>
      </c>
      <c r="J236" s="63">
        <v>6</v>
      </c>
      <c r="K236" s="63">
        <v>0</v>
      </c>
      <c r="L236" s="63">
        <v>8</v>
      </c>
    </row>
    <row r="237" spans="1:32" ht="15" customHeight="1">
      <c r="A237" t="s">
        <v>25</v>
      </c>
      <c r="B237" s="63">
        <v>7</v>
      </c>
      <c r="C237" s="63">
        <v>0</v>
      </c>
      <c r="D237" s="63">
        <v>0</v>
      </c>
      <c r="E237" s="63">
        <v>1</v>
      </c>
      <c r="F237" s="63">
        <v>0</v>
      </c>
      <c r="G237" s="63">
        <v>1</v>
      </c>
      <c r="H237" s="63">
        <v>5</v>
      </c>
      <c r="I237" s="63">
        <v>0</v>
      </c>
      <c r="J237" s="63">
        <v>2</v>
      </c>
      <c r="K237" s="63">
        <v>2</v>
      </c>
      <c r="L237" s="63">
        <v>2</v>
      </c>
    </row>
    <row r="238" spans="1:32" ht="15" customHeight="1">
      <c r="A238" t="s">
        <v>11</v>
      </c>
      <c r="B238" s="63">
        <v>3</v>
      </c>
      <c r="C238" s="63">
        <v>2</v>
      </c>
      <c r="D238" s="63">
        <v>0</v>
      </c>
      <c r="E238" s="63">
        <v>4</v>
      </c>
      <c r="F238" s="63">
        <v>1</v>
      </c>
      <c r="G238" s="63">
        <v>2</v>
      </c>
      <c r="H238" s="63">
        <v>1</v>
      </c>
      <c r="I238" s="63">
        <v>0</v>
      </c>
      <c r="J238" s="63">
        <v>1</v>
      </c>
      <c r="K238" s="63">
        <v>0</v>
      </c>
      <c r="L238" s="63">
        <v>10</v>
      </c>
    </row>
    <row r="239" spans="1:32" ht="15" customHeight="1">
      <c r="A239" t="s">
        <v>10</v>
      </c>
      <c r="B239" s="63">
        <v>2</v>
      </c>
      <c r="C239" s="63">
        <v>0</v>
      </c>
      <c r="D239" s="63">
        <v>0</v>
      </c>
      <c r="E239" s="63">
        <v>3</v>
      </c>
      <c r="F239" s="63">
        <v>0</v>
      </c>
      <c r="G239" s="63">
        <v>0</v>
      </c>
      <c r="H239" s="63">
        <v>0</v>
      </c>
      <c r="I239" s="63">
        <v>0</v>
      </c>
      <c r="J239" s="63">
        <v>0</v>
      </c>
      <c r="K239" s="63">
        <v>0</v>
      </c>
      <c r="L239" s="63">
        <v>4</v>
      </c>
    </row>
    <row r="240" spans="1:32" ht="15" customHeight="1">
      <c r="A240" t="s">
        <v>33</v>
      </c>
      <c r="B240" s="63">
        <v>5</v>
      </c>
      <c r="C240" s="63">
        <v>0</v>
      </c>
      <c r="D240" s="63">
        <v>4</v>
      </c>
      <c r="E240" s="63">
        <v>0</v>
      </c>
      <c r="F240" s="63">
        <v>3</v>
      </c>
      <c r="G240" s="63">
        <v>3</v>
      </c>
      <c r="H240" s="63">
        <v>0</v>
      </c>
      <c r="I240" s="63">
        <v>0</v>
      </c>
      <c r="J240" s="63">
        <v>1</v>
      </c>
      <c r="K240" s="63">
        <v>3</v>
      </c>
      <c r="L240" s="63">
        <v>1</v>
      </c>
    </row>
    <row r="241" spans="1:32" s="81" customFormat="1" ht="15" customHeight="1">
      <c r="A241" s="82" t="s">
        <v>1314</v>
      </c>
      <c r="B241" s="83">
        <v>25</v>
      </c>
      <c r="C241" s="83">
        <v>2</v>
      </c>
      <c r="D241" s="83">
        <v>7</v>
      </c>
      <c r="E241" s="83">
        <v>14</v>
      </c>
      <c r="F241" s="83">
        <v>6</v>
      </c>
      <c r="G241" s="83">
        <v>8</v>
      </c>
      <c r="H241" s="83">
        <v>16</v>
      </c>
      <c r="I241" s="83">
        <v>4</v>
      </c>
      <c r="J241" s="83">
        <v>12</v>
      </c>
      <c r="K241" s="83">
        <v>5</v>
      </c>
      <c r="L241" s="83">
        <v>31</v>
      </c>
      <c r="M241" s="83"/>
      <c r="N241" s="83"/>
      <c r="O241" s="83"/>
      <c r="P241" s="83">
        <v>130</v>
      </c>
      <c r="AF241" s="83"/>
    </row>
    <row r="242" spans="1:32">
      <c r="A242" t="s">
        <v>298</v>
      </c>
    </row>
    <row r="243" spans="1:32" ht="15" customHeight="1">
      <c r="A243" s="81" t="s">
        <v>1316</v>
      </c>
    </row>
    <row r="244" spans="1:32" ht="15" customHeight="1">
      <c r="A244" t="s">
        <v>23</v>
      </c>
      <c r="B244" s="63">
        <v>6</v>
      </c>
      <c r="C244" s="63">
        <v>1</v>
      </c>
      <c r="D244" s="63">
        <v>7</v>
      </c>
      <c r="E244" s="63">
        <v>5</v>
      </c>
      <c r="F244" s="63">
        <v>8</v>
      </c>
      <c r="G244" s="63">
        <v>2</v>
      </c>
      <c r="H244" s="63">
        <v>5</v>
      </c>
      <c r="I244" s="63">
        <v>3</v>
      </c>
      <c r="J244" s="63">
        <v>4</v>
      </c>
      <c r="K244" s="63">
        <v>6</v>
      </c>
      <c r="L244" s="63">
        <v>0</v>
      </c>
    </row>
    <row r="245" spans="1:32" ht="15" customHeight="1">
      <c r="A245" t="s">
        <v>24</v>
      </c>
      <c r="B245" s="63">
        <v>16</v>
      </c>
      <c r="C245" s="63">
        <v>9</v>
      </c>
      <c r="D245" s="63">
        <v>16</v>
      </c>
      <c r="E245" s="63">
        <v>17</v>
      </c>
      <c r="F245" s="63">
        <v>18</v>
      </c>
      <c r="G245" s="63">
        <v>9</v>
      </c>
      <c r="H245" s="63">
        <v>13</v>
      </c>
      <c r="I245" s="63">
        <v>7</v>
      </c>
      <c r="J245" s="63">
        <v>15</v>
      </c>
      <c r="K245" s="63">
        <v>23</v>
      </c>
      <c r="L245" s="63">
        <v>16</v>
      </c>
    </row>
    <row r="246" spans="1:32" ht="15" customHeight="1">
      <c r="A246" t="s">
        <v>25</v>
      </c>
      <c r="B246" s="63">
        <v>7</v>
      </c>
      <c r="C246" s="63">
        <v>4</v>
      </c>
      <c r="D246" s="63">
        <v>11</v>
      </c>
      <c r="E246" s="63">
        <v>8</v>
      </c>
      <c r="F246" s="63">
        <v>11</v>
      </c>
      <c r="G246" s="63">
        <v>8</v>
      </c>
      <c r="H246" s="63">
        <v>12</v>
      </c>
      <c r="I246" s="63">
        <v>0</v>
      </c>
      <c r="J246" s="63">
        <v>7</v>
      </c>
      <c r="K246" s="63">
        <v>5</v>
      </c>
      <c r="L246" s="63">
        <v>4</v>
      </c>
    </row>
    <row r="247" spans="1:32" ht="15" customHeight="1">
      <c r="A247" t="s">
        <v>11</v>
      </c>
      <c r="B247" s="63">
        <v>4</v>
      </c>
      <c r="C247" s="63">
        <v>4</v>
      </c>
      <c r="D247" s="63">
        <v>6</v>
      </c>
      <c r="E247" s="63">
        <v>5</v>
      </c>
      <c r="F247" s="63">
        <v>7</v>
      </c>
      <c r="G247" s="63">
        <v>7</v>
      </c>
      <c r="H247" s="63">
        <v>6</v>
      </c>
      <c r="I247" s="63">
        <v>5</v>
      </c>
      <c r="J247" s="63">
        <v>6</v>
      </c>
      <c r="K247" s="63">
        <v>9</v>
      </c>
      <c r="L247" s="63">
        <v>2</v>
      </c>
    </row>
    <row r="248" spans="1:32" ht="15" customHeight="1">
      <c r="A248" t="s">
        <v>10</v>
      </c>
      <c r="B248" s="63">
        <v>5</v>
      </c>
      <c r="C248" s="63">
        <v>4</v>
      </c>
      <c r="D248" s="63">
        <v>7</v>
      </c>
      <c r="E248" s="63">
        <v>4</v>
      </c>
      <c r="F248" s="63">
        <v>6</v>
      </c>
      <c r="G248" s="63">
        <v>4</v>
      </c>
      <c r="H248" s="63">
        <v>3</v>
      </c>
      <c r="I248" s="63">
        <v>3</v>
      </c>
      <c r="J248" s="63">
        <v>4</v>
      </c>
      <c r="K248" s="63">
        <v>6</v>
      </c>
      <c r="L248" s="63">
        <v>0</v>
      </c>
    </row>
    <row r="249" spans="1:32" s="81" customFormat="1" ht="15" customHeight="1">
      <c r="A249" s="81" t="s">
        <v>33</v>
      </c>
      <c r="B249" s="83">
        <v>0</v>
      </c>
      <c r="C249" s="83">
        <v>3</v>
      </c>
      <c r="D249" s="83">
        <v>0</v>
      </c>
      <c r="E249" s="83">
        <v>3</v>
      </c>
      <c r="F249" s="83">
        <v>0</v>
      </c>
      <c r="G249" s="83">
        <v>1</v>
      </c>
      <c r="H249" s="83">
        <v>0</v>
      </c>
      <c r="I249" s="83">
        <v>2</v>
      </c>
      <c r="J249" s="83">
        <v>2</v>
      </c>
      <c r="K249" s="83">
        <v>1</v>
      </c>
      <c r="L249" s="83">
        <v>2</v>
      </c>
      <c r="M249" s="83"/>
      <c r="N249" s="83"/>
      <c r="O249" s="83"/>
      <c r="AF249" s="83"/>
    </row>
    <row r="250" spans="1:32" ht="15" customHeight="1">
      <c r="A250" s="82" t="s">
        <v>1314</v>
      </c>
      <c r="B250" s="63">
        <v>38</v>
      </c>
      <c r="C250" s="63">
        <v>25</v>
      </c>
      <c r="D250" s="63">
        <v>47</v>
      </c>
      <c r="E250" s="63">
        <v>42</v>
      </c>
      <c r="F250" s="63">
        <v>50</v>
      </c>
      <c r="G250" s="63">
        <v>31</v>
      </c>
      <c r="H250" s="63">
        <v>39</v>
      </c>
      <c r="I250" s="63">
        <v>20</v>
      </c>
      <c r="J250" s="63">
        <v>38</v>
      </c>
      <c r="K250" s="63">
        <v>50</v>
      </c>
      <c r="L250" s="63">
        <v>24</v>
      </c>
      <c r="P250" s="63">
        <v>404</v>
      </c>
    </row>
    <row r="251" spans="1:32">
      <c r="A251" t="s">
        <v>298</v>
      </c>
    </row>
    <row r="252" spans="1:32" ht="15" customHeight="1">
      <c r="A252" s="81" t="s">
        <v>1317</v>
      </c>
    </row>
    <row r="253" spans="1:32" ht="15" customHeight="1">
      <c r="A253" t="s">
        <v>23</v>
      </c>
      <c r="B253" s="63">
        <v>0</v>
      </c>
      <c r="C253" s="63">
        <v>6</v>
      </c>
      <c r="D253" s="63">
        <v>0</v>
      </c>
      <c r="E253" s="63">
        <v>0</v>
      </c>
      <c r="F253" s="63">
        <v>0</v>
      </c>
      <c r="G253" s="63">
        <v>5</v>
      </c>
      <c r="H253" s="63">
        <v>0</v>
      </c>
      <c r="I253" s="63">
        <v>2</v>
      </c>
      <c r="J253" s="63">
        <v>2</v>
      </c>
      <c r="K253" s="63">
        <v>2</v>
      </c>
      <c r="L253" s="63">
        <v>0</v>
      </c>
    </row>
    <row r="254" spans="1:32" ht="15" customHeight="1">
      <c r="A254" t="s">
        <v>24</v>
      </c>
      <c r="B254" s="63">
        <v>4</v>
      </c>
      <c r="C254" s="63">
        <v>13</v>
      </c>
      <c r="D254" s="63">
        <v>8</v>
      </c>
      <c r="E254" s="63">
        <v>5</v>
      </c>
      <c r="F254" s="63">
        <v>4</v>
      </c>
      <c r="G254" s="63">
        <v>12</v>
      </c>
      <c r="H254" s="63">
        <v>5</v>
      </c>
      <c r="I254" s="63">
        <v>4</v>
      </c>
      <c r="J254" s="63">
        <v>5</v>
      </c>
      <c r="K254" s="63">
        <v>3</v>
      </c>
      <c r="L254" s="63">
        <v>2</v>
      </c>
    </row>
    <row r="255" spans="1:32" ht="15" customHeight="1">
      <c r="A255" t="s">
        <v>25</v>
      </c>
      <c r="B255" s="63">
        <v>5</v>
      </c>
      <c r="C255" s="63">
        <v>7</v>
      </c>
      <c r="D255" s="63">
        <v>8</v>
      </c>
      <c r="E255" s="63">
        <v>8</v>
      </c>
      <c r="F255" s="63">
        <v>7</v>
      </c>
      <c r="G255" s="63">
        <v>8</v>
      </c>
      <c r="H255" s="63">
        <v>3</v>
      </c>
      <c r="I255" s="63">
        <v>0</v>
      </c>
      <c r="J255" s="63">
        <v>6</v>
      </c>
      <c r="K255" s="63">
        <v>10</v>
      </c>
      <c r="L255" s="63">
        <v>7</v>
      </c>
    </row>
    <row r="256" spans="1:32" ht="15" customHeight="1">
      <c r="A256" t="s">
        <v>11</v>
      </c>
      <c r="B256" s="63">
        <v>3</v>
      </c>
      <c r="C256" s="63">
        <v>3</v>
      </c>
      <c r="D256" s="63">
        <v>3</v>
      </c>
      <c r="E256" s="63">
        <v>1</v>
      </c>
      <c r="F256" s="63">
        <v>0</v>
      </c>
      <c r="G256" s="63">
        <v>3</v>
      </c>
      <c r="H256" s="63">
        <v>1</v>
      </c>
      <c r="I256" s="63">
        <v>3</v>
      </c>
      <c r="J256" s="63">
        <v>2</v>
      </c>
      <c r="K256" s="63">
        <v>3</v>
      </c>
      <c r="L256" s="63">
        <v>0</v>
      </c>
    </row>
    <row r="257" spans="1:32" ht="15" customHeight="1">
      <c r="A257" t="s">
        <v>10</v>
      </c>
      <c r="B257" s="63">
        <v>0</v>
      </c>
      <c r="C257" s="63">
        <v>2</v>
      </c>
      <c r="D257" s="63">
        <v>0</v>
      </c>
      <c r="E257" s="63">
        <v>0</v>
      </c>
      <c r="F257" s="63">
        <v>1</v>
      </c>
      <c r="G257" s="63">
        <v>3</v>
      </c>
      <c r="H257" s="63">
        <v>2</v>
      </c>
      <c r="I257" s="63">
        <v>2</v>
      </c>
      <c r="J257" s="63">
        <v>3</v>
      </c>
      <c r="K257" s="63">
        <v>1</v>
      </c>
      <c r="L257" s="63">
        <v>3</v>
      </c>
    </row>
    <row r="258" spans="1:32" ht="15" customHeight="1">
      <c r="A258" t="s">
        <v>33</v>
      </c>
      <c r="B258" s="63">
        <v>0</v>
      </c>
      <c r="C258" s="63">
        <v>1</v>
      </c>
      <c r="D258" s="63">
        <v>1</v>
      </c>
      <c r="E258" s="63">
        <v>0</v>
      </c>
      <c r="F258" s="63">
        <v>1</v>
      </c>
      <c r="G258" s="63">
        <v>1</v>
      </c>
      <c r="H258" s="63">
        <v>0</v>
      </c>
      <c r="I258" s="63">
        <v>0</v>
      </c>
      <c r="J258" s="63">
        <v>0</v>
      </c>
      <c r="K258" s="63">
        <v>1</v>
      </c>
      <c r="L258" s="63">
        <v>1</v>
      </c>
    </row>
    <row r="259" spans="1:32" s="81" customFormat="1" ht="15" customHeight="1">
      <c r="A259" s="82" t="s">
        <v>1314</v>
      </c>
      <c r="B259" s="83">
        <v>12</v>
      </c>
      <c r="C259" s="83">
        <v>32</v>
      </c>
      <c r="D259" s="83">
        <v>20</v>
      </c>
      <c r="E259" s="83">
        <v>14</v>
      </c>
      <c r="F259" s="83">
        <v>13</v>
      </c>
      <c r="G259" s="83">
        <v>32</v>
      </c>
      <c r="H259" s="83">
        <v>11</v>
      </c>
      <c r="I259" s="83">
        <v>11</v>
      </c>
      <c r="J259" s="83">
        <v>18</v>
      </c>
      <c r="K259" s="83">
        <v>20</v>
      </c>
      <c r="L259" s="83">
        <v>13</v>
      </c>
      <c r="M259" s="83"/>
      <c r="N259" s="83"/>
      <c r="O259" s="83"/>
      <c r="P259" s="83">
        <v>196</v>
      </c>
      <c r="AF259" s="83"/>
    </row>
    <row r="260" spans="1:32">
      <c r="A260" t="s">
        <v>298</v>
      </c>
    </row>
    <row r="261" spans="1:32" ht="15" customHeight="1">
      <c r="A261" s="81" t="s">
        <v>1318</v>
      </c>
    </row>
    <row r="262" spans="1:32" ht="15" customHeight="1">
      <c r="A262" t="s">
        <v>23</v>
      </c>
      <c r="B262" s="63">
        <v>0</v>
      </c>
      <c r="C262" s="63">
        <v>1</v>
      </c>
      <c r="D262" s="63">
        <v>0</v>
      </c>
      <c r="E262" s="63">
        <v>0</v>
      </c>
      <c r="F262" s="63">
        <v>0</v>
      </c>
      <c r="G262" s="63">
        <v>1</v>
      </c>
      <c r="H262" s="63">
        <v>0</v>
      </c>
      <c r="I262" s="63">
        <v>1</v>
      </c>
      <c r="J262" s="63">
        <v>0</v>
      </c>
      <c r="K262" s="63">
        <v>0</v>
      </c>
      <c r="L262" s="63">
        <v>0</v>
      </c>
    </row>
    <row r="263" spans="1:32" ht="15" customHeight="1">
      <c r="A263" t="s">
        <v>24</v>
      </c>
      <c r="B263" s="63">
        <v>1</v>
      </c>
      <c r="C263" s="63">
        <v>4</v>
      </c>
      <c r="D263" s="63">
        <v>0</v>
      </c>
      <c r="E263" s="63">
        <v>1</v>
      </c>
      <c r="F263" s="63">
        <v>3</v>
      </c>
      <c r="G263" s="63">
        <v>3</v>
      </c>
      <c r="H263" s="63">
        <v>2</v>
      </c>
      <c r="I263" s="63">
        <v>1</v>
      </c>
      <c r="J263" s="63">
        <v>1</v>
      </c>
      <c r="K263" s="63">
        <v>1</v>
      </c>
      <c r="L263" s="63">
        <v>1</v>
      </c>
    </row>
    <row r="264" spans="1:32" ht="15" customHeight="1">
      <c r="A264" t="s">
        <v>25</v>
      </c>
      <c r="B264" s="63">
        <v>3</v>
      </c>
      <c r="C264" s="63">
        <v>7</v>
      </c>
      <c r="D264" s="63">
        <v>1</v>
      </c>
      <c r="E264" s="63">
        <v>0</v>
      </c>
      <c r="F264" s="63">
        <v>2</v>
      </c>
      <c r="G264" s="63">
        <v>4</v>
      </c>
      <c r="H264" s="63">
        <v>0</v>
      </c>
      <c r="I264" s="63">
        <v>0</v>
      </c>
      <c r="J264" s="63">
        <v>2</v>
      </c>
      <c r="K264" s="63">
        <v>4</v>
      </c>
      <c r="L264" s="63">
        <v>6</v>
      </c>
    </row>
    <row r="265" spans="1:32" ht="15" customHeight="1">
      <c r="A265" t="s">
        <v>11</v>
      </c>
      <c r="B265" s="63">
        <v>1</v>
      </c>
      <c r="C265" s="63">
        <v>3</v>
      </c>
      <c r="D265" s="63">
        <v>2</v>
      </c>
      <c r="E265" s="63">
        <v>2</v>
      </c>
      <c r="F265" s="63">
        <v>3</v>
      </c>
      <c r="G265" s="63">
        <v>1</v>
      </c>
      <c r="H265" s="63">
        <v>1</v>
      </c>
      <c r="I265" s="63">
        <v>1</v>
      </c>
      <c r="J265" s="63">
        <v>0</v>
      </c>
      <c r="K265" s="63">
        <v>0</v>
      </c>
      <c r="L265" s="63">
        <v>0</v>
      </c>
    </row>
    <row r="266" spans="1:32" ht="15" customHeight="1">
      <c r="A266" t="s">
        <v>10</v>
      </c>
      <c r="B266" s="63">
        <v>0</v>
      </c>
      <c r="C266" s="63">
        <v>1</v>
      </c>
      <c r="D266" s="63">
        <v>0</v>
      </c>
      <c r="E266" s="63">
        <v>0</v>
      </c>
      <c r="F266" s="63">
        <v>0</v>
      </c>
      <c r="G266" s="63">
        <v>0</v>
      </c>
      <c r="H266" s="63">
        <v>2</v>
      </c>
      <c r="I266" s="63">
        <v>0</v>
      </c>
      <c r="J266" s="63">
        <v>0</v>
      </c>
      <c r="K266" s="63">
        <v>0</v>
      </c>
      <c r="L266" s="63">
        <v>0</v>
      </c>
    </row>
    <row r="267" spans="1:32" ht="15" customHeight="1">
      <c r="A267" t="s">
        <v>33</v>
      </c>
      <c r="B267" s="63">
        <v>0</v>
      </c>
      <c r="C267" s="63">
        <v>2</v>
      </c>
      <c r="D267" s="63">
        <v>0</v>
      </c>
      <c r="E267" s="63">
        <v>3</v>
      </c>
      <c r="F267" s="63">
        <v>2</v>
      </c>
      <c r="G267" s="63">
        <v>1</v>
      </c>
      <c r="H267" s="63">
        <v>2</v>
      </c>
      <c r="I267" s="63">
        <v>1</v>
      </c>
      <c r="J267" s="63">
        <v>0</v>
      </c>
      <c r="K267" s="63">
        <v>1</v>
      </c>
      <c r="L267" s="63">
        <v>2</v>
      </c>
    </row>
    <row r="268" spans="1:32" s="81" customFormat="1" ht="15" customHeight="1">
      <c r="A268" s="82" t="s">
        <v>1314</v>
      </c>
      <c r="B268" s="83">
        <v>5</v>
      </c>
      <c r="C268" s="83">
        <v>18</v>
      </c>
      <c r="D268" s="83">
        <v>3</v>
      </c>
      <c r="E268" s="83">
        <v>6</v>
      </c>
      <c r="F268" s="83">
        <v>10</v>
      </c>
      <c r="G268" s="83">
        <v>10</v>
      </c>
      <c r="H268" s="83">
        <v>7</v>
      </c>
      <c r="I268" s="83">
        <v>4</v>
      </c>
      <c r="J268" s="83">
        <v>3</v>
      </c>
      <c r="K268" s="83">
        <v>6</v>
      </c>
      <c r="L268" s="83">
        <v>9</v>
      </c>
      <c r="M268" s="83"/>
      <c r="N268" s="83"/>
      <c r="O268" s="83"/>
      <c r="P268" s="83">
        <v>81</v>
      </c>
      <c r="AF268" s="83"/>
    </row>
    <row r="269" spans="1:32">
      <c r="A269" t="s">
        <v>298</v>
      </c>
    </row>
    <row r="270" spans="1:32" ht="15" customHeight="1">
      <c r="A270" s="81" t="s">
        <v>1319</v>
      </c>
    </row>
    <row r="271" spans="1:32" ht="15" customHeight="1">
      <c r="A271" t="s">
        <v>23</v>
      </c>
      <c r="B271" s="63">
        <v>0</v>
      </c>
      <c r="C271" s="63">
        <v>0</v>
      </c>
      <c r="D271" s="63">
        <v>0</v>
      </c>
      <c r="E271" s="63">
        <v>0</v>
      </c>
      <c r="F271" s="63">
        <v>0</v>
      </c>
      <c r="G271" s="63">
        <v>0</v>
      </c>
      <c r="H271" s="63">
        <v>0</v>
      </c>
      <c r="I271" s="63">
        <v>2</v>
      </c>
      <c r="J271" s="63">
        <v>0</v>
      </c>
      <c r="K271" s="63">
        <v>0</v>
      </c>
      <c r="L271" s="63">
        <v>0</v>
      </c>
    </row>
    <row r="272" spans="1:32">
      <c r="A272" t="s">
        <v>24</v>
      </c>
      <c r="B272" s="63">
        <v>0</v>
      </c>
      <c r="C272" s="63">
        <v>1</v>
      </c>
      <c r="D272" s="63">
        <v>0</v>
      </c>
      <c r="E272" s="63">
        <v>1</v>
      </c>
      <c r="F272" s="63">
        <v>0</v>
      </c>
      <c r="G272" s="63">
        <v>1</v>
      </c>
      <c r="H272" s="63">
        <v>0</v>
      </c>
      <c r="I272" s="63">
        <v>11</v>
      </c>
      <c r="J272" s="63">
        <v>0</v>
      </c>
      <c r="K272" s="63">
        <v>0</v>
      </c>
      <c r="L272" s="63">
        <v>0</v>
      </c>
    </row>
    <row r="273" spans="1:32">
      <c r="A273" t="s">
        <v>25</v>
      </c>
      <c r="B273" s="63">
        <v>0</v>
      </c>
      <c r="C273" s="63">
        <v>4</v>
      </c>
      <c r="D273" s="63">
        <v>2</v>
      </c>
      <c r="E273" s="63">
        <v>5</v>
      </c>
      <c r="F273" s="63">
        <v>2</v>
      </c>
      <c r="G273" s="63">
        <v>1</v>
      </c>
      <c r="H273" s="63">
        <v>1</v>
      </c>
      <c r="I273" s="63">
        <v>22</v>
      </c>
      <c r="J273" s="63">
        <v>5</v>
      </c>
      <c r="K273" s="63">
        <v>1</v>
      </c>
      <c r="L273" s="63">
        <v>3</v>
      </c>
    </row>
    <row r="274" spans="1:32">
      <c r="A274" t="s">
        <v>11</v>
      </c>
      <c r="B274" s="63">
        <v>3</v>
      </c>
      <c r="C274" s="63">
        <v>2</v>
      </c>
      <c r="D274" s="63">
        <v>3</v>
      </c>
      <c r="E274" s="63">
        <v>2</v>
      </c>
      <c r="F274" s="63">
        <v>3</v>
      </c>
      <c r="G274" s="63">
        <v>1</v>
      </c>
      <c r="H274" s="63">
        <v>5</v>
      </c>
      <c r="I274" s="63">
        <v>5</v>
      </c>
      <c r="J274" s="63">
        <v>4</v>
      </c>
      <c r="K274" s="63">
        <v>2</v>
      </c>
      <c r="L274" s="63">
        <v>2</v>
      </c>
    </row>
    <row r="275" spans="1:32">
      <c r="A275" t="s">
        <v>10</v>
      </c>
      <c r="B275" s="63">
        <v>0</v>
      </c>
      <c r="C275" s="63">
        <v>0</v>
      </c>
      <c r="D275" s="63">
        <v>0</v>
      </c>
      <c r="E275" s="63">
        <v>0</v>
      </c>
      <c r="F275" s="63">
        <v>0</v>
      </c>
      <c r="G275" s="63">
        <v>0</v>
      </c>
      <c r="H275" s="63">
        <v>0</v>
      </c>
      <c r="I275" s="63">
        <v>2</v>
      </c>
      <c r="J275" s="63">
        <v>0</v>
      </c>
      <c r="K275" s="63">
        <v>0</v>
      </c>
      <c r="L275" s="63">
        <v>0</v>
      </c>
    </row>
    <row r="276" spans="1:32">
      <c r="A276" t="s">
        <v>33</v>
      </c>
      <c r="B276" s="63">
        <v>0</v>
      </c>
      <c r="C276" s="63">
        <v>0</v>
      </c>
      <c r="D276" s="63">
        <v>0</v>
      </c>
      <c r="E276" s="63">
        <v>0</v>
      </c>
      <c r="F276" s="63">
        <v>0</v>
      </c>
      <c r="G276" s="63">
        <v>0</v>
      </c>
      <c r="H276" s="63">
        <v>1</v>
      </c>
      <c r="I276" s="63">
        <v>3</v>
      </c>
      <c r="J276" s="63">
        <v>0</v>
      </c>
      <c r="K276" s="63">
        <v>0</v>
      </c>
      <c r="L276" s="63">
        <v>0</v>
      </c>
    </row>
    <row r="277" spans="1:32" s="81" customFormat="1" ht="15">
      <c r="A277" s="82" t="s">
        <v>1314</v>
      </c>
      <c r="B277" s="83">
        <v>3</v>
      </c>
      <c r="C277" s="83">
        <v>7</v>
      </c>
      <c r="D277" s="83">
        <v>5</v>
      </c>
      <c r="E277" s="83">
        <v>8</v>
      </c>
      <c r="F277" s="83">
        <v>5</v>
      </c>
      <c r="G277" s="83">
        <v>3</v>
      </c>
      <c r="H277" s="83">
        <v>7</v>
      </c>
      <c r="I277" s="83">
        <v>45</v>
      </c>
      <c r="J277" s="83">
        <v>9</v>
      </c>
      <c r="K277" s="83">
        <v>3</v>
      </c>
      <c r="L277" s="83">
        <v>5</v>
      </c>
      <c r="M277" s="83"/>
      <c r="N277" s="83"/>
      <c r="O277" s="83"/>
      <c r="P277" s="83">
        <v>100</v>
      </c>
      <c r="AF277" s="83"/>
    </row>
    <row r="278" spans="1:32">
      <c r="A278" t="s">
        <v>298</v>
      </c>
    </row>
    <row r="279" spans="1:32" s="81" customFormat="1" ht="15">
      <c r="A279" s="82" t="s">
        <v>1314</v>
      </c>
      <c r="B279" s="83">
        <v>84</v>
      </c>
      <c r="C279" s="83">
        <v>84</v>
      </c>
      <c r="D279" s="83">
        <v>83</v>
      </c>
      <c r="E279" s="83">
        <v>84</v>
      </c>
      <c r="F279" s="83">
        <v>84</v>
      </c>
      <c r="G279" s="83">
        <v>84</v>
      </c>
      <c r="H279" s="83">
        <v>84</v>
      </c>
      <c r="I279" s="83">
        <v>84</v>
      </c>
      <c r="J279" s="83">
        <v>83</v>
      </c>
      <c r="K279" s="83">
        <v>84</v>
      </c>
      <c r="L279" s="83">
        <v>84</v>
      </c>
      <c r="M279" s="83"/>
      <c r="N279" s="83"/>
      <c r="O279" s="83"/>
      <c r="P279" s="83"/>
      <c r="AF279" s="83"/>
    </row>
    <row r="280" spans="1:32">
      <c r="A280" t="s">
        <v>298</v>
      </c>
    </row>
    <row r="281" spans="1:32">
      <c r="A281" t="s">
        <v>298</v>
      </c>
    </row>
    <row r="282" spans="1:32">
      <c r="A282" t="s">
        <v>298</v>
      </c>
    </row>
    <row r="283" spans="1:32">
      <c r="A283" t="s">
        <v>298</v>
      </c>
    </row>
    <row r="284" spans="1:32">
      <c r="A284" t="s">
        <v>298</v>
      </c>
    </row>
    <row r="285" spans="1:32">
      <c r="A285" t="s">
        <v>298</v>
      </c>
    </row>
    <row r="286" spans="1:32">
      <c r="A286" t="s">
        <v>298</v>
      </c>
    </row>
    <row r="287" spans="1:32">
      <c r="A287" t="s">
        <v>298</v>
      </c>
    </row>
    <row r="288" spans="1:32">
      <c r="A288" t="s">
        <v>298</v>
      </c>
    </row>
    <row r="289" spans="1:32">
      <c r="A289" t="s">
        <v>298</v>
      </c>
    </row>
    <row r="290" spans="1:32">
      <c r="A290" t="s">
        <v>298</v>
      </c>
    </row>
    <row r="291" spans="1:32">
      <c r="A291" t="s">
        <v>298</v>
      </c>
      <c r="B291"/>
      <c r="C291"/>
      <c r="D291"/>
      <c r="E291"/>
      <c r="F291"/>
      <c r="G291"/>
      <c r="H291"/>
      <c r="I291"/>
      <c r="J291"/>
      <c r="K291"/>
      <c r="L291"/>
      <c r="M291"/>
      <c r="N291"/>
      <c r="O291"/>
      <c r="AF291"/>
    </row>
    <row r="292" spans="1:32">
      <c r="A292" t="s">
        <v>298</v>
      </c>
    </row>
    <row r="293" spans="1:32">
      <c r="A293" t="s">
        <v>298</v>
      </c>
    </row>
    <row r="294" spans="1:32">
      <c r="A294" t="s">
        <v>298</v>
      </c>
    </row>
    <row r="295" spans="1:32">
      <c r="A295" t="s">
        <v>298</v>
      </c>
    </row>
    <row r="296" spans="1:32">
      <c r="A296" t="s">
        <v>298</v>
      </c>
    </row>
    <row r="297" spans="1:32">
      <c r="A297" t="s">
        <v>298</v>
      </c>
    </row>
    <row r="298" spans="1:32">
      <c r="A298" t="s">
        <v>298</v>
      </c>
    </row>
    <row r="299" spans="1:32">
      <c r="A299" t="s">
        <v>298</v>
      </c>
    </row>
    <row r="300" spans="1:32">
      <c r="A300" t="s">
        <v>298</v>
      </c>
    </row>
    <row r="301" spans="1:32">
      <c r="A301" t="s">
        <v>298</v>
      </c>
    </row>
    <row r="302" spans="1:32">
      <c r="A302" t="s">
        <v>298</v>
      </c>
    </row>
  </sheetData>
  <conditionalFormatting sqref="Q5:AD11 Q20:AD222">
    <cfRule type="colorScale" priority="1">
      <colorScale>
        <cfvo type="num" val="-1"/>
        <cfvo type="num" val="0"/>
        <cfvo type="num" val="1"/>
        <color rgb="FFFF0000"/>
        <color rgb="FFFFFF00"/>
        <color rgb="FF00B050"/>
      </colorScale>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B3F02-1BD2-7847-85AA-83167A834470}">
  <sheetPr codeName="Sheet20"/>
  <dimension ref="A1"/>
  <sheetViews>
    <sheetView workbookViewId="0"/>
  </sheetViews>
  <sheetFormatPr baseColWidth="10" defaultRowHeight="16"/>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07EE9-6DEC-6548-9DD1-171E8C9DCDD3}">
  <sheetPr codeName="Sheet21"/>
  <dimension ref="A1:F1002"/>
  <sheetViews>
    <sheetView workbookViewId="0">
      <selection activeCell="K37" sqref="K37"/>
    </sheetView>
  </sheetViews>
  <sheetFormatPr baseColWidth="10" defaultRowHeight="16"/>
  <cols>
    <col min="1" max="1" width="42.5" style="96" bestFit="1" customWidth="1"/>
    <col min="2" max="6" width="14.6640625" style="96" customWidth="1"/>
  </cols>
  <sheetData>
    <row r="1" spans="1:6" ht="17" thickBot="1">
      <c r="A1" s="84" t="s">
        <v>1346</v>
      </c>
      <c r="B1" s="97" t="s">
        <v>1347</v>
      </c>
      <c r="C1" s="98"/>
      <c r="D1" s="98"/>
      <c r="E1" s="98"/>
      <c r="F1" s="99"/>
    </row>
    <row r="2" spans="1:6" ht="17" thickBot="1">
      <c r="A2" s="84"/>
      <c r="B2" s="85"/>
      <c r="C2" s="85"/>
      <c r="D2" s="85"/>
      <c r="E2" s="85"/>
      <c r="F2" s="85"/>
    </row>
    <row r="3" spans="1:6" ht="17" thickBot="1">
      <c r="A3" s="84"/>
      <c r="B3" s="97" t="s">
        <v>1348</v>
      </c>
      <c r="C3" s="98"/>
      <c r="D3" s="98"/>
      <c r="E3" s="98"/>
      <c r="F3" s="99"/>
    </row>
    <row r="4" spans="1:6">
      <c r="A4" s="86" t="s">
        <v>1349</v>
      </c>
      <c r="B4" s="61" t="s">
        <v>1268</v>
      </c>
      <c r="C4" s="61" t="s">
        <v>1269</v>
      </c>
      <c r="D4" s="61" t="s">
        <v>1270</v>
      </c>
      <c r="E4" s="61" t="s">
        <v>1271</v>
      </c>
      <c r="F4" s="61" t="s">
        <v>1272</v>
      </c>
    </row>
    <row r="5" spans="1:6">
      <c r="A5" s="87" t="s">
        <v>23</v>
      </c>
      <c r="B5" s="88">
        <v>0.37500000000000006</v>
      </c>
      <c r="C5" s="88">
        <v>0.88750000000000007</v>
      </c>
      <c r="D5" s="88">
        <v>0.63749999999999996</v>
      </c>
      <c r="E5" s="88">
        <v>0.9</v>
      </c>
      <c r="F5" s="88">
        <v>0.44999999999999996</v>
      </c>
    </row>
    <row r="6" spans="1:6">
      <c r="A6" s="87" t="s">
        <v>24</v>
      </c>
      <c r="B6" s="88">
        <v>0.45384615384615373</v>
      </c>
      <c r="C6" s="88">
        <v>0.81153846153846154</v>
      </c>
      <c r="D6" s="88">
        <v>0.70000000000000007</v>
      </c>
      <c r="E6" s="88">
        <v>0.84999999999999987</v>
      </c>
      <c r="F6" s="88">
        <v>0.49230769230769234</v>
      </c>
    </row>
    <row r="7" spans="1:6">
      <c r="A7" s="87" t="s">
        <v>25</v>
      </c>
      <c r="B7" s="88">
        <v>0.26956521739130429</v>
      </c>
      <c r="C7" s="88">
        <v>0.71304347826086956</v>
      </c>
      <c r="D7" s="88">
        <v>0.65217391304347838</v>
      </c>
      <c r="E7" s="88">
        <v>0.73913043478260898</v>
      </c>
      <c r="F7" s="88">
        <v>0.23478260869565215</v>
      </c>
    </row>
    <row r="8" spans="1:6">
      <c r="A8" s="87" t="s">
        <v>11</v>
      </c>
      <c r="B8" s="88">
        <v>0.22857142857142862</v>
      </c>
      <c r="C8" s="88">
        <v>0.63571428571428579</v>
      </c>
      <c r="D8" s="88">
        <v>0.35000000000000003</v>
      </c>
      <c r="E8" s="88">
        <v>0.5714285714285714</v>
      </c>
      <c r="F8" s="88">
        <v>0.45</v>
      </c>
    </row>
    <row r="9" spans="1:6">
      <c r="A9" s="87" t="s">
        <v>10</v>
      </c>
      <c r="B9" s="88">
        <v>0.25714285714285717</v>
      </c>
      <c r="C9" s="88">
        <v>0.90000000000000013</v>
      </c>
      <c r="D9" s="88">
        <v>0.55714285714285716</v>
      </c>
      <c r="E9" s="88">
        <v>0.98571428571428577</v>
      </c>
      <c r="F9" s="88">
        <v>0.55714285714285716</v>
      </c>
    </row>
    <row r="10" spans="1:6">
      <c r="A10" s="87" t="s">
        <v>33</v>
      </c>
      <c r="B10" s="88">
        <v>0.28333333333333338</v>
      </c>
      <c r="C10" s="88">
        <v>0.44999999999999996</v>
      </c>
      <c r="D10" s="88">
        <v>0.8666666666666667</v>
      </c>
      <c r="E10" s="88">
        <v>0.3833333333333333</v>
      </c>
      <c r="F10" s="88">
        <v>0.26666666666666666</v>
      </c>
    </row>
    <row r="11" spans="1:6">
      <c r="A11" s="89" t="s">
        <v>1350</v>
      </c>
      <c r="B11" s="88">
        <v>0.37599999999999989</v>
      </c>
      <c r="C11" s="88">
        <v>0.60000000000000009</v>
      </c>
      <c r="D11" s="88">
        <v>0.70400000000000018</v>
      </c>
      <c r="E11" s="88">
        <v>0.64800000000000002</v>
      </c>
      <c r="F11" s="88">
        <v>0.4</v>
      </c>
    </row>
    <row r="12" spans="1:6">
      <c r="A12" s="90" t="s">
        <v>1309</v>
      </c>
      <c r="B12" s="91">
        <v>0.32049414146929678</v>
      </c>
      <c r="C12" s="91">
        <v>0.71397088935908826</v>
      </c>
      <c r="D12" s="91">
        <v>0.63821191955042889</v>
      </c>
      <c r="E12" s="91">
        <v>0.72537237503697127</v>
      </c>
      <c r="F12" s="91">
        <v>0.40727140354469549</v>
      </c>
    </row>
    <row r="13" spans="1:6">
      <c r="A13" s="84"/>
      <c r="B13" s="85"/>
      <c r="C13" s="85"/>
      <c r="D13" s="85"/>
      <c r="E13" s="85"/>
      <c r="F13" s="85"/>
    </row>
    <row r="14" spans="1:6">
      <c r="A14" s="84"/>
      <c r="B14" s="85"/>
      <c r="C14" s="85"/>
      <c r="D14" s="85"/>
      <c r="E14" s="85"/>
      <c r="F14" s="85"/>
    </row>
    <row r="15" spans="1:6">
      <c r="A15" s="84"/>
      <c r="B15" s="85"/>
      <c r="C15" s="85"/>
      <c r="D15" s="85"/>
      <c r="E15" s="85"/>
      <c r="F15" s="85"/>
    </row>
    <row r="16" spans="1:6">
      <c r="A16" s="84"/>
      <c r="B16" s="85"/>
      <c r="C16" s="85"/>
      <c r="D16" s="85"/>
      <c r="E16" s="85"/>
      <c r="F16" s="85"/>
    </row>
    <row r="17" spans="1:6">
      <c r="A17" s="84"/>
      <c r="B17" s="85"/>
      <c r="C17" s="85"/>
      <c r="D17" s="85"/>
      <c r="E17" s="85"/>
      <c r="F17" s="85"/>
    </row>
    <row r="18" spans="1:6">
      <c r="A18" s="84"/>
      <c r="B18" s="85"/>
      <c r="C18" s="85"/>
      <c r="D18" s="85"/>
      <c r="E18" s="85"/>
      <c r="F18" s="85"/>
    </row>
    <row r="19" spans="1:6">
      <c r="A19" s="84"/>
      <c r="B19" s="85"/>
      <c r="C19" s="85"/>
      <c r="D19" s="85"/>
      <c r="E19" s="85"/>
      <c r="F19" s="85"/>
    </row>
    <row r="20" spans="1:6">
      <c r="A20" s="84"/>
      <c r="B20" s="85"/>
      <c r="C20" s="85"/>
      <c r="D20" s="85"/>
      <c r="E20" s="85"/>
      <c r="F20" s="85"/>
    </row>
    <row r="21" spans="1:6">
      <c r="A21" s="84"/>
      <c r="B21" s="85"/>
      <c r="C21" s="85"/>
      <c r="D21" s="85"/>
      <c r="E21" s="85"/>
      <c r="F21" s="85"/>
    </row>
    <row r="22" spans="1:6">
      <c r="A22" s="84"/>
      <c r="B22" s="85"/>
      <c r="C22" s="85"/>
      <c r="D22" s="85"/>
      <c r="E22" s="85"/>
      <c r="F22" s="85"/>
    </row>
    <row r="23" spans="1:6">
      <c r="A23" s="84"/>
      <c r="B23" s="85"/>
      <c r="C23" s="85"/>
      <c r="D23" s="85"/>
      <c r="E23" s="85"/>
      <c r="F23" s="85"/>
    </row>
    <row r="24" spans="1:6">
      <c r="A24" s="84"/>
      <c r="B24" s="85"/>
      <c r="C24" s="85"/>
      <c r="D24" s="85"/>
      <c r="E24" s="85"/>
      <c r="F24" s="85"/>
    </row>
    <row r="25" spans="1:6">
      <c r="A25" s="84"/>
      <c r="B25" s="85"/>
      <c r="C25" s="85"/>
      <c r="D25" s="85"/>
      <c r="E25" s="85"/>
      <c r="F25" s="85"/>
    </row>
    <row r="26" spans="1:6">
      <c r="A26" s="84"/>
      <c r="B26" s="85"/>
      <c r="C26" s="85"/>
      <c r="D26" s="85"/>
      <c r="E26" s="85"/>
      <c r="F26" s="85"/>
    </row>
    <row r="27" spans="1:6">
      <c r="A27" s="84"/>
      <c r="B27" s="85"/>
      <c r="C27" s="85"/>
      <c r="D27" s="85"/>
      <c r="E27" s="85"/>
      <c r="F27" s="85"/>
    </row>
    <row r="28" spans="1:6">
      <c r="A28" s="84"/>
      <c r="B28" s="85"/>
      <c r="C28" s="85"/>
      <c r="D28" s="85"/>
      <c r="E28" s="85"/>
      <c r="F28" s="85"/>
    </row>
    <row r="29" spans="1:6">
      <c r="A29" s="86" t="s">
        <v>1351</v>
      </c>
      <c r="B29" s="85"/>
      <c r="C29" s="85"/>
      <c r="D29" s="85"/>
      <c r="E29" s="85"/>
      <c r="F29" s="85"/>
    </row>
    <row r="30" spans="1:6">
      <c r="A30" s="84"/>
      <c r="B30" s="85"/>
      <c r="C30" s="85"/>
      <c r="D30" s="85"/>
      <c r="E30" s="85"/>
      <c r="F30" s="85"/>
    </row>
    <row r="31" spans="1:6">
      <c r="A31" s="8" t="s">
        <v>23</v>
      </c>
      <c r="B31" s="85"/>
      <c r="C31" s="85"/>
      <c r="D31" s="85"/>
      <c r="E31" s="85"/>
      <c r="F31" s="85"/>
    </row>
    <row r="32" spans="1:6">
      <c r="A32" t="s">
        <v>298</v>
      </c>
      <c r="B32" s="84"/>
      <c r="C32" s="84"/>
      <c r="D32" s="84"/>
      <c r="E32" s="84"/>
      <c r="F32" s="84"/>
    </row>
    <row r="33" spans="1:6">
      <c r="A33" t="s">
        <v>299</v>
      </c>
      <c r="B33" s="88">
        <v>0.6</v>
      </c>
      <c r="C33" s="88">
        <v>1</v>
      </c>
      <c r="D33" s="88">
        <v>0.7</v>
      </c>
      <c r="E33" s="88">
        <v>1</v>
      </c>
      <c r="F33" s="88">
        <v>0.6</v>
      </c>
    </row>
    <row r="34" spans="1:6">
      <c r="A34" t="s">
        <v>300</v>
      </c>
      <c r="B34" s="88">
        <v>0.6</v>
      </c>
      <c r="C34" s="88">
        <v>0.7</v>
      </c>
      <c r="D34" s="88">
        <v>1</v>
      </c>
      <c r="E34" s="88">
        <v>0.6</v>
      </c>
      <c r="F34" s="88">
        <v>0.2</v>
      </c>
    </row>
    <row r="35" spans="1:6">
      <c r="A35" t="s">
        <v>301</v>
      </c>
      <c r="B35" s="88">
        <v>0</v>
      </c>
      <c r="C35" s="88">
        <v>1</v>
      </c>
      <c r="D35" s="88">
        <v>0.4</v>
      </c>
      <c r="E35" s="88">
        <v>1</v>
      </c>
      <c r="F35" s="88">
        <v>0.5</v>
      </c>
    </row>
    <row r="36" spans="1:6">
      <c r="A36" t="s">
        <v>302</v>
      </c>
      <c r="B36" s="88">
        <v>0.1</v>
      </c>
      <c r="C36" s="88">
        <v>0.8</v>
      </c>
      <c r="D36" s="88">
        <v>0.5</v>
      </c>
      <c r="E36" s="88">
        <v>0.9</v>
      </c>
      <c r="F36" s="88">
        <v>0.3</v>
      </c>
    </row>
    <row r="37" spans="1:6">
      <c r="A37" t="s">
        <v>298</v>
      </c>
      <c r="B37" s="84"/>
      <c r="C37" s="84"/>
      <c r="D37" s="84"/>
      <c r="E37" s="84"/>
      <c r="F37" s="84"/>
    </row>
    <row r="38" spans="1:6">
      <c r="A38" t="s">
        <v>303</v>
      </c>
      <c r="B38" s="88">
        <v>0.7</v>
      </c>
      <c r="C38" s="88">
        <v>1</v>
      </c>
      <c r="D38" s="88">
        <v>0.7</v>
      </c>
      <c r="E38" s="88">
        <v>1</v>
      </c>
      <c r="F38" s="88">
        <v>0.7</v>
      </c>
    </row>
    <row r="39" spans="1:6">
      <c r="A39" t="s">
        <v>298</v>
      </c>
      <c r="B39" s="84"/>
      <c r="C39" s="84"/>
      <c r="D39" s="84"/>
      <c r="E39" s="84"/>
      <c r="F39" s="84"/>
    </row>
    <row r="40" spans="1:6">
      <c r="A40" t="s">
        <v>304</v>
      </c>
      <c r="B40" s="88">
        <v>0.6</v>
      </c>
      <c r="C40" s="88">
        <v>0.9</v>
      </c>
      <c r="D40" s="88">
        <v>0.8</v>
      </c>
      <c r="E40" s="88">
        <v>1</v>
      </c>
      <c r="F40" s="88">
        <v>0.5</v>
      </c>
    </row>
    <row r="41" spans="1:6">
      <c r="A41" t="s">
        <v>298</v>
      </c>
      <c r="B41" s="84"/>
      <c r="C41" s="84"/>
      <c r="D41" s="84"/>
      <c r="E41" s="84"/>
      <c r="F41" s="84"/>
    </row>
    <row r="42" spans="1:6">
      <c r="A42" t="s">
        <v>149</v>
      </c>
      <c r="B42" s="88">
        <v>0.2</v>
      </c>
      <c r="C42" s="88">
        <v>0.8</v>
      </c>
      <c r="D42" s="88">
        <v>0.6</v>
      </c>
      <c r="E42" s="88">
        <v>0.9</v>
      </c>
      <c r="F42" s="88">
        <v>0.3</v>
      </c>
    </row>
    <row r="43" spans="1:6">
      <c r="A43" t="s">
        <v>298</v>
      </c>
      <c r="B43" s="84"/>
      <c r="C43" s="84"/>
      <c r="D43" s="84"/>
      <c r="E43" s="84"/>
      <c r="F43" s="84"/>
    </row>
    <row r="44" spans="1:6">
      <c r="A44" t="s">
        <v>305</v>
      </c>
      <c r="B44" s="88">
        <v>0.2</v>
      </c>
      <c r="C44" s="88">
        <v>0.9</v>
      </c>
      <c r="D44" s="88">
        <v>0.4</v>
      </c>
      <c r="E44" s="88">
        <v>0.8</v>
      </c>
      <c r="F44" s="88">
        <v>0.5</v>
      </c>
    </row>
    <row r="45" spans="1:6">
      <c r="A45" s="74" t="s">
        <v>1311</v>
      </c>
      <c r="B45" s="91">
        <v>0.37500000000000006</v>
      </c>
      <c r="C45" s="91">
        <v>0.88750000000000007</v>
      </c>
      <c r="D45" s="91">
        <v>0.63749999999999996</v>
      </c>
      <c r="E45" s="91">
        <v>0.9</v>
      </c>
      <c r="F45" s="91">
        <v>0.44999999999999996</v>
      </c>
    </row>
    <row r="46" spans="1:6">
      <c r="A46" t="s">
        <v>298</v>
      </c>
      <c r="B46" s="84"/>
      <c r="C46" s="84"/>
      <c r="D46" s="84"/>
      <c r="E46" s="84"/>
      <c r="F46" s="84"/>
    </row>
    <row r="47" spans="1:6">
      <c r="A47" t="s">
        <v>298</v>
      </c>
      <c r="B47" s="84"/>
      <c r="C47" s="84"/>
      <c r="D47" s="84"/>
      <c r="E47" s="84"/>
      <c r="F47" s="84"/>
    </row>
    <row r="48" spans="1:6">
      <c r="A48" s="8" t="s">
        <v>24</v>
      </c>
      <c r="B48" s="93"/>
      <c r="C48" s="93"/>
      <c r="D48" s="93"/>
      <c r="E48" s="93"/>
      <c r="F48" s="93"/>
    </row>
    <row r="49" spans="1:6">
      <c r="A49" t="s">
        <v>298</v>
      </c>
      <c r="B49" s="84"/>
      <c r="C49" s="84"/>
      <c r="D49" s="84"/>
      <c r="E49" s="84"/>
      <c r="F49" s="84"/>
    </row>
    <row r="50" spans="1:6">
      <c r="A50" t="s">
        <v>306</v>
      </c>
      <c r="B50" s="88">
        <v>0.8</v>
      </c>
      <c r="C50" s="88">
        <v>0.9</v>
      </c>
      <c r="D50" s="88">
        <v>0.9</v>
      </c>
      <c r="E50" s="88">
        <v>1</v>
      </c>
      <c r="F50" s="88">
        <v>0.8</v>
      </c>
    </row>
    <row r="51" spans="1:6">
      <c r="A51" t="s">
        <v>307</v>
      </c>
      <c r="B51" s="84"/>
      <c r="C51" s="84"/>
      <c r="D51" s="84"/>
      <c r="E51" s="84"/>
      <c r="F51" s="84"/>
    </row>
    <row r="52" spans="1:6">
      <c r="A52" t="s">
        <v>308</v>
      </c>
      <c r="B52" s="88">
        <v>0.6</v>
      </c>
      <c r="C52" s="88">
        <v>0.8</v>
      </c>
      <c r="D52" s="88">
        <v>0.8</v>
      </c>
      <c r="E52" s="88">
        <v>0.5</v>
      </c>
      <c r="F52" s="88">
        <v>0.3</v>
      </c>
    </row>
    <row r="53" spans="1:6">
      <c r="A53" t="s">
        <v>309</v>
      </c>
      <c r="B53" s="88">
        <v>0.5</v>
      </c>
      <c r="C53" s="88">
        <v>0.8</v>
      </c>
      <c r="D53" s="88">
        <v>0.7</v>
      </c>
      <c r="E53" s="88">
        <v>0.7</v>
      </c>
      <c r="F53" s="88">
        <v>0.6</v>
      </c>
    </row>
    <row r="54" spans="1:6">
      <c r="A54" t="s">
        <v>310</v>
      </c>
      <c r="B54" s="88">
        <v>0.3</v>
      </c>
      <c r="C54" s="88">
        <v>0.8</v>
      </c>
      <c r="D54" s="88">
        <v>0.6</v>
      </c>
      <c r="E54" s="88">
        <v>0.7</v>
      </c>
      <c r="F54" s="88">
        <v>0.4</v>
      </c>
    </row>
    <row r="55" spans="1:6">
      <c r="A55" t="s">
        <v>298</v>
      </c>
      <c r="B55" s="84"/>
      <c r="C55" s="84"/>
      <c r="D55" s="84"/>
      <c r="E55" s="84"/>
      <c r="F55" s="84"/>
    </row>
    <row r="56" spans="1:6">
      <c r="A56" t="s">
        <v>311</v>
      </c>
      <c r="B56" s="88">
        <v>0.6</v>
      </c>
      <c r="C56" s="88">
        <v>0.9</v>
      </c>
      <c r="D56" s="88">
        <v>0.9</v>
      </c>
      <c r="E56" s="88">
        <v>0.9</v>
      </c>
      <c r="F56" s="88">
        <v>0.6</v>
      </c>
    </row>
    <row r="57" spans="1:6">
      <c r="A57" t="s">
        <v>519</v>
      </c>
      <c r="B57" s="88">
        <v>0.7</v>
      </c>
      <c r="C57" s="88">
        <v>0.9</v>
      </c>
      <c r="D57" s="88">
        <v>0.9</v>
      </c>
      <c r="E57" s="88">
        <v>0.9</v>
      </c>
      <c r="F57" s="88">
        <v>0.9</v>
      </c>
    </row>
    <row r="58" spans="1:6">
      <c r="A58" t="s">
        <v>313</v>
      </c>
      <c r="B58" s="88">
        <v>0.3</v>
      </c>
      <c r="C58" s="88">
        <v>0.8</v>
      </c>
      <c r="D58" s="88">
        <v>0.6</v>
      </c>
      <c r="E58" s="88">
        <v>0.8</v>
      </c>
      <c r="F58" s="88">
        <v>0.5</v>
      </c>
    </row>
    <row r="59" spans="1:6">
      <c r="A59" t="s">
        <v>298</v>
      </c>
      <c r="B59" s="84"/>
      <c r="C59" s="84"/>
      <c r="D59" s="84"/>
      <c r="E59" s="84"/>
      <c r="F59" s="84"/>
    </row>
    <row r="60" spans="1:6">
      <c r="A60" t="s">
        <v>314</v>
      </c>
      <c r="B60" s="88">
        <v>0.7</v>
      </c>
      <c r="C60" s="88">
        <v>0.9</v>
      </c>
      <c r="D60" s="88">
        <v>0.9</v>
      </c>
      <c r="E60" s="88">
        <v>1</v>
      </c>
      <c r="F60" s="88">
        <v>0.5</v>
      </c>
    </row>
    <row r="61" spans="1:6">
      <c r="A61" t="s">
        <v>315</v>
      </c>
      <c r="B61" s="88">
        <v>0.5</v>
      </c>
      <c r="C61" s="88">
        <v>0.9</v>
      </c>
      <c r="D61" s="88">
        <v>0.8</v>
      </c>
      <c r="E61" s="88">
        <v>1</v>
      </c>
      <c r="F61" s="88">
        <v>0.4</v>
      </c>
    </row>
    <row r="62" spans="1:6">
      <c r="A62" t="s">
        <v>316</v>
      </c>
      <c r="B62" s="88">
        <v>0.3</v>
      </c>
      <c r="C62" s="88">
        <v>0.9</v>
      </c>
      <c r="D62" s="88">
        <v>0.8</v>
      </c>
      <c r="E62" s="88">
        <v>1</v>
      </c>
      <c r="F62" s="88">
        <v>0.3</v>
      </c>
    </row>
    <row r="63" spans="1:6">
      <c r="A63" t="s">
        <v>135</v>
      </c>
      <c r="B63" s="88">
        <v>0.4</v>
      </c>
      <c r="C63" s="88">
        <v>0.8</v>
      </c>
      <c r="D63" s="88">
        <v>0.9</v>
      </c>
      <c r="E63" s="88">
        <v>1</v>
      </c>
      <c r="F63" s="88">
        <v>0.2</v>
      </c>
    </row>
    <row r="64" spans="1:6">
      <c r="A64" t="s">
        <v>317</v>
      </c>
      <c r="B64" s="88">
        <v>0.6</v>
      </c>
      <c r="C64" s="88">
        <v>0.9</v>
      </c>
      <c r="D64" s="88">
        <v>0.8</v>
      </c>
      <c r="E64" s="88">
        <v>1</v>
      </c>
      <c r="F64" s="88">
        <v>0.5</v>
      </c>
    </row>
    <row r="65" spans="1:6">
      <c r="A65" t="s">
        <v>177</v>
      </c>
      <c r="B65" s="88">
        <v>0.6</v>
      </c>
      <c r="C65" s="88">
        <v>0.6</v>
      </c>
      <c r="D65" s="88">
        <v>0.5</v>
      </c>
      <c r="E65" s="88">
        <v>0.5</v>
      </c>
      <c r="F65" s="88">
        <v>0.3</v>
      </c>
    </row>
    <row r="66" spans="1:6">
      <c r="A66" t="s">
        <v>318</v>
      </c>
      <c r="B66" s="88">
        <v>0.4</v>
      </c>
      <c r="C66" s="88">
        <v>0.4</v>
      </c>
      <c r="D66" s="88">
        <v>0.4</v>
      </c>
      <c r="E66" s="88">
        <v>0.4</v>
      </c>
      <c r="F66" s="88">
        <v>0.2</v>
      </c>
    </row>
    <row r="67" spans="1:6">
      <c r="A67" t="s">
        <v>298</v>
      </c>
      <c r="B67" s="84"/>
      <c r="C67" s="84"/>
      <c r="D67" s="84"/>
      <c r="E67" s="84"/>
      <c r="F67" s="84"/>
    </row>
    <row r="68" spans="1:6">
      <c r="A68" t="s">
        <v>319</v>
      </c>
      <c r="B68" s="88">
        <v>0.5</v>
      </c>
      <c r="C68" s="88">
        <v>0.9</v>
      </c>
      <c r="D68" s="88">
        <v>0.7</v>
      </c>
      <c r="E68" s="88">
        <v>0.8</v>
      </c>
      <c r="F68" s="88">
        <v>0.7</v>
      </c>
    </row>
    <row r="69" spans="1:6">
      <c r="A69" t="s">
        <v>320</v>
      </c>
      <c r="B69" s="88">
        <v>0.3</v>
      </c>
      <c r="C69" s="88">
        <v>0.9</v>
      </c>
      <c r="D69" s="88">
        <v>0.7</v>
      </c>
      <c r="E69" s="88">
        <v>0.8</v>
      </c>
      <c r="F69" s="88">
        <v>0.5</v>
      </c>
    </row>
    <row r="70" spans="1:6">
      <c r="A70" t="s">
        <v>321</v>
      </c>
      <c r="B70" s="88">
        <v>0.2</v>
      </c>
      <c r="C70" s="88">
        <v>0.7</v>
      </c>
      <c r="D70" s="88">
        <v>0.4</v>
      </c>
      <c r="E70" s="88">
        <v>0.7</v>
      </c>
      <c r="F70" s="88">
        <v>0.1</v>
      </c>
    </row>
    <row r="71" spans="1:6">
      <c r="A71" t="s">
        <v>322</v>
      </c>
      <c r="B71" s="88">
        <v>0.2</v>
      </c>
      <c r="C71" s="88">
        <v>0.7</v>
      </c>
      <c r="D71" s="88">
        <v>0.3</v>
      </c>
      <c r="E71" s="88">
        <v>0.7</v>
      </c>
      <c r="F71" s="88">
        <v>0.1</v>
      </c>
    </row>
    <row r="72" spans="1:6">
      <c r="A72" t="s">
        <v>298</v>
      </c>
      <c r="B72" s="84"/>
      <c r="C72" s="84"/>
      <c r="D72" s="84"/>
      <c r="E72" s="84"/>
      <c r="F72" s="84"/>
    </row>
    <row r="73" spans="1:6">
      <c r="A73" t="s">
        <v>323</v>
      </c>
      <c r="B73" s="88">
        <v>0.7</v>
      </c>
      <c r="C73" s="88">
        <v>0.9</v>
      </c>
      <c r="D73" s="88">
        <v>0.8</v>
      </c>
      <c r="E73" s="88">
        <v>1</v>
      </c>
      <c r="F73" s="88">
        <v>0.5</v>
      </c>
    </row>
    <row r="74" spans="1:6">
      <c r="A74" t="s">
        <v>324</v>
      </c>
      <c r="B74" s="88">
        <v>0.5</v>
      </c>
      <c r="C74" s="88">
        <v>0.8</v>
      </c>
      <c r="D74" s="88">
        <v>0.6</v>
      </c>
      <c r="E74" s="88">
        <v>1</v>
      </c>
      <c r="F74" s="88">
        <v>0.3</v>
      </c>
    </row>
    <row r="75" spans="1:6">
      <c r="A75" t="s">
        <v>325</v>
      </c>
      <c r="B75" s="88">
        <v>0.2</v>
      </c>
      <c r="C75" s="88">
        <v>0.8</v>
      </c>
      <c r="D75" s="88">
        <v>0.6</v>
      </c>
      <c r="E75" s="88">
        <v>1</v>
      </c>
      <c r="F75" s="88">
        <v>0.3</v>
      </c>
    </row>
    <row r="76" spans="1:6">
      <c r="A76" t="s">
        <v>326</v>
      </c>
      <c r="B76" s="88">
        <v>0.5</v>
      </c>
      <c r="C76" s="88">
        <v>0.9</v>
      </c>
      <c r="D76" s="88">
        <v>0.8</v>
      </c>
      <c r="E76" s="88">
        <v>1</v>
      </c>
      <c r="F76" s="88">
        <v>0.4</v>
      </c>
    </row>
    <row r="77" spans="1:6">
      <c r="A77" t="s">
        <v>327</v>
      </c>
      <c r="B77" s="88">
        <v>0.4</v>
      </c>
      <c r="C77" s="88">
        <v>0.9</v>
      </c>
      <c r="D77" s="88">
        <v>0.8</v>
      </c>
      <c r="E77" s="88">
        <v>1</v>
      </c>
      <c r="F77" s="88">
        <v>0.4</v>
      </c>
    </row>
    <row r="78" spans="1:6">
      <c r="A78" t="s">
        <v>298</v>
      </c>
      <c r="B78" s="84"/>
      <c r="C78" s="84"/>
      <c r="D78" s="84"/>
      <c r="E78" s="84"/>
      <c r="F78" s="84"/>
    </row>
    <row r="79" spans="1:6">
      <c r="A79" t="s">
        <v>328</v>
      </c>
      <c r="B79" s="88">
        <v>0.4</v>
      </c>
      <c r="C79" s="88">
        <v>0.9</v>
      </c>
      <c r="D79" s="88">
        <v>0.8</v>
      </c>
      <c r="E79" s="88">
        <v>1</v>
      </c>
      <c r="F79" s="88">
        <v>1</v>
      </c>
    </row>
    <row r="80" spans="1:6">
      <c r="A80" t="s">
        <v>329</v>
      </c>
      <c r="B80" s="88">
        <v>0.4</v>
      </c>
      <c r="C80" s="88">
        <v>0.8</v>
      </c>
      <c r="D80" s="88">
        <v>0.7</v>
      </c>
      <c r="E80" s="88">
        <v>0.8</v>
      </c>
      <c r="F80" s="88">
        <v>1</v>
      </c>
    </row>
    <row r="81" spans="1:6">
      <c r="A81" t="s">
        <v>330</v>
      </c>
      <c r="B81" s="88">
        <v>0.2</v>
      </c>
      <c r="C81" s="88">
        <v>0.6</v>
      </c>
      <c r="D81" s="88">
        <v>0.5</v>
      </c>
      <c r="E81" s="88">
        <v>0.9</v>
      </c>
      <c r="F81" s="88">
        <v>1</v>
      </c>
    </row>
    <row r="82" spans="1:6">
      <c r="A82" s="74" t="s">
        <v>1311</v>
      </c>
      <c r="B82" s="91">
        <v>0.45384615384615373</v>
      </c>
      <c r="C82" s="91">
        <v>0.81153846153846154</v>
      </c>
      <c r="D82" s="91">
        <v>0.70000000000000007</v>
      </c>
      <c r="E82" s="91">
        <v>0.84999999999999987</v>
      </c>
      <c r="F82" s="91">
        <v>0.49230769230769234</v>
      </c>
    </row>
    <row r="83" spans="1:6">
      <c r="A83" t="s">
        <v>298</v>
      </c>
      <c r="B83" s="93"/>
      <c r="C83" s="93"/>
      <c r="D83" s="93"/>
      <c r="E83" s="93"/>
      <c r="F83" s="93"/>
    </row>
    <row r="84" spans="1:6">
      <c r="A84" t="s">
        <v>298</v>
      </c>
      <c r="B84" s="93"/>
      <c r="C84" s="93"/>
      <c r="D84" s="93"/>
      <c r="E84" s="93"/>
      <c r="F84" s="93"/>
    </row>
    <row r="85" spans="1:6">
      <c r="A85" s="8" t="s">
        <v>25</v>
      </c>
      <c r="B85" s="93"/>
      <c r="C85" s="93"/>
      <c r="D85" s="93"/>
      <c r="E85" s="93"/>
      <c r="F85" s="93"/>
    </row>
    <row r="86" spans="1:6">
      <c r="A86" s="76" t="s">
        <v>331</v>
      </c>
      <c r="B86" s="84"/>
      <c r="C86" s="84"/>
      <c r="D86" s="84"/>
      <c r="E86" s="84"/>
      <c r="F86" s="84"/>
    </row>
    <row r="87" spans="1:6">
      <c r="A87" t="s">
        <v>332</v>
      </c>
      <c r="B87" s="88">
        <v>0.6</v>
      </c>
      <c r="C87" s="88">
        <v>1</v>
      </c>
      <c r="D87" s="88">
        <v>0.8</v>
      </c>
      <c r="E87" s="88">
        <v>1</v>
      </c>
      <c r="F87" s="88">
        <v>0.6</v>
      </c>
    </row>
    <row r="88" spans="1:6">
      <c r="A88" t="s">
        <v>298</v>
      </c>
      <c r="B88" s="84"/>
      <c r="C88" s="84"/>
      <c r="D88" s="84"/>
      <c r="E88" s="84"/>
      <c r="F88" s="84"/>
    </row>
    <row r="89" spans="1:6">
      <c r="A89" t="s">
        <v>298</v>
      </c>
      <c r="B89" s="84"/>
      <c r="C89" s="84"/>
      <c r="D89" s="84"/>
      <c r="E89" s="84"/>
      <c r="F89" s="84"/>
    </row>
    <row r="90" spans="1:6">
      <c r="A90" t="s">
        <v>298</v>
      </c>
      <c r="B90" s="84"/>
      <c r="C90" s="84"/>
      <c r="D90" s="84"/>
      <c r="E90" s="84"/>
      <c r="F90" s="84"/>
    </row>
    <row r="91" spans="1:6">
      <c r="A91" t="s">
        <v>333</v>
      </c>
      <c r="B91" s="88">
        <v>0.2</v>
      </c>
      <c r="C91" s="88">
        <v>1</v>
      </c>
      <c r="D91" s="88">
        <v>0.5</v>
      </c>
      <c r="E91" s="88">
        <v>1</v>
      </c>
      <c r="F91" s="88">
        <v>0.2</v>
      </c>
    </row>
    <row r="92" spans="1:6">
      <c r="A92" t="s">
        <v>298</v>
      </c>
      <c r="B92" s="84"/>
      <c r="C92" s="84"/>
      <c r="D92" s="84"/>
      <c r="E92" s="84"/>
      <c r="F92" s="84"/>
    </row>
    <row r="93" spans="1:6">
      <c r="A93" t="s">
        <v>143</v>
      </c>
      <c r="B93" s="88">
        <v>0</v>
      </c>
      <c r="C93" s="88">
        <v>0.7</v>
      </c>
      <c r="D93" s="88">
        <v>0.3</v>
      </c>
      <c r="E93" s="88">
        <v>0.6</v>
      </c>
      <c r="F93" s="88">
        <v>0</v>
      </c>
    </row>
    <row r="94" spans="1:6">
      <c r="A94" t="s">
        <v>298</v>
      </c>
      <c r="B94" s="84"/>
      <c r="C94" s="84"/>
      <c r="D94" s="84"/>
      <c r="E94" s="84"/>
      <c r="F94" s="84"/>
    </row>
    <row r="95" spans="1:6">
      <c r="A95" t="s">
        <v>334</v>
      </c>
      <c r="B95" s="88">
        <v>0</v>
      </c>
      <c r="C95" s="88">
        <v>0.5</v>
      </c>
      <c r="D95" s="88">
        <v>0.1</v>
      </c>
      <c r="E95" s="88">
        <v>0.4</v>
      </c>
      <c r="F95" s="88">
        <v>0</v>
      </c>
    </row>
    <row r="96" spans="1:6">
      <c r="A96" t="s">
        <v>298</v>
      </c>
      <c r="B96" s="84"/>
      <c r="C96" s="84"/>
      <c r="D96" s="84"/>
      <c r="E96" s="84"/>
      <c r="F96" s="84"/>
    </row>
    <row r="97" spans="1:6">
      <c r="A97" t="s">
        <v>163</v>
      </c>
      <c r="B97" s="88">
        <v>0.5</v>
      </c>
      <c r="C97" s="88">
        <v>1</v>
      </c>
      <c r="D97" s="88">
        <v>0.6</v>
      </c>
      <c r="E97" s="88">
        <v>1</v>
      </c>
      <c r="F97" s="88">
        <v>0.6</v>
      </c>
    </row>
    <row r="98" spans="1:6">
      <c r="A98" t="s">
        <v>185</v>
      </c>
      <c r="B98" s="88">
        <v>0.6</v>
      </c>
      <c r="C98" s="88">
        <v>0.6</v>
      </c>
      <c r="D98" s="88">
        <v>1</v>
      </c>
      <c r="E98" s="88">
        <v>0.5</v>
      </c>
      <c r="F98" s="88">
        <v>0.3</v>
      </c>
    </row>
    <row r="99" spans="1:6">
      <c r="A99" t="s">
        <v>256</v>
      </c>
      <c r="B99" s="88">
        <v>0.4</v>
      </c>
      <c r="C99" s="88">
        <v>1</v>
      </c>
      <c r="D99" s="88">
        <v>0.6</v>
      </c>
      <c r="E99" s="88">
        <v>1</v>
      </c>
      <c r="F99" s="88">
        <v>0.6</v>
      </c>
    </row>
    <row r="100" spans="1:6">
      <c r="A100" t="s">
        <v>335</v>
      </c>
      <c r="B100" s="88">
        <v>0.4</v>
      </c>
      <c r="C100" s="88">
        <v>0.6</v>
      </c>
      <c r="D100" s="88">
        <v>1</v>
      </c>
      <c r="E100" s="88">
        <v>0.5</v>
      </c>
      <c r="F100" s="88">
        <v>0.3</v>
      </c>
    </row>
    <row r="101" spans="1:6">
      <c r="A101" t="s">
        <v>298</v>
      </c>
      <c r="B101" s="84"/>
      <c r="C101" s="84"/>
      <c r="D101" s="84"/>
      <c r="E101" s="84"/>
      <c r="F101" s="84"/>
    </row>
    <row r="102" spans="1:6">
      <c r="A102" t="s">
        <v>147</v>
      </c>
      <c r="B102" s="88">
        <v>0.5</v>
      </c>
      <c r="C102" s="88">
        <v>0.6</v>
      </c>
      <c r="D102" s="88">
        <v>1</v>
      </c>
      <c r="E102" s="88">
        <v>0.6</v>
      </c>
      <c r="F102" s="88">
        <v>0.3</v>
      </c>
    </row>
    <row r="103" spans="1:6">
      <c r="A103" t="s">
        <v>336</v>
      </c>
      <c r="B103" s="88">
        <v>0.3</v>
      </c>
      <c r="C103" s="88">
        <v>0.5</v>
      </c>
      <c r="D103" s="88">
        <v>1</v>
      </c>
      <c r="E103" s="88">
        <v>0.4</v>
      </c>
      <c r="F103" s="88">
        <v>0.2</v>
      </c>
    </row>
    <row r="104" spans="1:6">
      <c r="A104" t="s">
        <v>337</v>
      </c>
      <c r="B104" s="88">
        <v>0.3</v>
      </c>
      <c r="C104" s="88">
        <v>0.5</v>
      </c>
      <c r="D104" s="88">
        <v>1</v>
      </c>
      <c r="E104" s="88">
        <v>0.4</v>
      </c>
      <c r="F104" s="88">
        <v>0.2</v>
      </c>
    </row>
    <row r="105" spans="1:6">
      <c r="A105" t="s">
        <v>298</v>
      </c>
      <c r="B105" s="84"/>
      <c r="C105" s="84"/>
      <c r="D105" s="84"/>
      <c r="E105" s="84"/>
      <c r="F105" s="84"/>
    </row>
    <row r="106" spans="1:6">
      <c r="A106" t="s">
        <v>338</v>
      </c>
      <c r="B106" s="88">
        <v>0.3</v>
      </c>
      <c r="C106" s="88">
        <v>0.8</v>
      </c>
      <c r="D106" s="88">
        <v>0.6</v>
      </c>
      <c r="E106" s="88">
        <v>0.8</v>
      </c>
      <c r="F106" s="88">
        <v>0.4</v>
      </c>
    </row>
    <row r="107" spans="1:6">
      <c r="A107" s="76" t="s">
        <v>255</v>
      </c>
      <c r="B107" s="84"/>
      <c r="C107" s="84"/>
      <c r="D107" s="84"/>
      <c r="E107" s="84"/>
      <c r="F107" s="84"/>
    </row>
    <row r="108" spans="1:6">
      <c r="A108" t="s">
        <v>339</v>
      </c>
      <c r="B108" s="88">
        <v>0.8</v>
      </c>
      <c r="C108" s="88">
        <v>1</v>
      </c>
      <c r="D108" s="88">
        <v>1</v>
      </c>
      <c r="E108" s="88">
        <v>0.8</v>
      </c>
      <c r="F108" s="88">
        <v>0.3</v>
      </c>
    </row>
    <row r="109" spans="1:6">
      <c r="A109" t="s">
        <v>298</v>
      </c>
      <c r="B109" s="84"/>
      <c r="C109" s="84"/>
      <c r="D109" s="84"/>
      <c r="E109" s="84"/>
      <c r="F109" s="84"/>
    </row>
    <row r="110" spans="1:6">
      <c r="A110" t="s">
        <v>340</v>
      </c>
      <c r="B110" s="88">
        <v>0.5</v>
      </c>
      <c r="C110" s="88">
        <v>1</v>
      </c>
      <c r="D110" s="88">
        <v>1</v>
      </c>
      <c r="E110" s="88">
        <v>0.8</v>
      </c>
      <c r="F110" s="88">
        <v>0.3</v>
      </c>
    </row>
    <row r="111" spans="1:6">
      <c r="A111" t="s">
        <v>298</v>
      </c>
      <c r="B111" s="84"/>
      <c r="C111" s="84"/>
      <c r="D111" s="84"/>
      <c r="E111" s="84"/>
      <c r="F111" s="84"/>
    </row>
    <row r="112" spans="1:6">
      <c r="A112" t="s">
        <v>341</v>
      </c>
      <c r="B112" s="88">
        <v>0.3</v>
      </c>
      <c r="C112" s="88">
        <v>0.8</v>
      </c>
      <c r="D112" s="88">
        <v>1</v>
      </c>
      <c r="E112" s="88">
        <v>0.8</v>
      </c>
      <c r="F112" s="88">
        <v>0.3</v>
      </c>
    </row>
    <row r="113" spans="1:6">
      <c r="A113" t="s">
        <v>298</v>
      </c>
      <c r="B113" s="84"/>
      <c r="C113" s="84"/>
      <c r="D113" s="84"/>
      <c r="E113" s="84"/>
      <c r="F113" s="84"/>
    </row>
    <row r="114" spans="1:6">
      <c r="A114" t="s">
        <v>342</v>
      </c>
      <c r="B114" s="88">
        <v>0.2</v>
      </c>
      <c r="C114" s="88">
        <v>0.9</v>
      </c>
      <c r="D114" s="88">
        <v>1</v>
      </c>
      <c r="E114" s="88">
        <v>0.8</v>
      </c>
      <c r="F114" s="88">
        <v>0.3</v>
      </c>
    </row>
    <row r="115" spans="1:6">
      <c r="A115" t="s">
        <v>298</v>
      </c>
      <c r="B115" s="84"/>
      <c r="C115" s="84"/>
      <c r="D115" s="84"/>
      <c r="E115" s="84"/>
      <c r="F115" s="84"/>
    </row>
    <row r="116" spans="1:6">
      <c r="A116" t="s">
        <v>343</v>
      </c>
      <c r="B116" s="88">
        <v>0</v>
      </c>
      <c r="C116" s="88">
        <v>0.5</v>
      </c>
      <c r="D116" s="88">
        <v>0.3</v>
      </c>
      <c r="E116" s="88">
        <v>0.8</v>
      </c>
      <c r="F116" s="88">
        <v>0</v>
      </c>
    </row>
    <row r="117" spans="1:6">
      <c r="A117" t="s">
        <v>298</v>
      </c>
      <c r="B117" s="84"/>
      <c r="C117" s="84"/>
      <c r="D117" s="84"/>
      <c r="E117" s="84"/>
      <c r="F117" s="84"/>
    </row>
    <row r="118" spans="1:6">
      <c r="A118" t="s">
        <v>344</v>
      </c>
      <c r="B118" s="88">
        <v>0</v>
      </c>
      <c r="C118" s="88">
        <v>0.6</v>
      </c>
      <c r="D118" s="88">
        <v>0.3</v>
      </c>
      <c r="E118" s="88">
        <v>0.8</v>
      </c>
      <c r="F118" s="88">
        <v>0</v>
      </c>
    </row>
    <row r="119" spans="1:6">
      <c r="A119" t="s">
        <v>298</v>
      </c>
      <c r="B119" s="84"/>
      <c r="C119" s="84"/>
      <c r="D119" s="84"/>
      <c r="E119" s="84"/>
      <c r="F119" s="84"/>
    </row>
    <row r="120" spans="1:6">
      <c r="A120" t="s">
        <v>345</v>
      </c>
      <c r="B120" s="88">
        <v>0</v>
      </c>
      <c r="C120" s="88">
        <v>0.6</v>
      </c>
      <c r="D120" s="88">
        <v>0.3</v>
      </c>
      <c r="E120" s="88">
        <v>0.8</v>
      </c>
      <c r="F120" s="88">
        <v>0</v>
      </c>
    </row>
    <row r="121" spans="1:6">
      <c r="A121" t="s">
        <v>298</v>
      </c>
      <c r="B121" s="84"/>
      <c r="C121" s="84"/>
      <c r="D121" s="84"/>
      <c r="E121" s="84"/>
      <c r="F121" s="84"/>
    </row>
    <row r="122" spans="1:6">
      <c r="A122" t="s">
        <v>346</v>
      </c>
      <c r="B122" s="88">
        <v>0</v>
      </c>
      <c r="C122" s="88">
        <v>0.5</v>
      </c>
      <c r="D122" s="88">
        <v>0.3</v>
      </c>
      <c r="E122" s="88">
        <v>0.8</v>
      </c>
      <c r="F122" s="88">
        <v>0</v>
      </c>
    </row>
    <row r="123" spans="1:6">
      <c r="A123" t="s">
        <v>298</v>
      </c>
      <c r="B123" s="84"/>
      <c r="C123" s="84"/>
      <c r="D123" s="84"/>
      <c r="E123" s="84"/>
      <c r="F123" s="84"/>
    </row>
    <row r="124" spans="1:6">
      <c r="A124" t="s">
        <v>347</v>
      </c>
      <c r="B124" s="88">
        <v>0</v>
      </c>
      <c r="C124" s="88">
        <v>0.4</v>
      </c>
      <c r="D124" s="88">
        <v>0.2</v>
      </c>
      <c r="E124" s="88">
        <v>0.8</v>
      </c>
      <c r="F124" s="88">
        <v>0</v>
      </c>
    </row>
    <row r="125" spans="1:6">
      <c r="A125" t="s">
        <v>298</v>
      </c>
      <c r="B125" s="84"/>
      <c r="C125" s="84"/>
      <c r="D125" s="84"/>
      <c r="E125" s="84"/>
      <c r="F125" s="84"/>
    </row>
    <row r="126" spans="1:6">
      <c r="A126" t="s">
        <v>348</v>
      </c>
      <c r="B126" s="88">
        <v>0.3</v>
      </c>
      <c r="C126" s="88">
        <v>0.9</v>
      </c>
      <c r="D126" s="88">
        <v>0.7</v>
      </c>
      <c r="E126" s="88">
        <v>0.8</v>
      </c>
      <c r="F126" s="88">
        <v>0.2</v>
      </c>
    </row>
    <row r="127" spans="1:6">
      <c r="A127" t="s">
        <v>298</v>
      </c>
      <c r="B127" s="84"/>
      <c r="C127" s="84"/>
      <c r="D127" s="84"/>
      <c r="E127" s="84"/>
      <c r="F127" s="84"/>
    </row>
    <row r="128" spans="1:6">
      <c r="A128" t="s">
        <v>349</v>
      </c>
      <c r="B128" s="88">
        <v>0</v>
      </c>
      <c r="C128" s="88">
        <v>0.4</v>
      </c>
      <c r="D128" s="88">
        <v>0.4</v>
      </c>
      <c r="E128" s="88">
        <v>0.8</v>
      </c>
      <c r="F128" s="88">
        <v>0.3</v>
      </c>
    </row>
    <row r="129" spans="1:6">
      <c r="A129" s="74" t="s">
        <v>1311</v>
      </c>
      <c r="B129" s="91">
        <v>0.26956521739130429</v>
      </c>
      <c r="C129" s="91">
        <v>0.71304347826086956</v>
      </c>
      <c r="D129" s="91">
        <v>0.65217391304347838</v>
      </c>
      <c r="E129" s="91">
        <v>0.73913043478260898</v>
      </c>
      <c r="F129" s="91">
        <v>0.23478260869565215</v>
      </c>
    </row>
    <row r="130" spans="1:6">
      <c r="A130" t="s">
        <v>298</v>
      </c>
      <c r="B130" s="93"/>
      <c r="C130" s="93"/>
      <c r="D130" s="93"/>
      <c r="E130" s="93"/>
      <c r="F130" s="93"/>
    </row>
    <row r="131" spans="1:6">
      <c r="A131" t="s">
        <v>298</v>
      </c>
      <c r="B131" s="93"/>
      <c r="C131" s="93"/>
      <c r="D131" s="93"/>
      <c r="E131" s="93"/>
      <c r="F131" s="93"/>
    </row>
    <row r="132" spans="1:6">
      <c r="A132" s="8" t="s">
        <v>11</v>
      </c>
      <c r="B132" s="93"/>
      <c r="C132" s="93"/>
      <c r="D132" s="93"/>
      <c r="E132" s="93"/>
      <c r="F132" s="93"/>
    </row>
    <row r="133" spans="1:6">
      <c r="A133" t="s">
        <v>298</v>
      </c>
      <c r="B133" s="84"/>
      <c r="C133" s="84"/>
      <c r="D133" s="84"/>
      <c r="E133" s="84"/>
      <c r="F133" s="84"/>
    </row>
    <row r="134" spans="1:6">
      <c r="A134" t="s">
        <v>350</v>
      </c>
      <c r="B134" s="88">
        <v>0.5</v>
      </c>
      <c r="C134" s="88">
        <v>1</v>
      </c>
      <c r="D134" s="88">
        <v>0.4</v>
      </c>
      <c r="E134" s="88">
        <v>1</v>
      </c>
      <c r="F134" s="88">
        <v>1</v>
      </c>
    </row>
    <row r="135" spans="1:6">
      <c r="A135" t="s">
        <v>298</v>
      </c>
      <c r="B135" s="84"/>
      <c r="C135" s="84"/>
      <c r="D135" s="84"/>
      <c r="E135" s="84"/>
      <c r="F135" s="84"/>
    </row>
    <row r="136" spans="1:6">
      <c r="A136" t="s">
        <v>351</v>
      </c>
      <c r="B136" s="88">
        <v>0.9</v>
      </c>
      <c r="C136" s="88">
        <v>1</v>
      </c>
      <c r="D136" s="88">
        <v>0.8</v>
      </c>
      <c r="E136" s="88">
        <v>1</v>
      </c>
      <c r="F136" s="88">
        <v>0.8</v>
      </c>
    </row>
    <row r="137" spans="1:6">
      <c r="A137" t="s">
        <v>298</v>
      </c>
      <c r="B137" s="84"/>
      <c r="C137" s="84"/>
      <c r="D137" s="84"/>
      <c r="E137" s="84"/>
      <c r="F137" s="84"/>
    </row>
    <row r="138" spans="1:6">
      <c r="A138" t="s">
        <v>47</v>
      </c>
      <c r="B138" s="88">
        <v>0</v>
      </c>
      <c r="C138" s="88">
        <v>0.5</v>
      </c>
      <c r="D138" s="88">
        <v>0</v>
      </c>
      <c r="E138" s="88">
        <v>0.7</v>
      </c>
      <c r="F138" s="88">
        <v>1</v>
      </c>
    </row>
    <row r="139" spans="1:6">
      <c r="A139" t="s">
        <v>298</v>
      </c>
      <c r="B139" s="84"/>
      <c r="C139" s="84"/>
      <c r="D139" s="84"/>
      <c r="E139" s="84"/>
      <c r="F139" s="84"/>
    </row>
    <row r="140" spans="1:6">
      <c r="A140" t="s">
        <v>352</v>
      </c>
      <c r="B140" s="88">
        <v>0.5</v>
      </c>
      <c r="C140" s="88">
        <v>0.6</v>
      </c>
      <c r="D140" s="88">
        <v>0.6</v>
      </c>
      <c r="E140" s="88">
        <v>0</v>
      </c>
      <c r="F140" s="88">
        <v>0</v>
      </c>
    </row>
    <row r="141" spans="1:6">
      <c r="A141" t="s">
        <v>298</v>
      </c>
      <c r="B141" s="84"/>
      <c r="C141" s="84"/>
      <c r="D141" s="84"/>
      <c r="E141" s="84"/>
      <c r="F141" s="84"/>
    </row>
    <row r="142" spans="1:6">
      <c r="A142" t="s">
        <v>353</v>
      </c>
      <c r="B142" s="88">
        <v>0</v>
      </c>
      <c r="C142" s="88">
        <v>0.6</v>
      </c>
      <c r="D142" s="88">
        <v>0.3</v>
      </c>
      <c r="E142" s="88">
        <v>0.3</v>
      </c>
      <c r="F142" s="88">
        <v>0.5</v>
      </c>
    </row>
    <row r="143" spans="1:6">
      <c r="A143" t="s">
        <v>298</v>
      </c>
      <c r="B143" s="84"/>
      <c r="C143" s="84"/>
      <c r="D143" s="84"/>
      <c r="E143" s="84"/>
      <c r="F143" s="84"/>
    </row>
    <row r="144" spans="1:6">
      <c r="A144" t="s">
        <v>354</v>
      </c>
      <c r="B144" s="88">
        <v>0</v>
      </c>
      <c r="C144" s="88">
        <v>0</v>
      </c>
      <c r="D144" s="88">
        <v>0</v>
      </c>
      <c r="E144" s="88">
        <v>0</v>
      </c>
      <c r="F144" s="88">
        <v>0.1</v>
      </c>
    </row>
    <row r="145" spans="1:6">
      <c r="A145" t="s">
        <v>298</v>
      </c>
      <c r="B145" s="84"/>
      <c r="C145" s="84"/>
      <c r="D145" s="84"/>
      <c r="E145" s="84"/>
      <c r="F145" s="84"/>
    </row>
    <row r="146" spans="1:6">
      <c r="A146" t="s">
        <v>355</v>
      </c>
      <c r="B146" s="88">
        <v>0.2</v>
      </c>
      <c r="C146" s="88">
        <v>0.5</v>
      </c>
      <c r="D146" s="88">
        <v>0.3</v>
      </c>
      <c r="E146" s="88">
        <v>0.4</v>
      </c>
      <c r="F146" s="88">
        <v>0</v>
      </c>
    </row>
    <row r="147" spans="1:6">
      <c r="A147" t="s">
        <v>298</v>
      </c>
      <c r="B147" s="84"/>
      <c r="C147" s="84"/>
      <c r="D147" s="84"/>
      <c r="E147" s="84"/>
      <c r="F147" s="84"/>
    </row>
    <row r="148" spans="1:6">
      <c r="A148" t="s">
        <v>356</v>
      </c>
      <c r="B148" s="88">
        <v>0.1</v>
      </c>
      <c r="C148" s="88">
        <v>0.7</v>
      </c>
      <c r="D148" s="88">
        <v>0.1</v>
      </c>
      <c r="E148" s="88">
        <v>0.4</v>
      </c>
      <c r="F148" s="88">
        <v>0.3</v>
      </c>
    </row>
    <row r="149" spans="1:6">
      <c r="A149" t="s">
        <v>298</v>
      </c>
      <c r="B149" s="84"/>
      <c r="C149" s="84"/>
      <c r="D149" s="84"/>
      <c r="E149" s="84"/>
      <c r="F149" s="84"/>
    </row>
    <row r="150" spans="1:6">
      <c r="A150" t="s">
        <v>357</v>
      </c>
      <c r="B150" s="88">
        <v>0</v>
      </c>
      <c r="C150" s="88">
        <v>0.4</v>
      </c>
      <c r="D150" s="88">
        <v>0.2</v>
      </c>
      <c r="E150" s="88">
        <v>0.4</v>
      </c>
      <c r="F150" s="88">
        <v>0</v>
      </c>
    </row>
    <row r="151" spans="1:6">
      <c r="A151" t="s">
        <v>298</v>
      </c>
      <c r="B151" s="84"/>
      <c r="C151" s="84"/>
      <c r="D151" s="84"/>
      <c r="E151" s="84"/>
      <c r="F151" s="84"/>
    </row>
    <row r="152" spans="1:6">
      <c r="A152" t="s">
        <v>112</v>
      </c>
      <c r="B152" s="88">
        <v>0.1</v>
      </c>
      <c r="C152" s="88">
        <v>0.3</v>
      </c>
      <c r="D152" s="88">
        <v>0.2</v>
      </c>
      <c r="E152" s="88">
        <v>0.2</v>
      </c>
      <c r="F152" s="88">
        <v>0.1</v>
      </c>
    </row>
    <row r="153" spans="1:6">
      <c r="A153" t="s">
        <v>298</v>
      </c>
      <c r="B153" s="84"/>
      <c r="C153" s="84"/>
      <c r="D153" s="84"/>
      <c r="E153" s="84"/>
      <c r="F153" s="84"/>
    </row>
    <row r="154" spans="1:6">
      <c r="A154" t="s">
        <v>114</v>
      </c>
      <c r="B154" s="88">
        <v>0.1</v>
      </c>
      <c r="C154" s="88">
        <v>0.7</v>
      </c>
      <c r="D154" s="88">
        <v>0.4</v>
      </c>
      <c r="E154" s="88">
        <v>1</v>
      </c>
      <c r="F154" s="88">
        <v>0.1</v>
      </c>
    </row>
    <row r="155" spans="1:6">
      <c r="A155" t="s">
        <v>298</v>
      </c>
      <c r="B155" s="84"/>
      <c r="C155" s="84"/>
      <c r="D155" s="84"/>
      <c r="E155" s="84"/>
      <c r="F155" s="84"/>
    </row>
    <row r="156" spans="1:6">
      <c r="A156" t="s">
        <v>115</v>
      </c>
      <c r="B156" s="88">
        <v>0.1</v>
      </c>
      <c r="C156" s="88">
        <v>0.7</v>
      </c>
      <c r="D156" s="88">
        <v>0.3</v>
      </c>
      <c r="E156" s="88">
        <v>0.6</v>
      </c>
      <c r="F156" s="88">
        <v>0.8</v>
      </c>
    </row>
    <row r="157" spans="1:6">
      <c r="A157" t="s">
        <v>298</v>
      </c>
      <c r="B157" s="84"/>
      <c r="C157" s="84"/>
      <c r="D157" s="84"/>
      <c r="E157" s="84"/>
      <c r="F157" s="84"/>
    </row>
    <row r="158" spans="1:6">
      <c r="A158" t="s">
        <v>116</v>
      </c>
      <c r="B158" s="88">
        <v>0.5</v>
      </c>
      <c r="C158" s="88">
        <v>1</v>
      </c>
      <c r="D158" s="88">
        <v>0.8</v>
      </c>
      <c r="E158" s="88">
        <v>1</v>
      </c>
      <c r="F158" s="88">
        <v>1</v>
      </c>
    </row>
    <row r="159" spans="1:6">
      <c r="A159" t="s">
        <v>298</v>
      </c>
      <c r="B159" s="84"/>
      <c r="C159" s="84"/>
      <c r="D159" s="84"/>
      <c r="E159" s="84"/>
      <c r="F159" s="84"/>
    </row>
    <row r="160" spans="1:6">
      <c r="A160" t="s">
        <v>358</v>
      </c>
      <c r="B160" s="88">
        <v>0.2</v>
      </c>
      <c r="C160" s="88">
        <v>0.9</v>
      </c>
      <c r="D160" s="88">
        <v>0.5</v>
      </c>
      <c r="E160" s="88">
        <v>1</v>
      </c>
      <c r="F160" s="88">
        <v>0.6</v>
      </c>
    </row>
    <row r="161" spans="1:6">
      <c r="A161" s="74" t="s">
        <v>1311</v>
      </c>
      <c r="B161" s="91">
        <v>0.22857142857142862</v>
      </c>
      <c r="C161" s="91">
        <v>0.63571428571428579</v>
      </c>
      <c r="D161" s="91">
        <v>0.35000000000000003</v>
      </c>
      <c r="E161" s="91">
        <v>0.5714285714285714</v>
      </c>
      <c r="F161" s="91">
        <v>0.45</v>
      </c>
    </row>
    <row r="162" spans="1:6">
      <c r="A162" t="s">
        <v>298</v>
      </c>
      <c r="B162" s="93"/>
      <c r="C162" s="93"/>
      <c r="D162" s="93"/>
      <c r="E162" s="93"/>
      <c r="F162" s="93"/>
    </row>
    <row r="163" spans="1:6">
      <c r="A163" t="s">
        <v>298</v>
      </c>
      <c r="B163" s="93"/>
      <c r="C163" s="93"/>
      <c r="D163" s="93"/>
      <c r="E163" s="93"/>
      <c r="F163" s="93"/>
    </row>
    <row r="164" spans="1:6">
      <c r="A164" s="8" t="s">
        <v>10</v>
      </c>
      <c r="B164" s="93"/>
      <c r="C164" s="93"/>
      <c r="D164" s="93"/>
      <c r="E164" s="93"/>
      <c r="F164" s="93"/>
    </row>
    <row r="165" spans="1:6">
      <c r="A165" t="s">
        <v>298</v>
      </c>
      <c r="B165" s="84"/>
      <c r="C165" s="84"/>
      <c r="D165" s="84"/>
      <c r="E165" s="84"/>
      <c r="F165" s="84"/>
    </row>
    <row r="166" spans="1:6">
      <c r="A166" t="s">
        <v>359</v>
      </c>
      <c r="B166" s="88">
        <v>0.3</v>
      </c>
      <c r="C166" s="88">
        <v>0.9</v>
      </c>
      <c r="D166" s="88">
        <v>0.6</v>
      </c>
      <c r="E166" s="88">
        <v>1</v>
      </c>
      <c r="F166" s="88">
        <v>0.6</v>
      </c>
    </row>
    <row r="167" spans="1:6">
      <c r="A167" t="s">
        <v>298</v>
      </c>
      <c r="B167" s="84"/>
      <c r="C167" s="84"/>
      <c r="D167" s="84"/>
      <c r="E167" s="84"/>
      <c r="F167" s="84"/>
    </row>
    <row r="168" spans="1:6">
      <c r="A168" t="s">
        <v>360</v>
      </c>
      <c r="B168" s="88">
        <v>0.3</v>
      </c>
      <c r="C168" s="88">
        <v>0.9</v>
      </c>
      <c r="D168" s="88">
        <v>0.4</v>
      </c>
      <c r="E168" s="88">
        <v>0.9</v>
      </c>
      <c r="F168" s="88">
        <v>0.3</v>
      </c>
    </row>
    <row r="169" spans="1:6">
      <c r="A169" t="s">
        <v>298</v>
      </c>
      <c r="B169" s="84"/>
      <c r="C169" s="84"/>
      <c r="D169" s="84"/>
      <c r="E169" s="84"/>
      <c r="F169" s="84"/>
    </row>
    <row r="170" spans="1:6">
      <c r="A170" t="s">
        <v>361</v>
      </c>
      <c r="B170" s="88">
        <v>0.5</v>
      </c>
      <c r="C170" s="88">
        <v>0.9</v>
      </c>
      <c r="D170" s="88">
        <v>0.6</v>
      </c>
      <c r="E170" s="88">
        <v>1</v>
      </c>
      <c r="F170" s="88">
        <v>0.7</v>
      </c>
    </row>
    <row r="171" spans="1:6">
      <c r="A171" t="s">
        <v>298</v>
      </c>
      <c r="B171" s="84"/>
      <c r="C171" s="84"/>
      <c r="D171" s="84"/>
      <c r="E171" s="84"/>
      <c r="F171" s="84"/>
    </row>
    <row r="172" spans="1:6">
      <c r="A172" t="s">
        <v>362</v>
      </c>
      <c r="B172" s="88">
        <v>0.3</v>
      </c>
      <c r="C172" s="88">
        <v>0.9</v>
      </c>
      <c r="D172" s="88">
        <v>0.5</v>
      </c>
      <c r="E172" s="88">
        <v>1</v>
      </c>
      <c r="F172" s="88">
        <v>0.3</v>
      </c>
    </row>
    <row r="173" spans="1:6">
      <c r="A173" t="s">
        <v>298</v>
      </c>
      <c r="B173" s="84"/>
      <c r="C173" s="84"/>
      <c r="D173" s="84"/>
      <c r="E173" s="84"/>
      <c r="F173" s="84"/>
    </row>
    <row r="174" spans="1:6">
      <c r="A174" t="s">
        <v>285</v>
      </c>
      <c r="B174" s="88">
        <v>0.1</v>
      </c>
      <c r="C174" s="88">
        <v>0.9</v>
      </c>
      <c r="D174" s="88">
        <v>0.6</v>
      </c>
      <c r="E174" s="88">
        <v>1</v>
      </c>
      <c r="F174" s="88">
        <v>0.7</v>
      </c>
    </row>
    <row r="175" spans="1:6">
      <c r="A175" t="s">
        <v>286</v>
      </c>
      <c r="B175" s="88">
        <v>0.2</v>
      </c>
      <c r="C175" s="88">
        <v>0.9</v>
      </c>
      <c r="D175" s="88">
        <v>0.6</v>
      </c>
      <c r="E175" s="88">
        <v>1</v>
      </c>
      <c r="F175" s="88">
        <v>0.7</v>
      </c>
    </row>
    <row r="176" spans="1:6">
      <c r="A176" t="s">
        <v>287</v>
      </c>
      <c r="B176" s="88">
        <v>0.1</v>
      </c>
      <c r="C176" s="88">
        <v>0.9</v>
      </c>
      <c r="D176" s="88">
        <v>0.6</v>
      </c>
      <c r="E176" s="88">
        <v>1</v>
      </c>
      <c r="F176" s="88">
        <v>0.6</v>
      </c>
    </row>
    <row r="177" spans="1:6">
      <c r="A177" s="74" t="s">
        <v>1311</v>
      </c>
      <c r="B177" s="91">
        <v>0.25714285714285717</v>
      </c>
      <c r="C177" s="91">
        <v>0.90000000000000013</v>
      </c>
      <c r="D177" s="91">
        <v>0.55714285714285716</v>
      </c>
      <c r="E177" s="91">
        <v>0.98571428571428577</v>
      </c>
      <c r="F177" s="91">
        <v>0.55714285714285716</v>
      </c>
    </row>
    <row r="178" spans="1:6">
      <c r="A178" t="s">
        <v>298</v>
      </c>
      <c r="B178" s="93"/>
      <c r="C178" s="93"/>
      <c r="D178" s="93"/>
      <c r="E178" s="93"/>
      <c r="F178" s="93"/>
    </row>
    <row r="179" spans="1:6">
      <c r="A179" t="s">
        <v>298</v>
      </c>
      <c r="B179" s="93"/>
      <c r="C179" s="93"/>
      <c r="D179" s="93"/>
      <c r="E179" s="93"/>
      <c r="F179" s="93"/>
    </row>
    <row r="180" spans="1:6">
      <c r="A180" s="8" t="s">
        <v>33</v>
      </c>
      <c r="B180" s="93"/>
      <c r="C180" s="93"/>
      <c r="D180" s="93"/>
      <c r="E180" s="93"/>
      <c r="F180" s="93"/>
    </row>
    <row r="181" spans="1:6">
      <c r="A181" t="s">
        <v>298</v>
      </c>
      <c r="B181" s="84"/>
      <c r="C181" s="84"/>
      <c r="D181" s="84"/>
      <c r="E181" s="84"/>
      <c r="F181" s="84"/>
    </row>
    <row r="182" spans="1:6">
      <c r="A182" t="s">
        <v>364</v>
      </c>
      <c r="B182" s="88">
        <v>0.5</v>
      </c>
      <c r="C182" s="88">
        <v>0.6</v>
      </c>
      <c r="D182" s="88">
        <v>1</v>
      </c>
      <c r="E182" s="88">
        <v>0.5</v>
      </c>
      <c r="F182" s="88">
        <v>0.4</v>
      </c>
    </row>
    <row r="183" spans="1:6">
      <c r="A183" t="s">
        <v>298</v>
      </c>
      <c r="B183" s="84"/>
      <c r="C183" s="84"/>
      <c r="D183" s="84"/>
      <c r="E183" s="84"/>
      <c r="F183" s="84"/>
    </row>
    <row r="184" spans="1:6">
      <c r="A184" t="s">
        <v>365</v>
      </c>
      <c r="B184" s="88">
        <v>0.8</v>
      </c>
      <c r="C184" s="88">
        <v>0.8</v>
      </c>
      <c r="D184" s="88">
        <v>1</v>
      </c>
      <c r="E184" s="88">
        <v>0.5</v>
      </c>
      <c r="F184" s="88">
        <v>0.5</v>
      </c>
    </row>
    <row r="185" spans="1:6">
      <c r="A185" t="s">
        <v>298</v>
      </c>
      <c r="B185" s="84"/>
      <c r="C185" s="84"/>
      <c r="D185" s="84"/>
      <c r="E185" s="84"/>
      <c r="F185" s="84"/>
    </row>
    <row r="186" spans="1:6">
      <c r="A186" t="s">
        <v>117</v>
      </c>
      <c r="B186" s="88">
        <v>0.4</v>
      </c>
      <c r="C186" s="88">
        <v>0.7</v>
      </c>
      <c r="D186" s="88">
        <v>1</v>
      </c>
      <c r="E186" s="88">
        <v>0.4</v>
      </c>
      <c r="F186" s="88">
        <v>0.5</v>
      </c>
    </row>
    <row r="187" spans="1:6">
      <c r="A187" t="s">
        <v>298</v>
      </c>
      <c r="B187" s="84"/>
      <c r="C187" s="84"/>
      <c r="D187" s="84"/>
      <c r="E187" s="84"/>
      <c r="F187" s="84"/>
    </row>
    <row r="188" spans="1:6">
      <c r="A188" t="s">
        <v>366</v>
      </c>
      <c r="B188" s="88">
        <v>0</v>
      </c>
      <c r="C188" s="88">
        <v>0.6</v>
      </c>
      <c r="D188" s="88">
        <v>0.4</v>
      </c>
      <c r="E188" s="88">
        <v>0.4</v>
      </c>
      <c r="F188" s="88">
        <v>0.2</v>
      </c>
    </row>
    <row r="189" spans="1:6">
      <c r="A189" t="s">
        <v>298</v>
      </c>
      <c r="B189" s="84"/>
      <c r="C189" s="84"/>
      <c r="D189" s="84"/>
      <c r="E189" s="84"/>
      <c r="F189" s="84"/>
    </row>
    <row r="190" spans="1:6">
      <c r="A190" t="s">
        <v>367</v>
      </c>
      <c r="B190" s="88">
        <v>0</v>
      </c>
      <c r="C190" s="88">
        <v>0</v>
      </c>
      <c r="D190" s="88">
        <v>0.9</v>
      </c>
      <c r="E190" s="88">
        <v>0.2</v>
      </c>
      <c r="F190" s="88">
        <v>0</v>
      </c>
    </row>
    <row r="191" spans="1:6">
      <c r="A191" t="s">
        <v>298</v>
      </c>
      <c r="B191" s="84"/>
      <c r="C191" s="84"/>
      <c r="D191" s="84"/>
      <c r="E191" s="84"/>
      <c r="F191" s="84"/>
    </row>
    <row r="192" spans="1:6">
      <c r="A192" t="s">
        <v>119</v>
      </c>
      <c r="B192" s="88">
        <v>0</v>
      </c>
      <c r="C192" s="88">
        <v>0</v>
      </c>
      <c r="D192" s="88">
        <v>0.9</v>
      </c>
      <c r="E192" s="88">
        <v>0.3</v>
      </c>
      <c r="F192" s="88">
        <v>0</v>
      </c>
    </row>
    <row r="193" spans="1:6">
      <c r="A193" s="74" t="s">
        <v>1311</v>
      </c>
      <c r="B193" s="91">
        <v>0.28333333333333338</v>
      </c>
      <c r="C193" s="91">
        <v>0.44999999999999996</v>
      </c>
      <c r="D193" s="91">
        <v>0.8666666666666667</v>
      </c>
      <c r="E193" s="91">
        <v>0.3833333333333333</v>
      </c>
      <c r="F193" s="91">
        <v>0.26666666666666666</v>
      </c>
    </row>
    <row r="194" spans="1:6">
      <c r="A194" s="84"/>
      <c r="B194" s="93"/>
      <c r="C194" s="93"/>
      <c r="D194" s="93"/>
      <c r="E194" s="93"/>
      <c r="F194" s="93"/>
    </row>
    <row r="195" spans="1:6">
      <c r="A195" s="84"/>
      <c r="B195" s="93"/>
      <c r="C195" s="93"/>
      <c r="D195" s="93"/>
      <c r="E195" s="93"/>
      <c r="F195" s="93"/>
    </row>
    <row r="196" spans="1:6">
      <c r="A196" s="92" t="s">
        <v>1312</v>
      </c>
      <c r="B196" s="93"/>
      <c r="C196" s="93"/>
      <c r="D196" s="93"/>
      <c r="E196" s="93"/>
      <c r="F196" s="93"/>
    </row>
    <row r="197" spans="1:6">
      <c r="A197" s="84" t="s">
        <v>1320</v>
      </c>
      <c r="B197" s="88">
        <v>1</v>
      </c>
      <c r="C197" s="88">
        <v>1</v>
      </c>
      <c r="D197" s="88">
        <v>1</v>
      </c>
      <c r="E197" s="88">
        <v>1</v>
      </c>
      <c r="F197" s="88">
        <v>1</v>
      </c>
    </row>
    <row r="198" spans="1:6">
      <c r="A198" s="84" t="s">
        <v>1321</v>
      </c>
      <c r="B198" s="88">
        <v>0.6</v>
      </c>
      <c r="C198" s="88">
        <v>0.4</v>
      </c>
      <c r="D198" s="88">
        <v>1</v>
      </c>
      <c r="E198" s="88">
        <v>0.6</v>
      </c>
      <c r="F198" s="88">
        <v>0.2</v>
      </c>
    </row>
    <row r="199" spans="1:6">
      <c r="A199" s="84" t="s">
        <v>1322</v>
      </c>
      <c r="B199" s="88">
        <v>0.2</v>
      </c>
      <c r="C199" s="88">
        <v>1</v>
      </c>
      <c r="D199" s="88">
        <v>0.6</v>
      </c>
      <c r="E199" s="88">
        <v>1</v>
      </c>
      <c r="F199" s="88">
        <v>0.8</v>
      </c>
    </row>
    <row r="200" spans="1:6">
      <c r="A200" s="84" t="s">
        <v>1323</v>
      </c>
      <c r="B200" s="88">
        <v>1</v>
      </c>
      <c r="C200" s="88">
        <v>0.6</v>
      </c>
      <c r="D200" s="88">
        <v>1</v>
      </c>
      <c r="E200" s="88">
        <v>0.6</v>
      </c>
      <c r="F200" s="88">
        <v>0.6</v>
      </c>
    </row>
    <row r="201" spans="1:6">
      <c r="A201" s="84"/>
      <c r="B201" s="84"/>
      <c r="C201" s="84"/>
      <c r="D201" s="84"/>
      <c r="E201" s="84"/>
      <c r="F201" s="84"/>
    </row>
    <row r="202" spans="1:6">
      <c r="A202" s="84" t="s">
        <v>1324</v>
      </c>
      <c r="B202" s="88">
        <v>1</v>
      </c>
      <c r="C202" s="88">
        <v>0</v>
      </c>
      <c r="D202" s="88">
        <v>0.6</v>
      </c>
      <c r="E202" s="88">
        <v>0</v>
      </c>
      <c r="F202" s="88">
        <v>0</v>
      </c>
    </row>
    <row r="203" spans="1:6">
      <c r="A203" s="84" t="s">
        <v>1325</v>
      </c>
      <c r="B203" s="88">
        <v>1</v>
      </c>
      <c r="C203" s="88">
        <v>0</v>
      </c>
      <c r="D203" s="88">
        <v>1</v>
      </c>
      <c r="E203" s="88">
        <v>0.8</v>
      </c>
      <c r="F203" s="88">
        <v>0</v>
      </c>
    </row>
    <row r="204" spans="1:6">
      <c r="A204" s="84" t="s">
        <v>1326</v>
      </c>
      <c r="B204" s="88">
        <v>0.6</v>
      </c>
      <c r="C204" s="88">
        <v>1</v>
      </c>
      <c r="D204" s="88">
        <v>1</v>
      </c>
      <c r="E204" s="88">
        <v>0.6</v>
      </c>
      <c r="F204" s="88">
        <v>0</v>
      </c>
    </row>
    <row r="205" spans="1:6">
      <c r="A205" s="84" t="s">
        <v>1328</v>
      </c>
      <c r="B205" s="88">
        <v>0.4</v>
      </c>
      <c r="C205" s="88">
        <v>1</v>
      </c>
      <c r="D205" s="88">
        <v>1</v>
      </c>
      <c r="E205" s="88">
        <v>0.6</v>
      </c>
      <c r="F205" s="88">
        <v>0</v>
      </c>
    </row>
    <row r="206" spans="1:6">
      <c r="A206" s="84" t="s">
        <v>1329</v>
      </c>
      <c r="B206" s="88">
        <v>1</v>
      </c>
      <c r="C206" s="88">
        <v>0.4</v>
      </c>
      <c r="D206" s="88">
        <v>0.8</v>
      </c>
      <c r="E206" s="88">
        <v>0.2</v>
      </c>
      <c r="F206" s="88">
        <v>0.6</v>
      </c>
    </row>
    <row r="207" spans="1:6">
      <c r="A207" s="84" t="s">
        <v>1330</v>
      </c>
      <c r="B207" s="88">
        <v>0</v>
      </c>
      <c r="C207" s="88">
        <v>0.4</v>
      </c>
      <c r="D207" s="88">
        <v>0.8</v>
      </c>
      <c r="E207" s="88">
        <v>0.2</v>
      </c>
      <c r="F207" s="88">
        <v>1</v>
      </c>
    </row>
    <row r="208" spans="1:6">
      <c r="A208" s="84" t="s">
        <v>1331</v>
      </c>
      <c r="B208" s="88">
        <v>0.4</v>
      </c>
      <c r="C208" s="88">
        <v>0.6</v>
      </c>
      <c r="D208" s="88">
        <v>1</v>
      </c>
      <c r="E208" s="88">
        <v>0.4</v>
      </c>
      <c r="F208" s="88">
        <v>0</v>
      </c>
    </row>
    <row r="209" spans="1:6">
      <c r="A209" s="84" t="s">
        <v>1332</v>
      </c>
      <c r="B209" s="88">
        <v>0</v>
      </c>
      <c r="C209" s="88">
        <v>0.4</v>
      </c>
      <c r="D209" s="88">
        <v>1</v>
      </c>
      <c r="E209" s="88">
        <v>0.4</v>
      </c>
      <c r="F209" s="88">
        <v>0</v>
      </c>
    </row>
    <row r="210" spans="1:6">
      <c r="A210" s="84" t="s">
        <v>1333</v>
      </c>
      <c r="B210" s="88">
        <v>1</v>
      </c>
      <c r="C210" s="88">
        <v>0.4</v>
      </c>
      <c r="D210" s="88">
        <v>0.8</v>
      </c>
      <c r="E210" s="88">
        <v>0.6</v>
      </c>
      <c r="F210" s="88">
        <v>0.2</v>
      </c>
    </row>
    <row r="211" spans="1:6">
      <c r="A211" s="84" t="s">
        <v>1334</v>
      </c>
      <c r="B211" s="88">
        <v>0</v>
      </c>
      <c r="C211" s="88">
        <v>0.8</v>
      </c>
      <c r="D211" s="88">
        <v>0.6</v>
      </c>
      <c r="E211" s="88">
        <v>1</v>
      </c>
      <c r="F211" s="88">
        <v>0.4</v>
      </c>
    </row>
    <row r="212" spans="1:6">
      <c r="A212" s="94" t="s">
        <v>1335</v>
      </c>
      <c r="B212" s="95">
        <v>0</v>
      </c>
      <c r="C212" s="95">
        <v>0</v>
      </c>
      <c r="D212" s="95">
        <v>0</v>
      </c>
      <c r="E212" s="95">
        <v>0</v>
      </c>
      <c r="F212" s="95">
        <v>0</v>
      </c>
    </row>
    <row r="213" spans="1:6">
      <c r="A213" s="94" t="s">
        <v>1336</v>
      </c>
      <c r="B213" s="95">
        <v>0</v>
      </c>
      <c r="C213" s="95">
        <v>0</v>
      </c>
      <c r="D213" s="95">
        <v>0</v>
      </c>
      <c r="E213" s="95">
        <v>0</v>
      </c>
      <c r="F213" s="95">
        <v>0</v>
      </c>
    </row>
    <row r="214" spans="1:6">
      <c r="A214" s="96" t="s">
        <v>1352</v>
      </c>
      <c r="B214" s="88">
        <v>0</v>
      </c>
      <c r="C214" s="88">
        <v>0.8</v>
      </c>
      <c r="D214" s="88">
        <v>0.6</v>
      </c>
      <c r="E214" s="88">
        <v>1</v>
      </c>
      <c r="F214" s="88">
        <v>0.6</v>
      </c>
    </row>
    <row r="215" spans="1:6">
      <c r="A215" s="84" t="s">
        <v>1338</v>
      </c>
      <c r="B215" s="88">
        <v>0.2</v>
      </c>
      <c r="C215" s="88">
        <v>0.6</v>
      </c>
      <c r="D215" s="88">
        <v>0.8</v>
      </c>
      <c r="E215" s="88">
        <v>1</v>
      </c>
      <c r="F215" s="88">
        <v>0</v>
      </c>
    </row>
    <row r="216" spans="1:6">
      <c r="A216" s="84" t="s">
        <v>1339</v>
      </c>
      <c r="B216" s="88">
        <v>0</v>
      </c>
      <c r="C216" s="88">
        <v>0.6</v>
      </c>
      <c r="D216" s="88">
        <v>0.8</v>
      </c>
      <c r="E216" s="88">
        <v>1</v>
      </c>
      <c r="F216" s="88">
        <v>0.6</v>
      </c>
    </row>
    <row r="217" spans="1:6">
      <c r="A217" s="84" t="s">
        <v>1340</v>
      </c>
      <c r="B217" s="88">
        <v>0</v>
      </c>
      <c r="C217" s="88">
        <v>0.8</v>
      </c>
      <c r="D217" s="88">
        <v>0.6</v>
      </c>
      <c r="E217" s="88">
        <v>1</v>
      </c>
      <c r="F217" s="88">
        <v>0.8</v>
      </c>
    </row>
    <row r="218" spans="1:6">
      <c r="A218" s="84" t="s">
        <v>1341</v>
      </c>
      <c r="B218" s="88">
        <v>0</v>
      </c>
      <c r="C218" s="88">
        <v>0.6</v>
      </c>
      <c r="D218" s="88">
        <v>0.4</v>
      </c>
      <c r="E218" s="88">
        <v>0.6</v>
      </c>
      <c r="F218" s="88">
        <v>0.8</v>
      </c>
    </row>
    <row r="219" spans="1:6">
      <c r="A219" s="84" t="s">
        <v>1342</v>
      </c>
      <c r="B219" s="88">
        <v>0.4</v>
      </c>
      <c r="C219" s="88">
        <v>1</v>
      </c>
      <c r="D219" s="88">
        <v>0.4</v>
      </c>
      <c r="E219" s="88">
        <v>0.6</v>
      </c>
      <c r="F219" s="88">
        <v>0.2</v>
      </c>
    </row>
    <row r="220" spans="1:6">
      <c r="A220" s="84" t="s">
        <v>1343</v>
      </c>
      <c r="B220" s="88">
        <v>0.2</v>
      </c>
      <c r="C220" s="88">
        <v>0.6</v>
      </c>
      <c r="D220" s="88">
        <v>0.4</v>
      </c>
      <c r="E220" s="88">
        <v>1</v>
      </c>
      <c r="F220" s="88">
        <v>0.6</v>
      </c>
    </row>
    <row r="221" spans="1:6">
      <c r="A221" s="84" t="s">
        <v>10</v>
      </c>
      <c r="B221" s="88">
        <v>0.2</v>
      </c>
      <c r="C221" s="88">
        <v>1</v>
      </c>
      <c r="D221" s="88">
        <v>0.6</v>
      </c>
      <c r="E221" s="88">
        <v>1</v>
      </c>
      <c r="F221" s="88">
        <v>0.6</v>
      </c>
    </row>
    <row r="222" spans="1:6">
      <c r="A222" s="84" t="s">
        <v>1344</v>
      </c>
      <c r="B222" s="88">
        <v>0.2</v>
      </c>
      <c r="C222" s="88">
        <v>1</v>
      </c>
      <c r="D222" s="88">
        <v>0.8</v>
      </c>
      <c r="E222" s="88">
        <v>1</v>
      </c>
      <c r="F222" s="88">
        <v>1</v>
      </c>
    </row>
    <row r="223" spans="1:6">
      <c r="A223" s="90" t="s">
        <v>1311</v>
      </c>
      <c r="B223" s="91">
        <v>0.37599999999999989</v>
      </c>
      <c r="C223" s="91">
        <v>0.60000000000000009</v>
      </c>
      <c r="D223" s="91">
        <v>0.70400000000000018</v>
      </c>
      <c r="E223" s="91">
        <v>0.64800000000000002</v>
      </c>
      <c r="F223" s="91">
        <v>0.4</v>
      </c>
    </row>
    <row r="224" spans="1:6">
      <c r="A224" s="84"/>
      <c r="B224" s="85"/>
      <c r="C224" s="85"/>
      <c r="D224" s="85"/>
      <c r="E224" s="85"/>
      <c r="F224" s="85"/>
    </row>
    <row r="225" spans="1:6">
      <c r="A225" s="84"/>
      <c r="B225" s="85"/>
      <c r="C225" s="85"/>
      <c r="D225" s="85"/>
      <c r="E225" s="85"/>
      <c r="F225" s="85"/>
    </row>
    <row r="226" spans="1:6">
      <c r="A226" s="84"/>
      <c r="B226" s="85"/>
      <c r="C226" s="85"/>
      <c r="D226" s="85"/>
      <c r="E226" s="85"/>
      <c r="F226" s="85"/>
    </row>
    <row r="227" spans="1:6">
      <c r="A227" s="84"/>
      <c r="B227" s="85"/>
      <c r="C227" s="85"/>
      <c r="D227" s="85"/>
      <c r="E227" s="85"/>
      <c r="F227" s="85"/>
    </row>
    <row r="228" spans="1:6">
      <c r="A228" s="84"/>
      <c r="B228" s="85"/>
      <c r="C228" s="85"/>
      <c r="D228" s="85"/>
      <c r="E228" s="85"/>
      <c r="F228" s="85"/>
    </row>
    <row r="229" spans="1:6">
      <c r="A229" s="84"/>
      <c r="B229" s="85"/>
      <c r="C229" s="85"/>
      <c r="D229" s="85"/>
      <c r="E229" s="85"/>
      <c r="F229" s="85"/>
    </row>
    <row r="230" spans="1:6">
      <c r="A230" s="84"/>
      <c r="B230" s="85"/>
      <c r="C230" s="85"/>
      <c r="D230" s="85"/>
      <c r="E230" s="85"/>
      <c r="F230" s="85"/>
    </row>
    <row r="231" spans="1:6">
      <c r="A231" s="84"/>
      <c r="B231" s="85"/>
      <c r="C231" s="85"/>
      <c r="D231" s="85"/>
      <c r="E231" s="85"/>
      <c r="F231" s="85"/>
    </row>
    <row r="232" spans="1:6">
      <c r="A232" s="84"/>
      <c r="B232" s="85"/>
      <c r="C232" s="85"/>
      <c r="D232" s="85"/>
      <c r="E232" s="85"/>
      <c r="F232" s="85"/>
    </row>
    <row r="233" spans="1:6">
      <c r="A233" s="84"/>
      <c r="B233" s="85"/>
      <c r="C233" s="85"/>
      <c r="D233" s="85"/>
      <c r="E233" s="85"/>
      <c r="F233" s="85"/>
    </row>
    <row r="234" spans="1:6">
      <c r="A234" s="84"/>
      <c r="B234" s="85"/>
      <c r="C234" s="85"/>
      <c r="D234" s="85"/>
      <c r="E234" s="85"/>
      <c r="F234" s="85"/>
    </row>
    <row r="235" spans="1:6">
      <c r="A235" s="84"/>
      <c r="B235" s="85"/>
      <c r="C235" s="85"/>
      <c r="D235" s="85"/>
      <c r="E235" s="85"/>
      <c r="F235" s="85"/>
    </row>
    <row r="236" spans="1:6">
      <c r="A236" s="84"/>
      <c r="B236" s="85"/>
      <c r="C236" s="85"/>
      <c r="D236" s="85"/>
      <c r="E236" s="85"/>
      <c r="F236" s="85"/>
    </row>
    <row r="237" spans="1:6">
      <c r="A237" s="84"/>
      <c r="B237" s="85"/>
      <c r="C237" s="85"/>
      <c r="D237" s="85"/>
      <c r="E237" s="85"/>
      <c r="F237" s="85"/>
    </row>
    <row r="238" spans="1:6">
      <c r="A238" s="84"/>
      <c r="B238" s="85"/>
      <c r="C238" s="85"/>
      <c r="D238" s="85"/>
      <c r="E238" s="85"/>
      <c r="F238" s="85"/>
    </row>
    <row r="239" spans="1:6">
      <c r="A239" s="84"/>
      <c r="B239" s="85"/>
      <c r="C239" s="85"/>
      <c r="D239" s="85"/>
      <c r="E239" s="85"/>
      <c r="F239" s="85"/>
    </row>
    <row r="240" spans="1:6">
      <c r="A240" s="84"/>
      <c r="B240" s="85"/>
      <c r="C240" s="85"/>
      <c r="D240" s="85"/>
      <c r="E240" s="85"/>
      <c r="F240" s="85"/>
    </row>
    <row r="241" spans="1:6">
      <c r="A241" s="84"/>
      <c r="B241" s="85"/>
      <c r="C241" s="85"/>
      <c r="D241" s="85"/>
      <c r="E241" s="85"/>
      <c r="F241" s="85"/>
    </row>
    <row r="242" spans="1:6">
      <c r="A242" s="84"/>
      <c r="B242" s="85"/>
      <c r="C242" s="85"/>
      <c r="D242" s="85"/>
      <c r="E242" s="85"/>
      <c r="F242" s="85"/>
    </row>
    <row r="243" spans="1:6">
      <c r="A243" s="84"/>
      <c r="B243" s="85"/>
      <c r="C243" s="85"/>
      <c r="D243" s="85"/>
      <c r="E243" s="85"/>
      <c r="F243" s="85"/>
    </row>
    <row r="244" spans="1:6">
      <c r="A244" s="84"/>
      <c r="B244" s="85"/>
      <c r="C244" s="85"/>
      <c r="D244" s="85"/>
      <c r="E244" s="85"/>
      <c r="F244" s="85"/>
    </row>
    <row r="245" spans="1:6">
      <c r="A245" s="84"/>
      <c r="B245" s="85"/>
      <c r="C245" s="85"/>
      <c r="D245" s="85"/>
      <c r="E245" s="85"/>
      <c r="F245" s="85"/>
    </row>
    <row r="246" spans="1:6">
      <c r="A246" s="84"/>
      <c r="B246" s="85"/>
      <c r="C246" s="85"/>
      <c r="D246" s="85"/>
      <c r="E246" s="85"/>
      <c r="F246" s="85"/>
    </row>
    <row r="247" spans="1:6">
      <c r="A247" s="84"/>
      <c r="B247" s="85"/>
      <c r="C247" s="85"/>
      <c r="D247" s="85"/>
      <c r="E247" s="85"/>
      <c r="F247" s="85"/>
    </row>
    <row r="248" spans="1:6">
      <c r="A248" s="84"/>
      <c r="B248" s="85"/>
      <c r="C248" s="85"/>
      <c r="D248" s="85"/>
      <c r="E248" s="85"/>
      <c r="F248" s="85"/>
    </row>
    <row r="249" spans="1:6">
      <c r="A249" s="84"/>
      <c r="B249" s="85"/>
      <c r="C249" s="85"/>
      <c r="D249" s="85"/>
      <c r="E249" s="85"/>
      <c r="F249" s="85"/>
    </row>
    <row r="250" spans="1:6">
      <c r="A250" s="84"/>
      <c r="B250" s="85"/>
      <c r="C250" s="85"/>
      <c r="D250" s="85"/>
      <c r="E250" s="85"/>
      <c r="F250" s="85"/>
    </row>
    <row r="251" spans="1:6">
      <c r="A251" s="84"/>
      <c r="B251" s="85"/>
      <c r="C251" s="85"/>
      <c r="D251" s="85"/>
      <c r="E251" s="85"/>
      <c r="F251" s="85"/>
    </row>
    <row r="252" spans="1:6">
      <c r="A252" s="84"/>
      <c r="B252" s="85"/>
      <c r="C252" s="85"/>
      <c r="D252" s="85"/>
      <c r="E252" s="85"/>
      <c r="F252" s="85"/>
    </row>
    <row r="253" spans="1:6">
      <c r="A253" s="84"/>
      <c r="B253" s="85"/>
      <c r="C253" s="85"/>
      <c r="D253" s="85"/>
      <c r="E253" s="85"/>
      <c r="F253" s="85"/>
    </row>
    <row r="254" spans="1:6">
      <c r="A254" s="84"/>
      <c r="B254" s="85"/>
      <c r="C254" s="85"/>
      <c r="D254" s="85"/>
      <c r="E254" s="85"/>
      <c r="F254" s="85"/>
    </row>
    <row r="255" spans="1:6">
      <c r="A255" s="84"/>
      <c r="B255" s="85"/>
      <c r="C255" s="85"/>
      <c r="D255" s="85"/>
      <c r="E255" s="85"/>
      <c r="F255" s="85"/>
    </row>
    <row r="256" spans="1:6">
      <c r="A256" s="84"/>
      <c r="B256" s="85"/>
      <c r="C256" s="85"/>
      <c r="D256" s="85"/>
      <c r="E256" s="85"/>
      <c r="F256" s="85"/>
    </row>
    <row r="257" spans="1:6">
      <c r="A257" s="84"/>
      <c r="B257" s="85"/>
      <c r="C257" s="85"/>
      <c r="D257" s="85"/>
      <c r="E257" s="85"/>
      <c r="F257" s="85"/>
    </row>
    <row r="258" spans="1:6">
      <c r="A258" s="84"/>
      <c r="B258" s="85"/>
      <c r="C258" s="85"/>
      <c r="D258" s="85"/>
      <c r="E258" s="85"/>
      <c r="F258" s="85"/>
    </row>
    <row r="259" spans="1:6">
      <c r="A259" s="84"/>
      <c r="B259" s="85"/>
      <c r="C259" s="85"/>
      <c r="D259" s="85"/>
      <c r="E259" s="85"/>
      <c r="F259" s="85"/>
    </row>
    <row r="260" spans="1:6">
      <c r="A260" s="84"/>
      <c r="B260" s="85"/>
      <c r="C260" s="85"/>
      <c r="D260" s="85"/>
      <c r="E260" s="85"/>
      <c r="F260" s="85"/>
    </row>
    <row r="261" spans="1:6">
      <c r="A261" s="84"/>
      <c r="B261" s="85"/>
      <c r="C261" s="85"/>
      <c r="D261" s="85"/>
      <c r="E261" s="85"/>
      <c r="F261" s="85"/>
    </row>
    <row r="262" spans="1:6">
      <c r="A262" s="84"/>
      <c r="B262" s="85"/>
      <c r="C262" s="85"/>
      <c r="D262" s="85"/>
      <c r="E262" s="85"/>
      <c r="F262" s="85"/>
    </row>
    <row r="263" spans="1:6">
      <c r="A263" s="84"/>
      <c r="B263" s="85"/>
      <c r="C263" s="85"/>
      <c r="D263" s="85"/>
      <c r="E263" s="85"/>
      <c r="F263" s="85"/>
    </row>
    <row r="264" spans="1:6">
      <c r="A264" s="84"/>
      <c r="B264" s="85"/>
      <c r="C264" s="85"/>
      <c r="D264" s="85"/>
      <c r="E264" s="85"/>
      <c r="F264" s="85"/>
    </row>
    <row r="265" spans="1:6">
      <c r="A265" s="84"/>
      <c r="B265" s="85"/>
      <c r="C265" s="85"/>
      <c r="D265" s="85"/>
      <c r="E265" s="85"/>
      <c r="F265" s="85"/>
    </row>
    <row r="266" spans="1:6">
      <c r="A266" s="84"/>
      <c r="B266" s="85"/>
      <c r="C266" s="85"/>
      <c r="D266" s="85"/>
      <c r="E266" s="85"/>
      <c r="F266" s="85"/>
    </row>
    <row r="267" spans="1:6">
      <c r="A267" s="84"/>
      <c r="B267" s="85"/>
      <c r="C267" s="85"/>
      <c r="D267" s="85"/>
      <c r="E267" s="85"/>
      <c r="F267" s="85"/>
    </row>
    <row r="268" spans="1:6">
      <c r="A268" s="84"/>
      <c r="B268" s="85"/>
      <c r="C268" s="85"/>
      <c r="D268" s="85"/>
      <c r="E268" s="85"/>
      <c r="F268" s="85"/>
    </row>
    <row r="269" spans="1:6">
      <c r="A269" s="84"/>
      <c r="B269" s="85"/>
      <c r="C269" s="85"/>
      <c r="D269" s="85"/>
      <c r="E269" s="85"/>
      <c r="F269" s="85"/>
    </row>
    <row r="270" spans="1:6">
      <c r="A270" s="84"/>
      <c r="B270" s="85"/>
      <c r="C270" s="85"/>
      <c r="D270" s="85"/>
      <c r="E270" s="85"/>
      <c r="F270" s="85"/>
    </row>
    <row r="271" spans="1:6">
      <c r="A271" s="84"/>
      <c r="B271" s="85"/>
      <c r="C271" s="85"/>
      <c r="D271" s="85"/>
      <c r="E271" s="85"/>
      <c r="F271" s="85"/>
    </row>
    <row r="272" spans="1:6">
      <c r="A272" s="84"/>
      <c r="B272" s="85"/>
      <c r="C272" s="85"/>
      <c r="D272" s="85"/>
      <c r="E272" s="85"/>
      <c r="F272" s="85"/>
    </row>
    <row r="273" spans="1:6">
      <c r="A273" s="84"/>
      <c r="B273" s="85"/>
      <c r="C273" s="85"/>
      <c r="D273" s="85"/>
      <c r="E273" s="85"/>
      <c r="F273" s="85"/>
    </row>
    <row r="274" spans="1:6">
      <c r="A274" s="84"/>
      <c r="B274" s="85"/>
      <c r="C274" s="85"/>
      <c r="D274" s="85"/>
      <c r="E274" s="85"/>
      <c r="F274" s="85"/>
    </row>
    <row r="275" spans="1:6">
      <c r="A275" s="84"/>
      <c r="B275" s="85"/>
      <c r="C275" s="85"/>
      <c r="D275" s="85"/>
      <c r="E275" s="85"/>
      <c r="F275" s="85"/>
    </row>
    <row r="276" spans="1:6">
      <c r="A276" s="84"/>
      <c r="B276" s="85"/>
      <c r="C276" s="85"/>
      <c r="D276" s="85"/>
      <c r="E276" s="85"/>
      <c r="F276" s="85"/>
    </row>
    <row r="277" spans="1:6">
      <c r="A277" s="84"/>
      <c r="B277" s="85"/>
      <c r="C277" s="85"/>
      <c r="D277" s="85"/>
      <c r="E277" s="85"/>
      <c r="F277" s="85"/>
    </row>
    <row r="278" spans="1:6">
      <c r="A278" s="84"/>
      <c r="B278" s="85"/>
      <c r="C278" s="85"/>
      <c r="D278" s="85"/>
      <c r="E278" s="85"/>
      <c r="F278" s="85"/>
    </row>
    <row r="279" spans="1:6">
      <c r="A279" s="84"/>
      <c r="B279" s="85"/>
      <c r="C279" s="85"/>
      <c r="D279" s="85"/>
      <c r="E279" s="85"/>
      <c r="F279" s="85"/>
    </row>
    <row r="280" spans="1:6">
      <c r="A280" s="84"/>
      <c r="B280" s="85"/>
      <c r="C280" s="85"/>
      <c r="D280" s="85"/>
      <c r="E280" s="85"/>
      <c r="F280" s="85"/>
    </row>
    <row r="281" spans="1:6">
      <c r="A281" s="84"/>
      <c r="B281" s="85"/>
      <c r="C281" s="85"/>
      <c r="D281" s="85"/>
      <c r="E281" s="85"/>
      <c r="F281" s="85"/>
    </row>
    <row r="282" spans="1:6">
      <c r="A282" s="84"/>
      <c r="B282" s="85"/>
      <c r="C282" s="85"/>
      <c r="D282" s="85"/>
      <c r="E282" s="85"/>
      <c r="F282" s="85"/>
    </row>
    <row r="283" spans="1:6">
      <c r="A283" s="84"/>
      <c r="B283" s="85"/>
      <c r="C283" s="85"/>
      <c r="D283" s="85"/>
      <c r="E283" s="85"/>
      <c r="F283" s="85"/>
    </row>
    <row r="284" spans="1:6">
      <c r="A284" s="84"/>
      <c r="B284" s="85"/>
      <c r="C284" s="85"/>
      <c r="D284" s="85"/>
      <c r="E284" s="85"/>
      <c r="F284" s="85"/>
    </row>
    <row r="285" spans="1:6">
      <c r="A285" s="84"/>
      <c r="B285" s="85"/>
      <c r="C285" s="85"/>
      <c r="D285" s="85"/>
      <c r="E285" s="85"/>
      <c r="F285" s="85"/>
    </row>
    <row r="286" spans="1:6">
      <c r="A286" s="84"/>
      <c r="B286" s="85"/>
      <c r="C286" s="85"/>
      <c r="D286" s="85"/>
      <c r="E286" s="85"/>
      <c r="F286" s="85"/>
    </row>
    <row r="287" spans="1:6">
      <c r="A287" s="84"/>
      <c r="B287" s="85"/>
      <c r="C287" s="85"/>
      <c r="D287" s="85"/>
      <c r="E287" s="85"/>
      <c r="F287" s="85"/>
    </row>
    <row r="288" spans="1:6">
      <c r="A288" s="84"/>
      <c r="B288" s="85"/>
      <c r="C288" s="85"/>
      <c r="D288" s="85"/>
      <c r="E288" s="85"/>
      <c r="F288" s="85"/>
    </row>
    <row r="289" spans="1:6">
      <c r="A289" s="84"/>
      <c r="B289" s="85"/>
      <c r="C289" s="85"/>
      <c r="D289" s="85"/>
      <c r="E289" s="85"/>
      <c r="F289" s="85"/>
    </row>
    <row r="290" spans="1:6">
      <c r="A290" s="84"/>
      <c r="B290" s="85"/>
      <c r="C290" s="85"/>
      <c r="D290" s="85"/>
      <c r="E290" s="85"/>
      <c r="F290" s="85"/>
    </row>
    <row r="291" spans="1:6">
      <c r="A291" s="84"/>
      <c r="B291" s="85"/>
      <c r="C291" s="85"/>
      <c r="D291" s="85"/>
      <c r="E291" s="85"/>
      <c r="F291" s="85"/>
    </row>
    <row r="292" spans="1:6">
      <c r="A292" s="84"/>
      <c r="B292" s="85"/>
      <c r="C292" s="85"/>
      <c r="D292" s="85"/>
      <c r="E292" s="85"/>
      <c r="F292" s="85"/>
    </row>
    <row r="293" spans="1:6">
      <c r="A293" s="84"/>
      <c r="B293" s="85"/>
      <c r="C293" s="85"/>
      <c r="D293" s="85"/>
      <c r="E293" s="85"/>
      <c r="F293" s="85"/>
    </row>
    <row r="294" spans="1:6">
      <c r="A294" s="84"/>
      <c r="B294" s="85"/>
      <c r="C294" s="85"/>
      <c r="D294" s="85"/>
      <c r="E294" s="85"/>
      <c r="F294" s="85"/>
    </row>
    <row r="295" spans="1:6">
      <c r="A295" s="84"/>
      <c r="B295" s="85"/>
      <c r="C295" s="85"/>
      <c r="D295" s="85"/>
      <c r="E295" s="85"/>
      <c r="F295" s="85"/>
    </row>
    <row r="296" spans="1:6">
      <c r="A296" s="84"/>
      <c r="B296" s="85"/>
      <c r="C296" s="85"/>
      <c r="D296" s="85"/>
      <c r="E296" s="85"/>
      <c r="F296" s="85"/>
    </row>
    <row r="297" spans="1:6">
      <c r="A297" s="84"/>
      <c r="B297" s="85"/>
      <c r="C297" s="85"/>
      <c r="D297" s="85"/>
      <c r="E297" s="85"/>
      <c r="F297" s="85"/>
    </row>
    <row r="298" spans="1:6">
      <c r="A298" s="84"/>
      <c r="B298" s="85"/>
      <c r="C298" s="85"/>
      <c r="D298" s="85"/>
      <c r="E298" s="85"/>
      <c r="F298" s="85"/>
    </row>
    <row r="299" spans="1:6">
      <c r="A299" s="84"/>
      <c r="B299" s="85"/>
      <c r="C299" s="85"/>
      <c r="D299" s="85"/>
      <c r="E299" s="85"/>
      <c r="F299" s="85"/>
    </row>
    <row r="300" spans="1:6">
      <c r="A300" s="84"/>
      <c r="B300" s="85"/>
      <c r="C300" s="85"/>
      <c r="D300" s="85"/>
      <c r="E300" s="85"/>
      <c r="F300" s="85"/>
    </row>
    <row r="301" spans="1:6">
      <c r="A301" s="84"/>
      <c r="B301" s="85"/>
      <c r="C301" s="85"/>
      <c r="D301" s="85"/>
      <c r="E301" s="85"/>
      <c r="F301" s="85"/>
    </row>
    <row r="302" spans="1:6">
      <c r="A302" s="84"/>
      <c r="B302" s="85"/>
      <c r="C302" s="85"/>
      <c r="D302" s="85"/>
      <c r="E302" s="85"/>
      <c r="F302" s="85"/>
    </row>
    <row r="303" spans="1:6">
      <c r="A303" s="84"/>
      <c r="B303" s="85"/>
      <c r="C303" s="85"/>
      <c r="D303" s="85"/>
      <c r="E303" s="85"/>
      <c r="F303" s="85"/>
    </row>
    <row r="304" spans="1:6">
      <c r="A304" s="84"/>
      <c r="B304" s="85"/>
      <c r="C304" s="85"/>
      <c r="D304" s="85"/>
      <c r="E304" s="85"/>
      <c r="F304" s="85"/>
    </row>
    <row r="305" spans="1:6">
      <c r="A305" s="84"/>
      <c r="B305" s="85"/>
      <c r="C305" s="85"/>
      <c r="D305" s="85"/>
      <c r="E305" s="85"/>
      <c r="F305" s="85"/>
    </row>
    <row r="306" spans="1:6">
      <c r="A306" s="84"/>
      <c r="B306" s="85"/>
      <c r="C306" s="85"/>
      <c r="D306" s="85"/>
      <c r="E306" s="85"/>
      <c r="F306" s="85"/>
    </row>
    <row r="307" spans="1:6">
      <c r="A307" s="84"/>
      <c r="B307" s="85"/>
      <c r="C307" s="85"/>
      <c r="D307" s="85"/>
      <c r="E307" s="85"/>
      <c r="F307" s="85"/>
    </row>
    <row r="308" spans="1:6">
      <c r="A308" s="84"/>
      <c r="B308" s="85"/>
      <c r="C308" s="85"/>
      <c r="D308" s="85"/>
      <c r="E308" s="85"/>
      <c r="F308" s="85"/>
    </row>
    <row r="309" spans="1:6">
      <c r="A309" s="84"/>
      <c r="B309" s="85"/>
      <c r="C309" s="85"/>
      <c r="D309" s="85"/>
      <c r="E309" s="85"/>
      <c r="F309" s="85"/>
    </row>
    <row r="310" spans="1:6">
      <c r="A310" s="84"/>
      <c r="B310" s="85"/>
      <c r="C310" s="85"/>
      <c r="D310" s="85"/>
      <c r="E310" s="85"/>
      <c r="F310" s="85"/>
    </row>
    <row r="311" spans="1:6">
      <c r="A311" s="84"/>
      <c r="B311" s="85"/>
      <c r="C311" s="85"/>
      <c r="D311" s="85"/>
      <c r="E311" s="85"/>
      <c r="F311" s="85"/>
    </row>
    <row r="312" spans="1:6">
      <c r="A312" s="84"/>
      <c r="B312" s="85"/>
      <c r="C312" s="85"/>
      <c r="D312" s="85"/>
      <c r="E312" s="85"/>
      <c r="F312" s="85"/>
    </row>
    <row r="313" spans="1:6">
      <c r="A313" s="84"/>
      <c r="B313" s="85"/>
      <c r="C313" s="85"/>
      <c r="D313" s="85"/>
      <c r="E313" s="85"/>
      <c r="F313" s="85"/>
    </row>
    <row r="314" spans="1:6">
      <c r="A314" s="84"/>
      <c r="B314" s="85"/>
      <c r="C314" s="85"/>
      <c r="D314" s="85"/>
      <c r="E314" s="85"/>
      <c r="F314" s="85"/>
    </row>
    <row r="315" spans="1:6">
      <c r="A315" s="84"/>
      <c r="B315" s="85"/>
      <c r="C315" s="85"/>
      <c r="D315" s="85"/>
      <c r="E315" s="85"/>
      <c r="F315" s="85"/>
    </row>
    <row r="316" spans="1:6">
      <c r="A316" s="84"/>
      <c r="B316" s="85"/>
      <c r="C316" s="85"/>
      <c r="D316" s="85"/>
      <c r="E316" s="85"/>
      <c r="F316" s="85"/>
    </row>
    <row r="317" spans="1:6">
      <c r="A317" s="84"/>
      <c r="B317" s="85"/>
      <c r="C317" s="85"/>
      <c r="D317" s="85"/>
      <c r="E317" s="85"/>
      <c r="F317" s="85"/>
    </row>
    <row r="318" spans="1:6">
      <c r="A318" s="84"/>
      <c r="B318" s="85"/>
      <c r="C318" s="85"/>
      <c r="D318" s="85"/>
      <c r="E318" s="85"/>
      <c r="F318" s="85"/>
    </row>
    <row r="319" spans="1:6">
      <c r="A319" s="84"/>
      <c r="B319" s="85"/>
      <c r="C319" s="85"/>
      <c r="D319" s="85"/>
      <c r="E319" s="85"/>
      <c r="F319" s="85"/>
    </row>
    <row r="320" spans="1:6">
      <c r="A320" s="84"/>
      <c r="B320" s="85"/>
      <c r="C320" s="85"/>
      <c r="D320" s="85"/>
      <c r="E320" s="85"/>
      <c r="F320" s="85"/>
    </row>
    <row r="321" spans="1:6">
      <c r="A321" s="84"/>
      <c r="B321" s="85"/>
      <c r="C321" s="85"/>
      <c r="D321" s="85"/>
      <c r="E321" s="85"/>
      <c r="F321" s="85"/>
    </row>
    <row r="322" spans="1:6">
      <c r="A322" s="84"/>
      <c r="B322" s="85"/>
      <c r="C322" s="85"/>
      <c r="D322" s="85"/>
      <c r="E322" s="85"/>
      <c r="F322" s="85"/>
    </row>
    <row r="323" spans="1:6">
      <c r="A323" s="84"/>
      <c r="B323" s="85"/>
      <c r="C323" s="85"/>
      <c r="D323" s="85"/>
      <c r="E323" s="85"/>
      <c r="F323" s="85"/>
    </row>
    <row r="324" spans="1:6">
      <c r="A324" s="84"/>
      <c r="B324" s="85"/>
      <c r="C324" s="85"/>
      <c r="D324" s="85"/>
      <c r="E324" s="85"/>
      <c r="F324" s="85"/>
    </row>
    <row r="325" spans="1:6">
      <c r="A325" s="84"/>
      <c r="B325" s="85"/>
      <c r="C325" s="85"/>
      <c r="D325" s="85"/>
      <c r="E325" s="85"/>
      <c r="F325" s="85"/>
    </row>
    <row r="326" spans="1:6">
      <c r="A326" s="84"/>
      <c r="B326" s="85"/>
      <c r="C326" s="85"/>
      <c r="D326" s="85"/>
      <c r="E326" s="85"/>
      <c r="F326" s="85"/>
    </row>
    <row r="327" spans="1:6">
      <c r="A327" s="84"/>
      <c r="B327" s="85"/>
      <c r="C327" s="85"/>
      <c r="D327" s="85"/>
      <c r="E327" s="85"/>
      <c r="F327" s="85"/>
    </row>
    <row r="328" spans="1:6">
      <c r="A328" s="84"/>
      <c r="B328" s="85"/>
      <c r="C328" s="85"/>
      <c r="D328" s="85"/>
      <c r="E328" s="85"/>
      <c r="F328" s="85"/>
    </row>
    <row r="329" spans="1:6">
      <c r="A329" s="84"/>
      <c r="B329" s="85"/>
      <c r="C329" s="85"/>
      <c r="D329" s="85"/>
      <c r="E329" s="85"/>
      <c r="F329" s="85"/>
    </row>
    <row r="330" spans="1:6">
      <c r="A330" s="84"/>
      <c r="B330" s="85"/>
      <c r="C330" s="85"/>
      <c r="D330" s="85"/>
      <c r="E330" s="85"/>
      <c r="F330" s="85"/>
    </row>
    <row r="331" spans="1:6">
      <c r="A331" s="84"/>
      <c r="B331" s="85"/>
      <c r="C331" s="85"/>
      <c r="D331" s="85"/>
      <c r="E331" s="85"/>
      <c r="F331" s="85"/>
    </row>
    <row r="332" spans="1:6">
      <c r="A332" s="84"/>
      <c r="B332" s="85"/>
      <c r="C332" s="85"/>
      <c r="D332" s="85"/>
      <c r="E332" s="85"/>
      <c r="F332" s="85"/>
    </row>
    <row r="333" spans="1:6">
      <c r="A333" s="84"/>
      <c r="B333" s="85"/>
      <c r="C333" s="85"/>
      <c r="D333" s="85"/>
      <c r="E333" s="85"/>
      <c r="F333" s="85"/>
    </row>
    <row r="334" spans="1:6">
      <c r="A334" s="84"/>
      <c r="B334" s="85"/>
      <c r="C334" s="85"/>
      <c r="D334" s="85"/>
      <c r="E334" s="85"/>
      <c r="F334" s="85"/>
    </row>
    <row r="335" spans="1:6">
      <c r="A335" s="84"/>
      <c r="B335" s="85"/>
      <c r="C335" s="85"/>
      <c r="D335" s="85"/>
      <c r="E335" s="85"/>
      <c r="F335" s="85"/>
    </row>
    <row r="336" spans="1:6">
      <c r="A336" s="84"/>
      <c r="B336" s="85"/>
      <c r="C336" s="85"/>
      <c r="D336" s="85"/>
      <c r="E336" s="85"/>
      <c r="F336" s="85"/>
    </row>
    <row r="337" spans="1:6">
      <c r="A337" s="84"/>
      <c r="B337" s="85"/>
      <c r="C337" s="85"/>
      <c r="D337" s="85"/>
      <c r="E337" s="85"/>
      <c r="F337" s="85"/>
    </row>
    <row r="338" spans="1:6">
      <c r="A338" s="84"/>
      <c r="B338" s="85"/>
      <c r="C338" s="85"/>
      <c r="D338" s="85"/>
      <c r="E338" s="85"/>
      <c r="F338" s="85"/>
    </row>
    <row r="339" spans="1:6">
      <c r="A339" s="84"/>
      <c r="B339" s="85"/>
      <c r="C339" s="85"/>
      <c r="D339" s="85"/>
      <c r="E339" s="85"/>
      <c r="F339" s="85"/>
    </row>
    <row r="340" spans="1:6">
      <c r="A340" s="84"/>
      <c r="B340" s="85"/>
      <c r="C340" s="85"/>
      <c r="D340" s="85"/>
      <c r="E340" s="85"/>
      <c r="F340" s="85"/>
    </row>
    <row r="341" spans="1:6">
      <c r="A341" s="84"/>
      <c r="B341" s="85"/>
      <c r="C341" s="85"/>
      <c r="D341" s="85"/>
      <c r="E341" s="85"/>
      <c r="F341" s="85"/>
    </row>
    <row r="342" spans="1:6">
      <c r="A342" s="84"/>
      <c r="B342" s="85"/>
      <c r="C342" s="85"/>
      <c r="D342" s="85"/>
      <c r="E342" s="85"/>
      <c r="F342" s="85"/>
    </row>
    <row r="343" spans="1:6">
      <c r="A343" s="84"/>
      <c r="B343" s="85"/>
      <c r="C343" s="85"/>
      <c r="D343" s="85"/>
      <c r="E343" s="85"/>
      <c r="F343" s="85"/>
    </row>
    <row r="344" spans="1:6">
      <c r="A344" s="84"/>
      <c r="B344" s="85"/>
      <c r="C344" s="85"/>
      <c r="D344" s="85"/>
      <c r="E344" s="85"/>
      <c r="F344" s="85"/>
    </row>
    <row r="345" spans="1:6">
      <c r="A345" s="84"/>
      <c r="B345" s="85"/>
      <c r="C345" s="85"/>
      <c r="D345" s="85"/>
      <c r="E345" s="85"/>
      <c r="F345" s="85"/>
    </row>
    <row r="346" spans="1:6">
      <c r="A346" s="84"/>
      <c r="B346" s="85"/>
      <c r="C346" s="85"/>
      <c r="D346" s="85"/>
      <c r="E346" s="85"/>
      <c r="F346" s="85"/>
    </row>
    <row r="347" spans="1:6">
      <c r="A347" s="84"/>
      <c r="B347" s="85"/>
      <c r="C347" s="85"/>
      <c r="D347" s="85"/>
      <c r="E347" s="85"/>
      <c r="F347" s="85"/>
    </row>
    <row r="348" spans="1:6">
      <c r="A348" s="84"/>
      <c r="B348" s="85"/>
      <c r="C348" s="85"/>
      <c r="D348" s="85"/>
      <c r="E348" s="85"/>
      <c r="F348" s="85"/>
    </row>
    <row r="349" spans="1:6">
      <c r="A349" s="84"/>
      <c r="B349" s="85"/>
      <c r="C349" s="85"/>
      <c r="D349" s="85"/>
      <c r="E349" s="85"/>
      <c r="F349" s="85"/>
    </row>
    <row r="350" spans="1:6">
      <c r="A350" s="84"/>
      <c r="B350" s="85"/>
      <c r="C350" s="85"/>
      <c r="D350" s="85"/>
      <c r="E350" s="85"/>
      <c r="F350" s="85"/>
    </row>
    <row r="351" spans="1:6">
      <c r="A351" s="84"/>
      <c r="B351" s="85"/>
      <c r="C351" s="85"/>
      <c r="D351" s="85"/>
      <c r="E351" s="85"/>
      <c r="F351" s="85"/>
    </row>
    <row r="352" spans="1:6">
      <c r="A352" s="84"/>
      <c r="B352" s="85"/>
      <c r="C352" s="85"/>
      <c r="D352" s="85"/>
      <c r="E352" s="85"/>
      <c r="F352" s="85"/>
    </row>
    <row r="353" spans="1:6">
      <c r="A353" s="84"/>
      <c r="B353" s="85"/>
      <c r="C353" s="85"/>
      <c r="D353" s="85"/>
      <c r="E353" s="85"/>
      <c r="F353" s="85"/>
    </row>
    <row r="354" spans="1:6">
      <c r="A354" s="84"/>
      <c r="B354" s="85"/>
      <c r="C354" s="85"/>
      <c r="D354" s="85"/>
      <c r="E354" s="85"/>
      <c r="F354" s="85"/>
    </row>
    <row r="355" spans="1:6">
      <c r="A355" s="84"/>
      <c r="B355" s="85"/>
      <c r="C355" s="85"/>
      <c r="D355" s="85"/>
      <c r="E355" s="85"/>
      <c r="F355" s="85"/>
    </row>
    <row r="356" spans="1:6">
      <c r="A356" s="84"/>
      <c r="B356" s="85"/>
      <c r="C356" s="85"/>
      <c r="D356" s="85"/>
      <c r="E356" s="85"/>
      <c r="F356" s="85"/>
    </row>
    <row r="357" spans="1:6">
      <c r="A357" s="84"/>
      <c r="B357" s="85"/>
      <c r="C357" s="85"/>
      <c r="D357" s="85"/>
      <c r="E357" s="85"/>
      <c r="F357" s="85"/>
    </row>
    <row r="358" spans="1:6">
      <c r="A358" s="84"/>
      <c r="B358" s="85"/>
      <c r="C358" s="85"/>
      <c r="D358" s="85"/>
      <c r="E358" s="85"/>
      <c r="F358" s="85"/>
    </row>
    <row r="359" spans="1:6">
      <c r="A359" s="84"/>
      <c r="B359" s="85"/>
      <c r="C359" s="85"/>
      <c r="D359" s="85"/>
      <c r="E359" s="85"/>
      <c r="F359" s="85"/>
    </row>
    <row r="360" spans="1:6">
      <c r="A360" s="84"/>
      <c r="B360" s="85"/>
      <c r="C360" s="85"/>
      <c r="D360" s="85"/>
      <c r="E360" s="85"/>
      <c r="F360" s="85"/>
    </row>
    <row r="361" spans="1:6">
      <c r="A361" s="84"/>
      <c r="B361" s="85"/>
      <c r="C361" s="85"/>
      <c r="D361" s="85"/>
      <c r="E361" s="85"/>
      <c r="F361" s="85"/>
    </row>
    <row r="362" spans="1:6">
      <c r="A362" s="84"/>
      <c r="B362" s="85"/>
      <c r="C362" s="85"/>
      <c r="D362" s="85"/>
      <c r="E362" s="85"/>
      <c r="F362" s="85"/>
    </row>
    <row r="363" spans="1:6">
      <c r="A363" s="84"/>
      <c r="B363" s="85"/>
      <c r="C363" s="85"/>
      <c r="D363" s="85"/>
      <c r="E363" s="85"/>
      <c r="F363" s="85"/>
    </row>
    <row r="364" spans="1:6">
      <c r="A364" s="84"/>
      <c r="B364" s="85"/>
      <c r="C364" s="85"/>
      <c r="D364" s="85"/>
      <c r="E364" s="85"/>
      <c r="F364" s="85"/>
    </row>
    <row r="365" spans="1:6">
      <c r="A365" s="84"/>
      <c r="B365" s="85"/>
      <c r="C365" s="85"/>
      <c r="D365" s="85"/>
      <c r="E365" s="85"/>
      <c r="F365" s="85"/>
    </row>
    <row r="366" spans="1:6">
      <c r="A366" s="84"/>
      <c r="B366" s="85"/>
      <c r="C366" s="85"/>
      <c r="D366" s="85"/>
      <c r="E366" s="85"/>
      <c r="F366" s="85"/>
    </row>
    <row r="367" spans="1:6">
      <c r="A367" s="84"/>
      <c r="B367" s="85"/>
      <c r="C367" s="85"/>
      <c r="D367" s="85"/>
      <c r="E367" s="85"/>
      <c r="F367" s="85"/>
    </row>
    <row r="368" spans="1:6">
      <c r="A368" s="84"/>
      <c r="B368" s="85"/>
      <c r="C368" s="85"/>
      <c r="D368" s="85"/>
      <c r="E368" s="85"/>
      <c r="F368" s="85"/>
    </row>
    <row r="369" spans="1:6">
      <c r="A369" s="84"/>
      <c r="B369" s="85"/>
      <c r="C369" s="85"/>
      <c r="D369" s="85"/>
      <c r="E369" s="85"/>
      <c r="F369" s="85"/>
    </row>
    <row r="370" spans="1:6">
      <c r="A370" s="84"/>
      <c r="B370" s="85"/>
      <c r="C370" s="85"/>
      <c r="D370" s="85"/>
      <c r="E370" s="85"/>
      <c r="F370" s="85"/>
    </row>
    <row r="371" spans="1:6">
      <c r="A371" s="84"/>
      <c r="B371" s="85"/>
      <c r="C371" s="85"/>
      <c r="D371" s="85"/>
      <c r="E371" s="85"/>
      <c r="F371" s="85"/>
    </row>
    <row r="372" spans="1:6">
      <c r="A372" s="84"/>
      <c r="B372" s="85"/>
      <c r="C372" s="85"/>
      <c r="D372" s="85"/>
      <c r="E372" s="85"/>
      <c r="F372" s="85"/>
    </row>
    <row r="373" spans="1:6">
      <c r="A373" s="84"/>
      <c r="B373" s="85"/>
      <c r="C373" s="85"/>
      <c r="D373" s="85"/>
      <c r="E373" s="85"/>
      <c r="F373" s="85"/>
    </row>
    <row r="374" spans="1:6">
      <c r="A374" s="84"/>
      <c r="B374" s="85"/>
      <c r="C374" s="85"/>
      <c r="D374" s="85"/>
      <c r="E374" s="85"/>
      <c r="F374" s="85"/>
    </row>
    <row r="375" spans="1:6">
      <c r="A375" s="84"/>
      <c r="B375" s="85"/>
      <c r="C375" s="85"/>
      <c r="D375" s="85"/>
      <c r="E375" s="85"/>
      <c r="F375" s="85"/>
    </row>
    <row r="376" spans="1:6">
      <c r="A376" s="84"/>
      <c r="B376" s="85"/>
      <c r="C376" s="85"/>
      <c r="D376" s="85"/>
      <c r="E376" s="85"/>
      <c r="F376" s="85"/>
    </row>
    <row r="377" spans="1:6">
      <c r="A377" s="84"/>
      <c r="B377" s="85"/>
      <c r="C377" s="85"/>
      <c r="D377" s="85"/>
      <c r="E377" s="85"/>
      <c r="F377" s="85"/>
    </row>
    <row r="378" spans="1:6">
      <c r="A378" s="84"/>
      <c r="B378" s="85"/>
      <c r="C378" s="85"/>
      <c r="D378" s="85"/>
      <c r="E378" s="85"/>
      <c r="F378" s="85"/>
    </row>
    <row r="379" spans="1:6">
      <c r="A379" s="84"/>
      <c r="B379" s="85"/>
      <c r="C379" s="85"/>
      <c r="D379" s="85"/>
      <c r="E379" s="85"/>
      <c r="F379" s="85"/>
    </row>
    <row r="380" spans="1:6">
      <c r="A380" s="84"/>
      <c r="B380" s="85"/>
      <c r="C380" s="85"/>
      <c r="D380" s="85"/>
      <c r="E380" s="85"/>
      <c r="F380" s="85"/>
    </row>
    <row r="381" spans="1:6">
      <c r="A381" s="84"/>
      <c r="B381" s="85"/>
      <c r="C381" s="85"/>
      <c r="D381" s="85"/>
      <c r="E381" s="85"/>
      <c r="F381" s="85"/>
    </row>
    <row r="382" spans="1:6">
      <c r="A382" s="84"/>
      <c r="B382" s="85"/>
      <c r="C382" s="85"/>
      <c r="D382" s="85"/>
      <c r="E382" s="85"/>
      <c r="F382" s="85"/>
    </row>
    <row r="383" spans="1:6">
      <c r="A383" s="84"/>
      <c r="B383" s="85"/>
      <c r="C383" s="85"/>
      <c r="D383" s="85"/>
      <c r="E383" s="85"/>
      <c r="F383" s="85"/>
    </row>
    <row r="384" spans="1:6">
      <c r="A384" s="84"/>
      <c r="B384" s="85"/>
      <c r="C384" s="85"/>
      <c r="D384" s="85"/>
      <c r="E384" s="85"/>
      <c r="F384" s="85"/>
    </row>
    <row r="385" spans="1:6">
      <c r="A385" s="84"/>
      <c r="B385" s="85"/>
      <c r="C385" s="85"/>
      <c r="D385" s="85"/>
      <c r="E385" s="85"/>
      <c r="F385" s="85"/>
    </row>
    <row r="386" spans="1:6">
      <c r="A386" s="84"/>
      <c r="B386" s="85"/>
      <c r="C386" s="85"/>
      <c r="D386" s="85"/>
      <c r="E386" s="85"/>
      <c r="F386" s="85"/>
    </row>
    <row r="387" spans="1:6">
      <c r="A387" s="84"/>
      <c r="B387" s="85"/>
      <c r="C387" s="85"/>
      <c r="D387" s="85"/>
      <c r="E387" s="85"/>
      <c r="F387" s="85"/>
    </row>
    <row r="388" spans="1:6">
      <c r="A388" s="84"/>
      <c r="B388" s="85"/>
      <c r="C388" s="85"/>
      <c r="D388" s="85"/>
      <c r="E388" s="85"/>
      <c r="F388" s="85"/>
    </row>
    <row r="389" spans="1:6">
      <c r="A389" s="84"/>
      <c r="B389" s="85"/>
      <c r="C389" s="85"/>
      <c r="D389" s="85"/>
      <c r="E389" s="85"/>
      <c r="F389" s="85"/>
    </row>
    <row r="390" spans="1:6">
      <c r="A390" s="84"/>
      <c r="B390" s="85"/>
      <c r="C390" s="85"/>
      <c r="D390" s="85"/>
      <c r="E390" s="85"/>
      <c r="F390" s="85"/>
    </row>
    <row r="391" spans="1:6">
      <c r="A391" s="84"/>
      <c r="B391" s="85"/>
      <c r="C391" s="85"/>
      <c r="D391" s="85"/>
      <c r="E391" s="85"/>
      <c r="F391" s="85"/>
    </row>
    <row r="392" spans="1:6">
      <c r="A392" s="84"/>
      <c r="B392" s="85"/>
      <c r="C392" s="85"/>
      <c r="D392" s="85"/>
      <c r="E392" s="85"/>
      <c r="F392" s="85"/>
    </row>
    <row r="393" spans="1:6">
      <c r="A393" s="84"/>
      <c r="B393" s="85"/>
      <c r="C393" s="85"/>
      <c r="D393" s="85"/>
      <c r="E393" s="85"/>
      <c r="F393" s="85"/>
    </row>
    <row r="394" spans="1:6">
      <c r="A394" s="84"/>
      <c r="B394" s="85"/>
      <c r="C394" s="85"/>
      <c r="D394" s="85"/>
      <c r="E394" s="85"/>
      <c r="F394" s="85"/>
    </row>
    <row r="395" spans="1:6">
      <c r="A395" s="84"/>
      <c r="B395" s="85"/>
      <c r="C395" s="85"/>
      <c r="D395" s="85"/>
      <c r="E395" s="85"/>
      <c r="F395" s="85"/>
    </row>
    <row r="396" spans="1:6">
      <c r="A396" s="84"/>
      <c r="B396" s="85"/>
      <c r="C396" s="85"/>
      <c r="D396" s="85"/>
      <c r="E396" s="85"/>
      <c r="F396" s="85"/>
    </row>
    <row r="397" spans="1:6">
      <c r="A397" s="84"/>
      <c r="B397" s="85"/>
      <c r="C397" s="85"/>
      <c r="D397" s="85"/>
      <c r="E397" s="85"/>
      <c r="F397" s="85"/>
    </row>
    <row r="398" spans="1:6">
      <c r="A398" s="84"/>
      <c r="B398" s="85"/>
      <c r="C398" s="85"/>
      <c r="D398" s="85"/>
      <c r="E398" s="85"/>
      <c r="F398" s="85"/>
    </row>
    <row r="399" spans="1:6">
      <c r="A399" s="84"/>
      <c r="B399" s="85"/>
      <c r="C399" s="85"/>
      <c r="D399" s="85"/>
      <c r="E399" s="85"/>
      <c r="F399" s="85"/>
    </row>
    <row r="400" spans="1:6">
      <c r="A400" s="84"/>
      <c r="B400" s="85"/>
      <c r="C400" s="85"/>
      <c r="D400" s="85"/>
      <c r="E400" s="85"/>
      <c r="F400" s="85"/>
    </row>
    <row r="401" spans="1:6">
      <c r="A401" s="84"/>
      <c r="B401" s="85"/>
      <c r="C401" s="85"/>
      <c r="D401" s="85"/>
      <c r="E401" s="85"/>
      <c r="F401" s="85"/>
    </row>
    <row r="402" spans="1:6">
      <c r="A402" s="84"/>
      <c r="B402" s="85"/>
      <c r="C402" s="85"/>
      <c r="D402" s="85"/>
      <c r="E402" s="85"/>
      <c r="F402" s="85"/>
    </row>
    <row r="403" spans="1:6">
      <c r="A403" s="84"/>
      <c r="B403" s="85"/>
      <c r="C403" s="85"/>
      <c r="D403" s="85"/>
      <c r="E403" s="85"/>
      <c r="F403" s="85"/>
    </row>
    <row r="404" spans="1:6">
      <c r="A404" s="84"/>
      <c r="B404" s="85"/>
      <c r="C404" s="85"/>
      <c r="D404" s="85"/>
      <c r="E404" s="85"/>
      <c r="F404" s="85"/>
    </row>
    <row r="405" spans="1:6">
      <c r="A405" s="84"/>
      <c r="B405" s="85"/>
      <c r="C405" s="85"/>
      <c r="D405" s="85"/>
      <c r="E405" s="85"/>
      <c r="F405" s="85"/>
    </row>
    <row r="406" spans="1:6">
      <c r="A406" s="84"/>
      <c r="B406" s="85"/>
      <c r="C406" s="85"/>
      <c r="D406" s="85"/>
      <c r="E406" s="85"/>
      <c r="F406" s="85"/>
    </row>
    <row r="407" spans="1:6">
      <c r="A407" s="84"/>
      <c r="B407" s="85"/>
      <c r="C407" s="85"/>
      <c r="D407" s="85"/>
      <c r="E407" s="85"/>
      <c r="F407" s="85"/>
    </row>
    <row r="408" spans="1:6">
      <c r="A408" s="84"/>
      <c r="B408" s="85"/>
      <c r="C408" s="85"/>
      <c r="D408" s="85"/>
      <c r="E408" s="85"/>
      <c r="F408" s="85"/>
    </row>
    <row r="409" spans="1:6">
      <c r="A409" s="84"/>
      <c r="B409" s="85"/>
      <c r="C409" s="85"/>
      <c r="D409" s="85"/>
      <c r="E409" s="85"/>
      <c r="F409" s="85"/>
    </row>
    <row r="410" spans="1:6">
      <c r="A410" s="84"/>
      <c r="B410" s="85"/>
      <c r="C410" s="85"/>
      <c r="D410" s="85"/>
      <c r="E410" s="85"/>
      <c r="F410" s="85"/>
    </row>
    <row r="411" spans="1:6">
      <c r="A411" s="84"/>
      <c r="B411" s="85"/>
      <c r="C411" s="85"/>
      <c r="D411" s="85"/>
      <c r="E411" s="85"/>
      <c r="F411" s="85"/>
    </row>
    <row r="412" spans="1:6">
      <c r="A412" s="84"/>
      <c r="B412" s="85"/>
      <c r="C412" s="85"/>
      <c r="D412" s="85"/>
      <c r="E412" s="85"/>
      <c r="F412" s="85"/>
    </row>
    <row r="413" spans="1:6">
      <c r="A413" s="84"/>
      <c r="B413" s="85"/>
      <c r="C413" s="85"/>
      <c r="D413" s="85"/>
      <c r="E413" s="85"/>
      <c r="F413" s="85"/>
    </row>
    <row r="414" spans="1:6">
      <c r="A414" s="84"/>
      <c r="B414" s="85"/>
      <c r="C414" s="85"/>
      <c r="D414" s="85"/>
      <c r="E414" s="85"/>
      <c r="F414" s="85"/>
    </row>
    <row r="415" spans="1:6">
      <c r="A415" s="84"/>
      <c r="B415" s="85"/>
      <c r="C415" s="85"/>
      <c r="D415" s="85"/>
      <c r="E415" s="85"/>
      <c r="F415" s="85"/>
    </row>
    <row r="416" spans="1:6">
      <c r="A416" s="84"/>
      <c r="B416" s="85"/>
      <c r="C416" s="85"/>
      <c r="D416" s="85"/>
      <c r="E416" s="85"/>
      <c r="F416" s="85"/>
    </row>
    <row r="417" spans="1:6">
      <c r="A417" s="84"/>
      <c r="B417" s="85"/>
      <c r="C417" s="85"/>
      <c r="D417" s="85"/>
      <c r="E417" s="85"/>
      <c r="F417" s="85"/>
    </row>
    <row r="418" spans="1:6">
      <c r="A418" s="84"/>
      <c r="B418" s="85"/>
      <c r="C418" s="85"/>
      <c r="D418" s="85"/>
      <c r="E418" s="85"/>
      <c r="F418" s="85"/>
    </row>
    <row r="419" spans="1:6">
      <c r="A419" s="84"/>
      <c r="B419" s="85"/>
      <c r="C419" s="85"/>
      <c r="D419" s="85"/>
      <c r="E419" s="85"/>
      <c r="F419" s="85"/>
    </row>
    <row r="420" spans="1:6">
      <c r="A420" s="84"/>
      <c r="B420" s="85"/>
      <c r="C420" s="85"/>
      <c r="D420" s="85"/>
      <c r="E420" s="85"/>
      <c r="F420" s="85"/>
    </row>
    <row r="421" spans="1:6">
      <c r="A421" s="84"/>
      <c r="B421" s="85"/>
      <c r="C421" s="85"/>
      <c r="D421" s="85"/>
      <c r="E421" s="85"/>
      <c r="F421" s="85"/>
    </row>
    <row r="422" spans="1:6">
      <c r="A422" s="84"/>
      <c r="B422" s="85"/>
      <c r="C422" s="85"/>
      <c r="D422" s="85"/>
      <c r="E422" s="85"/>
      <c r="F422" s="85"/>
    </row>
    <row r="423" spans="1:6">
      <c r="A423" s="84"/>
      <c r="B423" s="85"/>
      <c r="C423" s="85"/>
      <c r="D423" s="85"/>
      <c r="E423" s="85"/>
      <c r="F423" s="85"/>
    </row>
    <row r="424" spans="1:6">
      <c r="A424" s="84"/>
      <c r="B424" s="85"/>
      <c r="C424" s="85"/>
      <c r="D424" s="85"/>
      <c r="E424" s="85"/>
      <c r="F424" s="85"/>
    </row>
    <row r="425" spans="1:6">
      <c r="A425" s="84"/>
      <c r="B425" s="85"/>
      <c r="C425" s="85"/>
      <c r="D425" s="85"/>
      <c r="E425" s="85"/>
      <c r="F425" s="85"/>
    </row>
    <row r="426" spans="1:6">
      <c r="A426" s="84"/>
      <c r="B426" s="85"/>
      <c r="C426" s="85"/>
      <c r="D426" s="85"/>
      <c r="E426" s="85"/>
      <c r="F426" s="85"/>
    </row>
    <row r="427" spans="1:6">
      <c r="A427" s="84"/>
      <c r="B427" s="85"/>
      <c r="C427" s="85"/>
      <c r="D427" s="85"/>
      <c r="E427" s="85"/>
      <c r="F427" s="85"/>
    </row>
    <row r="428" spans="1:6">
      <c r="A428" s="84"/>
      <c r="B428" s="85"/>
      <c r="C428" s="85"/>
      <c r="D428" s="85"/>
      <c r="E428" s="85"/>
      <c r="F428" s="85"/>
    </row>
    <row r="429" spans="1:6">
      <c r="A429" s="84"/>
      <c r="B429" s="85"/>
      <c r="C429" s="85"/>
      <c r="D429" s="85"/>
      <c r="E429" s="85"/>
      <c r="F429" s="85"/>
    </row>
    <row r="430" spans="1:6">
      <c r="A430" s="84"/>
      <c r="B430" s="85"/>
      <c r="C430" s="85"/>
      <c r="D430" s="85"/>
      <c r="E430" s="85"/>
      <c r="F430" s="85"/>
    </row>
    <row r="431" spans="1:6">
      <c r="A431" s="84"/>
      <c r="B431" s="85"/>
      <c r="C431" s="85"/>
      <c r="D431" s="85"/>
      <c r="E431" s="85"/>
      <c r="F431" s="85"/>
    </row>
    <row r="432" spans="1:6">
      <c r="A432" s="84"/>
      <c r="B432" s="85"/>
      <c r="C432" s="85"/>
      <c r="D432" s="85"/>
      <c r="E432" s="85"/>
      <c r="F432" s="85"/>
    </row>
    <row r="433" spans="1:6">
      <c r="A433" s="84"/>
      <c r="B433" s="85"/>
      <c r="C433" s="85"/>
      <c r="D433" s="85"/>
      <c r="E433" s="85"/>
      <c r="F433" s="85"/>
    </row>
    <row r="434" spans="1:6">
      <c r="A434" s="84"/>
      <c r="B434" s="85"/>
      <c r="C434" s="85"/>
      <c r="D434" s="85"/>
      <c r="E434" s="85"/>
      <c r="F434" s="85"/>
    </row>
    <row r="435" spans="1:6">
      <c r="A435" s="84"/>
      <c r="B435" s="85"/>
      <c r="C435" s="85"/>
      <c r="D435" s="85"/>
      <c r="E435" s="85"/>
      <c r="F435" s="85"/>
    </row>
    <row r="436" spans="1:6">
      <c r="A436" s="84"/>
      <c r="B436" s="85"/>
      <c r="C436" s="85"/>
      <c r="D436" s="85"/>
      <c r="E436" s="85"/>
      <c r="F436" s="85"/>
    </row>
    <row r="437" spans="1:6">
      <c r="A437" s="84"/>
      <c r="B437" s="85"/>
      <c r="C437" s="85"/>
      <c r="D437" s="85"/>
      <c r="E437" s="85"/>
      <c r="F437" s="85"/>
    </row>
    <row r="438" spans="1:6">
      <c r="A438" s="84"/>
      <c r="B438" s="85"/>
      <c r="C438" s="85"/>
      <c r="D438" s="85"/>
      <c r="E438" s="85"/>
      <c r="F438" s="85"/>
    </row>
    <row r="439" spans="1:6">
      <c r="A439" s="84"/>
      <c r="B439" s="85"/>
      <c r="C439" s="85"/>
      <c r="D439" s="85"/>
      <c r="E439" s="85"/>
      <c r="F439" s="85"/>
    </row>
    <row r="440" spans="1:6">
      <c r="A440" s="84"/>
      <c r="B440" s="85"/>
      <c r="C440" s="85"/>
      <c r="D440" s="85"/>
      <c r="E440" s="85"/>
      <c r="F440" s="85"/>
    </row>
    <row r="441" spans="1:6">
      <c r="A441" s="84"/>
      <c r="B441" s="85"/>
      <c r="C441" s="85"/>
      <c r="D441" s="85"/>
      <c r="E441" s="85"/>
      <c r="F441" s="85"/>
    </row>
    <row r="442" spans="1:6">
      <c r="A442" s="84"/>
      <c r="B442" s="85"/>
      <c r="C442" s="85"/>
      <c r="D442" s="85"/>
      <c r="E442" s="85"/>
      <c r="F442" s="85"/>
    </row>
    <row r="443" spans="1:6">
      <c r="A443" s="84"/>
      <c r="B443" s="85"/>
      <c r="C443" s="85"/>
      <c r="D443" s="85"/>
      <c r="E443" s="85"/>
      <c r="F443" s="85"/>
    </row>
    <row r="444" spans="1:6">
      <c r="A444" s="84"/>
      <c r="B444" s="85"/>
      <c r="C444" s="85"/>
      <c r="D444" s="85"/>
      <c r="E444" s="85"/>
      <c r="F444" s="85"/>
    </row>
    <row r="445" spans="1:6">
      <c r="A445" s="84"/>
      <c r="B445" s="85"/>
      <c r="C445" s="85"/>
      <c r="D445" s="85"/>
      <c r="E445" s="85"/>
      <c r="F445" s="85"/>
    </row>
    <row r="446" spans="1:6">
      <c r="A446" s="84"/>
      <c r="B446" s="85"/>
      <c r="C446" s="85"/>
      <c r="D446" s="85"/>
      <c r="E446" s="85"/>
      <c r="F446" s="85"/>
    </row>
    <row r="447" spans="1:6">
      <c r="A447" s="84"/>
      <c r="B447" s="85"/>
      <c r="C447" s="85"/>
      <c r="D447" s="85"/>
      <c r="E447" s="85"/>
      <c r="F447" s="85"/>
    </row>
    <row r="448" spans="1:6">
      <c r="A448" s="84"/>
      <c r="B448" s="85"/>
      <c r="C448" s="85"/>
      <c r="D448" s="85"/>
      <c r="E448" s="85"/>
      <c r="F448" s="85"/>
    </row>
    <row r="449" spans="1:6">
      <c r="A449" s="84"/>
      <c r="B449" s="85"/>
      <c r="C449" s="85"/>
      <c r="D449" s="85"/>
      <c r="E449" s="85"/>
      <c r="F449" s="85"/>
    </row>
    <row r="450" spans="1:6">
      <c r="A450" s="84"/>
      <c r="B450" s="85"/>
      <c r="C450" s="85"/>
      <c r="D450" s="85"/>
      <c r="E450" s="85"/>
      <c r="F450" s="85"/>
    </row>
    <row r="451" spans="1:6">
      <c r="A451" s="84"/>
      <c r="B451" s="85"/>
      <c r="C451" s="85"/>
      <c r="D451" s="85"/>
      <c r="E451" s="85"/>
      <c r="F451" s="85"/>
    </row>
    <row r="452" spans="1:6">
      <c r="A452" s="84"/>
      <c r="B452" s="85"/>
      <c r="C452" s="85"/>
      <c r="D452" s="85"/>
      <c r="E452" s="85"/>
      <c r="F452" s="85"/>
    </row>
    <row r="453" spans="1:6">
      <c r="A453" s="84"/>
      <c r="B453" s="85"/>
      <c r="C453" s="85"/>
      <c r="D453" s="85"/>
      <c r="E453" s="85"/>
      <c r="F453" s="85"/>
    </row>
    <row r="454" spans="1:6">
      <c r="A454" s="84"/>
      <c r="B454" s="85"/>
      <c r="C454" s="85"/>
      <c r="D454" s="85"/>
      <c r="E454" s="85"/>
      <c r="F454" s="85"/>
    </row>
    <row r="455" spans="1:6">
      <c r="A455" s="84"/>
      <c r="B455" s="85"/>
      <c r="C455" s="85"/>
      <c r="D455" s="85"/>
      <c r="E455" s="85"/>
      <c r="F455" s="85"/>
    </row>
    <row r="456" spans="1:6">
      <c r="A456" s="84"/>
      <c r="B456" s="85"/>
      <c r="C456" s="85"/>
      <c r="D456" s="85"/>
      <c r="E456" s="85"/>
      <c r="F456" s="85"/>
    </row>
    <row r="457" spans="1:6">
      <c r="A457" s="84"/>
      <c r="B457" s="85"/>
      <c r="C457" s="85"/>
      <c r="D457" s="85"/>
      <c r="E457" s="85"/>
      <c r="F457" s="85"/>
    </row>
    <row r="458" spans="1:6">
      <c r="A458" s="84"/>
      <c r="B458" s="85"/>
      <c r="C458" s="85"/>
      <c r="D458" s="85"/>
      <c r="E458" s="85"/>
      <c r="F458" s="85"/>
    </row>
    <row r="459" spans="1:6">
      <c r="A459" s="84"/>
      <c r="B459" s="85"/>
      <c r="C459" s="85"/>
      <c r="D459" s="85"/>
      <c r="E459" s="85"/>
      <c r="F459" s="85"/>
    </row>
    <row r="460" spans="1:6">
      <c r="A460" s="84"/>
      <c r="B460" s="85"/>
      <c r="C460" s="85"/>
      <c r="D460" s="85"/>
      <c r="E460" s="85"/>
      <c r="F460" s="85"/>
    </row>
    <row r="461" spans="1:6">
      <c r="A461" s="84"/>
      <c r="B461" s="85"/>
      <c r="C461" s="85"/>
      <c r="D461" s="85"/>
      <c r="E461" s="85"/>
      <c r="F461" s="85"/>
    </row>
    <row r="462" spans="1:6">
      <c r="A462" s="84"/>
      <c r="B462" s="85"/>
      <c r="C462" s="85"/>
      <c r="D462" s="85"/>
      <c r="E462" s="85"/>
      <c r="F462" s="85"/>
    </row>
    <row r="463" spans="1:6">
      <c r="A463" s="84"/>
      <c r="B463" s="85"/>
      <c r="C463" s="85"/>
      <c r="D463" s="85"/>
      <c r="E463" s="85"/>
      <c r="F463" s="85"/>
    </row>
    <row r="464" spans="1:6">
      <c r="A464" s="84"/>
      <c r="B464" s="85"/>
      <c r="C464" s="85"/>
      <c r="D464" s="85"/>
      <c r="E464" s="85"/>
      <c r="F464" s="85"/>
    </row>
    <row r="465" spans="1:6">
      <c r="A465" s="84"/>
      <c r="B465" s="85"/>
      <c r="C465" s="85"/>
      <c r="D465" s="85"/>
      <c r="E465" s="85"/>
      <c r="F465" s="85"/>
    </row>
    <row r="466" spans="1:6">
      <c r="A466" s="84"/>
      <c r="B466" s="85"/>
      <c r="C466" s="85"/>
      <c r="D466" s="85"/>
      <c r="E466" s="85"/>
      <c r="F466" s="85"/>
    </row>
    <row r="467" spans="1:6">
      <c r="A467" s="84"/>
      <c r="B467" s="85"/>
      <c r="C467" s="85"/>
      <c r="D467" s="85"/>
      <c r="E467" s="85"/>
      <c r="F467" s="85"/>
    </row>
    <row r="468" spans="1:6">
      <c r="A468" s="84"/>
      <c r="B468" s="85"/>
      <c r="C468" s="85"/>
      <c r="D468" s="85"/>
      <c r="E468" s="85"/>
      <c r="F468" s="85"/>
    </row>
    <row r="469" spans="1:6">
      <c r="A469" s="84"/>
      <c r="B469" s="85"/>
      <c r="C469" s="85"/>
      <c r="D469" s="85"/>
      <c r="E469" s="85"/>
      <c r="F469" s="85"/>
    </row>
    <row r="470" spans="1:6">
      <c r="A470" s="84"/>
      <c r="B470" s="85"/>
      <c r="C470" s="85"/>
      <c r="D470" s="85"/>
      <c r="E470" s="85"/>
      <c r="F470" s="85"/>
    </row>
    <row r="471" spans="1:6">
      <c r="A471" s="84"/>
      <c r="B471" s="85"/>
      <c r="C471" s="85"/>
      <c r="D471" s="85"/>
      <c r="E471" s="85"/>
      <c r="F471" s="85"/>
    </row>
    <row r="472" spans="1:6">
      <c r="A472" s="84"/>
      <c r="B472" s="85"/>
      <c r="C472" s="85"/>
      <c r="D472" s="85"/>
      <c r="E472" s="85"/>
      <c r="F472" s="85"/>
    </row>
    <row r="473" spans="1:6">
      <c r="A473" s="84"/>
      <c r="B473" s="85"/>
      <c r="C473" s="85"/>
      <c r="D473" s="85"/>
      <c r="E473" s="85"/>
      <c r="F473" s="85"/>
    </row>
    <row r="474" spans="1:6">
      <c r="A474" s="84"/>
      <c r="B474" s="85"/>
      <c r="C474" s="85"/>
      <c r="D474" s="85"/>
      <c r="E474" s="85"/>
      <c r="F474" s="85"/>
    </row>
    <row r="475" spans="1:6">
      <c r="A475" s="84"/>
      <c r="B475" s="85"/>
      <c r="C475" s="85"/>
      <c r="D475" s="85"/>
      <c r="E475" s="85"/>
      <c r="F475" s="85"/>
    </row>
    <row r="476" spans="1:6">
      <c r="A476" s="84"/>
      <c r="B476" s="85"/>
      <c r="C476" s="85"/>
      <c r="D476" s="85"/>
      <c r="E476" s="85"/>
      <c r="F476" s="85"/>
    </row>
    <row r="477" spans="1:6">
      <c r="A477" s="84"/>
      <c r="B477" s="85"/>
      <c r="C477" s="85"/>
      <c r="D477" s="85"/>
      <c r="E477" s="85"/>
      <c r="F477" s="85"/>
    </row>
    <row r="478" spans="1:6">
      <c r="A478" s="84"/>
      <c r="B478" s="85"/>
      <c r="C478" s="85"/>
      <c r="D478" s="85"/>
      <c r="E478" s="85"/>
      <c r="F478" s="85"/>
    </row>
    <row r="479" spans="1:6">
      <c r="A479" s="84"/>
      <c r="B479" s="85"/>
      <c r="C479" s="85"/>
      <c r="D479" s="85"/>
      <c r="E479" s="85"/>
      <c r="F479" s="85"/>
    </row>
    <row r="480" spans="1:6">
      <c r="A480" s="84"/>
      <c r="B480" s="85"/>
      <c r="C480" s="85"/>
      <c r="D480" s="85"/>
      <c r="E480" s="85"/>
      <c r="F480" s="85"/>
    </row>
    <row r="481" spans="1:6">
      <c r="A481" s="84"/>
      <c r="B481" s="85"/>
      <c r="C481" s="85"/>
      <c r="D481" s="85"/>
      <c r="E481" s="85"/>
      <c r="F481" s="85"/>
    </row>
    <row r="482" spans="1:6">
      <c r="A482" s="84"/>
      <c r="B482" s="85"/>
      <c r="C482" s="85"/>
      <c r="D482" s="85"/>
      <c r="E482" s="85"/>
      <c r="F482" s="85"/>
    </row>
    <row r="483" spans="1:6">
      <c r="A483" s="84"/>
      <c r="B483" s="85"/>
      <c r="C483" s="85"/>
      <c r="D483" s="85"/>
      <c r="E483" s="85"/>
      <c r="F483" s="85"/>
    </row>
    <row r="484" spans="1:6">
      <c r="A484" s="84"/>
      <c r="B484" s="85"/>
      <c r="C484" s="85"/>
      <c r="D484" s="85"/>
      <c r="E484" s="85"/>
      <c r="F484" s="85"/>
    </row>
    <row r="485" spans="1:6">
      <c r="A485" s="84"/>
      <c r="B485" s="85"/>
      <c r="C485" s="85"/>
      <c r="D485" s="85"/>
      <c r="E485" s="85"/>
      <c r="F485" s="85"/>
    </row>
    <row r="486" spans="1:6">
      <c r="A486" s="84"/>
      <c r="B486" s="85"/>
      <c r="C486" s="85"/>
      <c r="D486" s="85"/>
      <c r="E486" s="85"/>
      <c r="F486" s="85"/>
    </row>
    <row r="487" spans="1:6">
      <c r="A487" s="84"/>
      <c r="B487" s="85"/>
      <c r="C487" s="85"/>
      <c r="D487" s="85"/>
      <c r="E487" s="85"/>
      <c r="F487" s="85"/>
    </row>
    <row r="488" spans="1:6">
      <c r="A488" s="84"/>
      <c r="B488" s="85"/>
      <c r="C488" s="85"/>
      <c r="D488" s="85"/>
      <c r="E488" s="85"/>
      <c r="F488" s="85"/>
    </row>
    <row r="489" spans="1:6">
      <c r="A489" s="84"/>
      <c r="B489" s="85"/>
      <c r="C489" s="85"/>
      <c r="D489" s="85"/>
      <c r="E489" s="85"/>
      <c r="F489" s="85"/>
    </row>
    <row r="490" spans="1:6">
      <c r="A490" s="84"/>
      <c r="B490" s="85"/>
      <c r="C490" s="85"/>
      <c r="D490" s="85"/>
      <c r="E490" s="85"/>
      <c r="F490" s="85"/>
    </row>
    <row r="491" spans="1:6">
      <c r="A491" s="84"/>
      <c r="B491" s="85"/>
      <c r="C491" s="85"/>
      <c r="D491" s="85"/>
      <c r="E491" s="85"/>
      <c r="F491" s="85"/>
    </row>
    <row r="492" spans="1:6">
      <c r="A492" s="84"/>
      <c r="B492" s="85"/>
      <c r="C492" s="85"/>
      <c r="D492" s="85"/>
      <c r="E492" s="85"/>
      <c r="F492" s="85"/>
    </row>
    <row r="493" spans="1:6">
      <c r="A493" s="84"/>
      <c r="B493" s="85"/>
      <c r="C493" s="85"/>
      <c r="D493" s="85"/>
      <c r="E493" s="85"/>
      <c r="F493" s="85"/>
    </row>
    <row r="494" spans="1:6">
      <c r="A494" s="84"/>
      <c r="B494" s="85"/>
      <c r="C494" s="85"/>
      <c r="D494" s="85"/>
      <c r="E494" s="85"/>
      <c r="F494" s="85"/>
    </row>
    <row r="495" spans="1:6">
      <c r="A495" s="84"/>
      <c r="B495" s="85"/>
      <c r="C495" s="85"/>
      <c r="D495" s="85"/>
      <c r="E495" s="85"/>
      <c r="F495" s="85"/>
    </row>
    <row r="496" spans="1:6">
      <c r="A496" s="84"/>
      <c r="B496" s="85"/>
      <c r="C496" s="85"/>
      <c r="D496" s="85"/>
      <c r="E496" s="85"/>
      <c r="F496" s="85"/>
    </row>
    <row r="497" spans="1:6">
      <c r="A497" s="84"/>
      <c r="B497" s="85"/>
      <c r="C497" s="85"/>
      <c r="D497" s="85"/>
      <c r="E497" s="85"/>
      <c r="F497" s="85"/>
    </row>
    <row r="498" spans="1:6">
      <c r="A498" s="84"/>
      <c r="B498" s="85"/>
      <c r="C498" s="85"/>
      <c r="D498" s="85"/>
      <c r="E498" s="85"/>
      <c r="F498" s="85"/>
    </row>
    <row r="499" spans="1:6">
      <c r="A499" s="84"/>
      <c r="B499" s="85"/>
      <c r="C499" s="85"/>
      <c r="D499" s="85"/>
      <c r="E499" s="85"/>
      <c r="F499" s="85"/>
    </row>
    <row r="500" spans="1:6">
      <c r="A500" s="84"/>
      <c r="B500" s="85"/>
      <c r="C500" s="85"/>
      <c r="D500" s="85"/>
      <c r="E500" s="85"/>
      <c r="F500" s="85"/>
    </row>
    <row r="501" spans="1:6">
      <c r="A501" s="84"/>
      <c r="B501" s="85"/>
      <c r="C501" s="85"/>
      <c r="D501" s="85"/>
      <c r="E501" s="85"/>
      <c r="F501" s="85"/>
    </row>
    <row r="502" spans="1:6">
      <c r="A502" s="84"/>
      <c r="B502" s="85"/>
      <c r="C502" s="85"/>
      <c r="D502" s="85"/>
      <c r="E502" s="85"/>
      <c r="F502" s="85"/>
    </row>
    <row r="503" spans="1:6">
      <c r="A503" s="84"/>
      <c r="B503" s="85"/>
      <c r="C503" s="85"/>
      <c r="D503" s="85"/>
      <c r="E503" s="85"/>
      <c r="F503" s="85"/>
    </row>
    <row r="504" spans="1:6">
      <c r="A504" s="84"/>
      <c r="B504" s="85"/>
      <c r="C504" s="85"/>
      <c r="D504" s="85"/>
      <c r="E504" s="85"/>
      <c r="F504" s="85"/>
    </row>
    <row r="505" spans="1:6">
      <c r="A505" s="84"/>
      <c r="B505" s="85"/>
      <c r="C505" s="85"/>
      <c r="D505" s="85"/>
      <c r="E505" s="85"/>
      <c r="F505" s="85"/>
    </row>
    <row r="506" spans="1:6">
      <c r="A506" s="84"/>
      <c r="B506" s="85"/>
      <c r="C506" s="85"/>
      <c r="D506" s="85"/>
      <c r="E506" s="85"/>
      <c r="F506" s="85"/>
    </row>
    <row r="507" spans="1:6">
      <c r="A507" s="84"/>
      <c r="B507" s="85"/>
      <c r="C507" s="85"/>
      <c r="D507" s="85"/>
      <c r="E507" s="85"/>
      <c r="F507" s="85"/>
    </row>
    <row r="508" spans="1:6">
      <c r="A508" s="84"/>
      <c r="B508" s="85"/>
      <c r="C508" s="85"/>
      <c r="D508" s="85"/>
      <c r="E508" s="85"/>
      <c r="F508" s="85"/>
    </row>
    <row r="509" spans="1:6">
      <c r="A509" s="84"/>
      <c r="B509" s="85"/>
      <c r="C509" s="85"/>
      <c r="D509" s="85"/>
      <c r="E509" s="85"/>
      <c r="F509" s="85"/>
    </row>
    <row r="510" spans="1:6">
      <c r="A510" s="84"/>
      <c r="B510" s="85"/>
      <c r="C510" s="85"/>
      <c r="D510" s="85"/>
      <c r="E510" s="85"/>
      <c r="F510" s="85"/>
    </row>
    <row r="511" spans="1:6">
      <c r="A511" s="84"/>
      <c r="B511" s="85"/>
      <c r="C511" s="85"/>
      <c r="D511" s="85"/>
      <c r="E511" s="85"/>
      <c r="F511" s="85"/>
    </row>
    <row r="512" spans="1:6">
      <c r="A512" s="84"/>
      <c r="B512" s="85"/>
      <c r="C512" s="85"/>
      <c r="D512" s="85"/>
      <c r="E512" s="85"/>
      <c r="F512" s="85"/>
    </row>
    <row r="513" spans="1:6">
      <c r="A513" s="84"/>
      <c r="B513" s="85"/>
      <c r="C513" s="85"/>
      <c r="D513" s="85"/>
      <c r="E513" s="85"/>
      <c r="F513" s="85"/>
    </row>
    <row r="514" spans="1:6">
      <c r="A514" s="84"/>
      <c r="B514" s="85"/>
      <c r="C514" s="85"/>
      <c r="D514" s="85"/>
      <c r="E514" s="85"/>
      <c r="F514" s="85"/>
    </row>
    <row r="515" spans="1:6">
      <c r="A515" s="84"/>
      <c r="B515" s="85"/>
      <c r="C515" s="85"/>
      <c r="D515" s="85"/>
      <c r="E515" s="85"/>
      <c r="F515" s="85"/>
    </row>
    <row r="516" spans="1:6">
      <c r="A516" s="84"/>
      <c r="B516" s="85"/>
      <c r="C516" s="85"/>
      <c r="D516" s="85"/>
      <c r="E516" s="85"/>
      <c r="F516" s="85"/>
    </row>
    <row r="517" spans="1:6">
      <c r="A517" s="84"/>
      <c r="B517" s="85"/>
      <c r="C517" s="85"/>
      <c r="D517" s="85"/>
      <c r="E517" s="85"/>
      <c r="F517" s="85"/>
    </row>
    <row r="518" spans="1:6">
      <c r="A518" s="84"/>
      <c r="B518" s="85"/>
      <c r="C518" s="85"/>
      <c r="D518" s="85"/>
      <c r="E518" s="85"/>
      <c r="F518" s="85"/>
    </row>
    <row r="519" spans="1:6">
      <c r="A519" s="84"/>
      <c r="B519" s="85"/>
      <c r="C519" s="85"/>
      <c r="D519" s="85"/>
      <c r="E519" s="85"/>
      <c r="F519" s="85"/>
    </row>
    <row r="520" spans="1:6">
      <c r="A520" s="84"/>
      <c r="B520" s="85"/>
      <c r="C520" s="85"/>
      <c r="D520" s="85"/>
      <c r="E520" s="85"/>
      <c r="F520" s="85"/>
    </row>
    <row r="521" spans="1:6">
      <c r="A521" s="84"/>
      <c r="B521" s="85"/>
      <c r="C521" s="85"/>
      <c r="D521" s="85"/>
      <c r="E521" s="85"/>
      <c r="F521" s="85"/>
    </row>
    <row r="522" spans="1:6">
      <c r="A522" s="84"/>
      <c r="B522" s="85"/>
      <c r="C522" s="85"/>
      <c r="D522" s="85"/>
      <c r="E522" s="85"/>
      <c r="F522" s="85"/>
    </row>
    <row r="523" spans="1:6">
      <c r="A523" s="84"/>
      <c r="B523" s="85"/>
      <c r="C523" s="85"/>
      <c r="D523" s="85"/>
      <c r="E523" s="85"/>
      <c r="F523" s="85"/>
    </row>
    <row r="524" spans="1:6">
      <c r="A524" s="84"/>
      <c r="B524" s="85"/>
      <c r="C524" s="85"/>
      <c r="D524" s="85"/>
      <c r="E524" s="85"/>
      <c r="F524" s="85"/>
    </row>
    <row r="525" spans="1:6">
      <c r="A525" s="84"/>
      <c r="B525" s="85"/>
      <c r="C525" s="85"/>
      <c r="D525" s="85"/>
      <c r="E525" s="85"/>
      <c r="F525" s="85"/>
    </row>
    <row r="526" spans="1:6">
      <c r="A526" s="84"/>
      <c r="B526" s="85"/>
      <c r="C526" s="85"/>
      <c r="D526" s="85"/>
      <c r="E526" s="85"/>
      <c r="F526" s="85"/>
    </row>
    <row r="527" spans="1:6">
      <c r="A527" s="84"/>
      <c r="B527" s="85"/>
      <c r="C527" s="85"/>
      <c r="D527" s="85"/>
      <c r="E527" s="85"/>
      <c r="F527" s="85"/>
    </row>
    <row r="528" spans="1:6">
      <c r="A528" s="84"/>
      <c r="B528" s="85"/>
      <c r="C528" s="85"/>
      <c r="D528" s="85"/>
      <c r="E528" s="85"/>
      <c r="F528" s="85"/>
    </row>
    <row r="529" spans="1:6">
      <c r="A529" s="84"/>
      <c r="B529" s="85"/>
      <c r="C529" s="85"/>
      <c r="D529" s="85"/>
      <c r="E529" s="85"/>
      <c r="F529" s="85"/>
    </row>
    <row r="530" spans="1:6">
      <c r="A530" s="84"/>
      <c r="B530" s="85"/>
      <c r="C530" s="85"/>
      <c r="D530" s="85"/>
      <c r="E530" s="85"/>
      <c r="F530" s="85"/>
    </row>
    <row r="531" spans="1:6">
      <c r="A531" s="84"/>
      <c r="B531" s="85"/>
      <c r="C531" s="85"/>
      <c r="D531" s="85"/>
      <c r="E531" s="85"/>
      <c r="F531" s="85"/>
    </row>
    <row r="532" spans="1:6">
      <c r="A532" s="84"/>
      <c r="B532" s="85"/>
      <c r="C532" s="85"/>
      <c r="D532" s="85"/>
      <c r="E532" s="85"/>
      <c r="F532" s="85"/>
    </row>
    <row r="533" spans="1:6">
      <c r="A533" s="84"/>
      <c r="B533" s="85"/>
      <c r="C533" s="85"/>
      <c r="D533" s="85"/>
      <c r="E533" s="85"/>
      <c r="F533" s="85"/>
    </row>
    <row r="534" spans="1:6">
      <c r="A534" s="84"/>
      <c r="B534" s="85"/>
      <c r="C534" s="85"/>
      <c r="D534" s="85"/>
      <c r="E534" s="85"/>
      <c r="F534" s="85"/>
    </row>
    <row r="535" spans="1:6">
      <c r="A535" s="84"/>
      <c r="B535" s="85"/>
      <c r="C535" s="85"/>
      <c r="D535" s="85"/>
      <c r="E535" s="85"/>
      <c r="F535" s="85"/>
    </row>
    <row r="536" spans="1:6">
      <c r="A536" s="84"/>
      <c r="B536" s="85"/>
      <c r="C536" s="85"/>
      <c r="D536" s="85"/>
      <c r="E536" s="85"/>
      <c r="F536" s="85"/>
    </row>
    <row r="537" spans="1:6">
      <c r="A537" s="84"/>
      <c r="B537" s="85"/>
      <c r="C537" s="85"/>
      <c r="D537" s="85"/>
      <c r="E537" s="85"/>
      <c r="F537" s="85"/>
    </row>
    <row r="538" spans="1:6">
      <c r="A538" s="84"/>
      <c r="B538" s="85"/>
      <c r="C538" s="85"/>
      <c r="D538" s="85"/>
      <c r="E538" s="85"/>
      <c r="F538" s="85"/>
    </row>
    <row r="539" spans="1:6">
      <c r="A539" s="84"/>
      <c r="B539" s="85"/>
      <c r="C539" s="85"/>
      <c r="D539" s="85"/>
      <c r="E539" s="85"/>
      <c r="F539" s="85"/>
    </row>
    <row r="540" spans="1:6">
      <c r="A540" s="84"/>
      <c r="B540" s="85"/>
      <c r="C540" s="85"/>
      <c r="D540" s="85"/>
      <c r="E540" s="85"/>
      <c r="F540" s="85"/>
    </row>
    <row r="541" spans="1:6">
      <c r="A541" s="84"/>
      <c r="B541" s="85"/>
      <c r="C541" s="85"/>
      <c r="D541" s="85"/>
      <c r="E541" s="85"/>
      <c r="F541" s="85"/>
    </row>
    <row r="542" spans="1:6">
      <c r="A542" s="84"/>
      <c r="B542" s="85"/>
      <c r="C542" s="85"/>
      <c r="D542" s="85"/>
      <c r="E542" s="85"/>
      <c r="F542" s="85"/>
    </row>
    <row r="543" spans="1:6">
      <c r="A543" s="84"/>
      <c r="B543" s="85"/>
      <c r="C543" s="85"/>
      <c r="D543" s="85"/>
      <c r="E543" s="85"/>
      <c r="F543" s="85"/>
    </row>
    <row r="544" spans="1:6">
      <c r="A544" s="84"/>
      <c r="B544" s="85"/>
      <c r="C544" s="85"/>
      <c r="D544" s="85"/>
      <c r="E544" s="85"/>
      <c r="F544" s="85"/>
    </row>
    <row r="545" spans="1:6">
      <c r="A545" s="84"/>
      <c r="B545" s="85"/>
      <c r="C545" s="85"/>
      <c r="D545" s="85"/>
      <c r="E545" s="85"/>
      <c r="F545" s="85"/>
    </row>
    <row r="546" spans="1:6">
      <c r="A546" s="84"/>
      <c r="B546" s="85"/>
      <c r="C546" s="85"/>
      <c r="D546" s="85"/>
      <c r="E546" s="85"/>
      <c r="F546" s="85"/>
    </row>
    <row r="547" spans="1:6">
      <c r="A547" s="84"/>
      <c r="B547" s="85"/>
      <c r="C547" s="85"/>
      <c r="D547" s="85"/>
      <c r="E547" s="85"/>
      <c r="F547" s="85"/>
    </row>
    <row r="548" spans="1:6">
      <c r="A548" s="84"/>
      <c r="B548" s="85"/>
      <c r="C548" s="85"/>
      <c r="D548" s="85"/>
      <c r="E548" s="85"/>
      <c r="F548" s="85"/>
    </row>
    <row r="549" spans="1:6">
      <c r="A549" s="84"/>
      <c r="B549" s="85"/>
      <c r="C549" s="85"/>
      <c r="D549" s="85"/>
      <c r="E549" s="85"/>
      <c r="F549" s="85"/>
    </row>
    <row r="550" spans="1:6">
      <c r="A550" s="84"/>
      <c r="B550" s="85"/>
      <c r="C550" s="85"/>
      <c r="D550" s="85"/>
      <c r="E550" s="85"/>
      <c r="F550" s="85"/>
    </row>
    <row r="551" spans="1:6">
      <c r="A551" s="84"/>
      <c r="B551" s="85"/>
      <c r="C551" s="85"/>
      <c r="D551" s="85"/>
      <c r="E551" s="85"/>
      <c r="F551" s="85"/>
    </row>
    <row r="552" spans="1:6">
      <c r="A552" s="84"/>
      <c r="B552" s="85"/>
      <c r="C552" s="85"/>
      <c r="D552" s="85"/>
      <c r="E552" s="85"/>
      <c r="F552" s="85"/>
    </row>
    <row r="553" spans="1:6">
      <c r="A553" s="84"/>
      <c r="B553" s="85"/>
      <c r="C553" s="85"/>
      <c r="D553" s="85"/>
      <c r="E553" s="85"/>
      <c r="F553" s="85"/>
    </row>
    <row r="554" spans="1:6">
      <c r="A554" s="84"/>
      <c r="B554" s="85"/>
      <c r="C554" s="85"/>
      <c r="D554" s="85"/>
      <c r="E554" s="85"/>
      <c r="F554" s="85"/>
    </row>
    <row r="555" spans="1:6">
      <c r="A555" s="84"/>
      <c r="B555" s="85"/>
      <c r="C555" s="85"/>
      <c r="D555" s="85"/>
      <c r="E555" s="85"/>
      <c r="F555" s="85"/>
    </row>
    <row r="556" spans="1:6">
      <c r="A556" s="84"/>
      <c r="B556" s="85"/>
      <c r="C556" s="85"/>
      <c r="D556" s="85"/>
      <c r="E556" s="85"/>
      <c r="F556" s="85"/>
    </row>
    <row r="557" spans="1:6">
      <c r="A557" s="84"/>
      <c r="B557" s="85"/>
      <c r="C557" s="85"/>
      <c r="D557" s="85"/>
      <c r="E557" s="85"/>
      <c r="F557" s="85"/>
    </row>
    <row r="558" spans="1:6">
      <c r="A558" s="84"/>
      <c r="B558" s="85"/>
      <c r="C558" s="85"/>
      <c r="D558" s="85"/>
      <c r="E558" s="85"/>
      <c r="F558" s="85"/>
    </row>
    <row r="559" spans="1:6">
      <c r="A559" s="84"/>
      <c r="B559" s="85"/>
      <c r="C559" s="85"/>
      <c r="D559" s="85"/>
      <c r="E559" s="85"/>
      <c r="F559" s="85"/>
    </row>
    <row r="560" spans="1:6">
      <c r="A560" s="84"/>
      <c r="B560" s="85"/>
      <c r="C560" s="85"/>
      <c r="D560" s="85"/>
      <c r="E560" s="85"/>
      <c r="F560" s="85"/>
    </row>
    <row r="561" spans="1:6">
      <c r="A561" s="84"/>
      <c r="B561" s="85"/>
      <c r="C561" s="85"/>
      <c r="D561" s="85"/>
      <c r="E561" s="85"/>
      <c r="F561" s="85"/>
    </row>
    <row r="562" spans="1:6">
      <c r="A562" s="84"/>
      <c r="B562" s="85"/>
      <c r="C562" s="85"/>
      <c r="D562" s="85"/>
      <c r="E562" s="85"/>
      <c r="F562" s="85"/>
    </row>
    <row r="563" spans="1:6">
      <c r="A563" s="84"/>
      <c r="B563" s="85"/>
      <c r="C563" s="85"/>
      <c r="D563" s="85"/>
      <c r="E563" s="85"/>
      <c r="F563" s="85"/>
    </row>
    <row r="564" spans="1:6">
      <c r="A564" s="84"/>
      <c r="B564" s="85"/>
      <c r="C564" s="85"/>
      <c r="D564" s="85"/>
      <c r="E564" s="85"/>
      <c r="F564" s="85"/>
    </row>
    <row r="565" spans="1:6">
      <c r="A565" s="84"/>
      <c r="B565" s="85"/>
      <c r="C565" s="85"/>
      <c r="D565" s="85"/>
      <c r="E565" s="85"/>
      <c r="F565" s="85"/>
    </row>
    <row r="566" spans="1:6">
      <c r="A566" s="84"/>
      <c r="B566" s="85"/>
      <c r="C566" s="85"/>
      <c r="D566" s="85"/>
      <c r="E566" s="85"/>
      <c r="F566" s="85"/>
    </row>
    <row r="567" spans="1:6">
      <c r="A567" s="84"/>
      <c r="B567" s="85"/>
      <c r="C567" s="85"/>
      <c r="D567" s="85"/>
      <c r="E567" s="85"/>
      <c r="F567" s="85"/>
    </row>
    <row r="568" spans="1:6">
      <c r="A568" s="84"/>
      <c r="B568" s="85"/>
      <c r="C568" s="85"/>
      <c r="D568" s="85"/>
      <c r="E568" s="85"/>
      <c r="F568" s="85"/>
    </row>
    <row r="569" spans="1:6">
      <c r="A569" s="84"/>
      <c r="B569" s="85"/>
      <c r="C569" s="85"/>
      <c r="D569" s="85"/>
      <c r="E569" s="85"/>
      <c r="F569" s="85"/>
    </row>
    <row r="570" spans="1:6">
      <c r="A570" s="84"/>
      <c r="B570" s="85"/>
      <c r="C570" s="85"/>
      <c r="D570" s="85"/>
      <c r="E570" s="85"/>
      <c r="F570" s="85"/>
    </row>
    <row r="571" spans="1:6">
      <c r="A571" s="84"/>
      <c r="B571" s="85"/>
      <c r="C571" s="85"/>
      <c r="D571" s="85"/>
      <c r="E571" s="85"/>
      <c r="F571" s="85"/>
    </row>
    <row r="572" spans="1:6">
      <c r="A572" s="84"/>
      <c r="B572" s="85"/>
      <c r="C572" s="85"/>
      <c r="D572" s="85"/>
      <c r="E572" s="85"/>
      <c r="F572" s="85"/>
    </row>
    <row r="573" spans="1:6">
      <c r="A573" s="84"/>
      <c r="B573" s="85"/>
      <c r="C573" s="85"/>
      <c r="D573" s="85"/>
      <c r="E573" s="85"/>
      <c r="F573" s="85"/>
    </row>
    <row r="574" spans="1:6">
      <c r="A574" s="84"/>
      <c r="B574" s="85"/>
      <c r="C574" s="85"/>
      <c r="D574" s="85"/>
      <c r="E574" s="85"/>
      <c r="F574" s="85"/>
    </row>
    <row r="575" spans="1:6">
      <c r="A575" s="84"/>
      <c r="B575" s="85"/>
      <c r="C575" s="85"/>
      <c r="D575" s="85"/>
      <c r="E575" s="85"/>
      <c r="F575" s="85"/>
    </row>
    <row r="576" spans="1:6">
      <c r="A576" s="84"/>
      <c r="B576" s="85"/>
      <c r="C576" s="85"/>
      <c r="D576" s="85"/>
      <c r="E576" s="85"/>
      <c r="F576" s="85"/>
    </row>
    <row r="577" spans="1:6">
      <c r="A577" s="84"/>
      <c r="B577" s="85"/>
      <c r="C577" s="85"/>
      <c r="D577" s="85"/>
      <c r="E577" s="85"/>
      <c r="F577" s="85"/>
    </row>
    <row r="578" spans="1:6">
      <c r="A578" s="84"/>
      <c r="B578" s="85"/>
      <c r="C578" s="85"/>
      <c r="D578" s="85"/>
      <c r="E578" s="85"/>
      <c r="F578" s="85"/>
    </row>
    <row r="579" spans="1:6">
      <c r="A579" s="84"/>
      <c r="B579" s="85"/>
      <c r="C579" s="85"/>
      <c r="D579" s="85"/>
      <c r="E579" s="85"/>
      <c r="F579" s="85"/>
    </row>
    <row r="580" spans="1:6">
      <c r="A580" s="84"/>
      <c r="B580" s="85"/>
      <c r="C580" s="85"/>
      <c r="D580" s="85"/>
      <c r="E580" s="85"/>
      <c r="F580" s="85"/>
    </row>
    <row r="581" spans="1:6">
      <c r="A581" s="84"/>
      <c r="B581" s="85"/>
      <c r="C581" s="85"/>
      <c r="D581" s="85"/>
      <c r="E581" s="85"/>
      <c r="F581" s="85"/>
    </row>
    <row r="582" spans="1:6">
      <c r="A582" s="84"/>
      <c r="B582" s="85"/>
      <c r="C582" s="85"/>
      <c r="D582" s="85"/>
      <c r="E582" s="85"/>
      <c r="F582" s="85"/>
    </row>
    <row r="583" spans="1:6">
      <c r="A583" s="84"/>
      <c r="B583" s="85"/>
      <c r="C583" s="85"/>
      <c r="D583" s="85"/>
      <c r="E583" s="85"/>
      <c r="F583" s="85"/>
    </row>
    <row r="584" spans="1:6">
      <c r="A584" s="84"/>
      <c r="B584" s="85"/>
      <c r="C584" s="85"/>
      <c r="D584" s="85"/>
      <c r="E584" s="85"/>
      <c r="F584" s="85"/>
    </row>
    <row r="585" spans="1:6">
      <c r="A585" s="84"/>
      <c r="B585" s="85"/>
      <c r="C585" s="85"/>
      <c r="D585" s="85"/>
      <c r="E585" s="85"/>
      <c r="F585" s="85"/>
    </row>
    <row r="586" spans="1:6">
      <c r="A586" s="84"/>
      <c r="B586" s="85"/>
      <c r="C586" s="85"/>
      <c r="D586" s="85"/>
      <c r="E586" s="85"/>
      <c r="F586" s="85"/>
    </row>
    <row r="587" spans="1:6">
      <c r="A587" s="84"/>
      <c r="B587" s="85"/>
      <c r="C587" s="85"/>
      <c r="D587" s="85"/>
      <c r="E587" s="85"/>
      <c r="F587" s="85"/>
    </row>
    <row r="588" spans="1:6">
      <c r="A588" s="84"/>
      <c r="B588" s="85"/>
      <c r="C588" s="85"/>
      <c r="D588" s="85"/>
      <c r="E588" s="85"/>
      <c r="F588" s="85"/>
    </row>
    <row r="589" spans="1:6">
      <c r="A589" s="84"/>
      <c r="B589" s="85"/>
      <c r="C589" s="85"/>
      <c r="D589" s="85"/>
      <c r="E589" s="85"/>
      <c r="F589" s="85"/>
    </row>
    <row r="590" spans="1:6">
      <c r="A590" s="84"/>
      <c r="B590" s="85"/>
      <c r="C590" s="85"/>
      <c r="D590" s="85"/>
      <c r="E590" s="85"/>
      <c r="F590" s="85"/>
    </row>
    <row r="591" spans="1:6">
      <c r="A591" s="84"/>
      <c r="B591" s="85"/>
      <c r="C591" s="85"/>
      <c r="D591" s="85"/>
      <c r="E591" s="85"/>
      <c r="F591" s="85"/>
    </row>
    <row r="592" spans="1:6">
      <c r="A592" s="84"/>
      <c r="B592" s="85"/>
      <c r="C592" s="85"/>
      <c r="D592" s="85"/>
      <c r="E592" s="85"/>
      <c r="F592" s="85"/>
    </row>
    <row r="593" spans="1:6">
      <c r="A593" s="84"/>
      <c r="B593" s="85"/>
      <c r="C593" s="85"/>
      <c r="D593" s="85"/>
      <c r="E593" s="85"/>
      <c r="F593" s="85"/>
    </row>
    <row r="594" spans="1:6">
      <c r="A594" s="84"/>
      <c r="B594" s="85"/>
      <c r="C594" s="85"/>
      <c r="D594" s="85"/>
      <c r="E594" s="85"/>
      <c r="F594" s="85"/>
    </row>
    <row r="595" spans="1:6">
      <c r="A595" s="84"/>
      <c r="B595" s="85"/>
      <c r="C595" s="85"/>
      <c r="D595" s="85"/>
      <c r="E595" s="85"/>
      <c r="F595" s="85"/>
    </row>
    <row r="596" spans="1:6">
      <c r="A596" s="84"/>
      <c r="B596" s="85"/>
      <c r="C596" s="85"/>
      <c r="D596" s="85"/>
      <c r="E596" s="85"/>
      <c r="F596" s="85"/>
    </row>
    <row r="597" spans="1:6">
      <c r="A597" s="84"/>
      <c r="B597" s="85"/>
      <c r="C597" s="85"/>
      <c r="D597" s="85"/>
      <c r="E597" s="85"/>
      <c r="F597" s="85"/>
    </row>
    <row r="598" spans="1:6">
      <c r="A598" s="84"/>
      <c r="B598" s="85"/>
      <c r="C598" s="85"/>
      <c r="D598" s="85"/>
      <c r="E598" s="85"/>
      <c r="F598" s="85"/>
    </row>
    <row r="599" spans="1:6">
      <c r="A599" s="84"/>
      <c r="B599" s="85"/>
      <c r="C599" s="85"/>
      <c r="D599" s="85"/>
      <c r="E599" s="85"/>
      <c r="F599" s="85"/>
    </row>
    <row r="600" spans="1:6">
      <c r="A600" s="84"/>
      <c r="B600" s="85"/>
      <c r="C600" s="85"/>
      <c r="D600" s="85"/>
      <c r="E600" s="85"/>
      <c r="F600" s="85"/>
    </row>
    <row r="601" spans="1:6">
      <c r="A601" s="84"/>
      <c r="B601" s="85"/>
      <c r="C601" s="85"/>
      <c r="D601" s="85"/>
      <c r="E601" s="85"/>
      <c r="F601" s="85"/>
    </row>
    <row r="602" spans="1:6">
      <c r="A602" s="84"/>
      <c r="B602" s="85"/>
      <c r="C602" s="85"/>
      <c r="D602" s="85"/>
      <c r="E602" s="85"/>
      <c r="F602" s="85"/>
    </row>
    <row r="603" spans="1:6">
      <c r="A603" s="84"/>
      <c r="B603" s="85"/>
      <c r="C603" s="85"/>
      <c r="D603" s="85"/>
      <c r="E603" s="85"/>
      <c r="F603" s="85"/>
    </row>
    <row r="604" spans="1:6">
      <c r="A604" s="84"/>
      <c r="B604" s="85"/>
      <c r="C604" s="85"/>
      <c r="D604" s="85"/>
      <c r="E604" s="85"/>
      <c r="F604" s="85"/>
    </row>
    <row r="605" spans="1:6">
      <c r="A605" s="84"/>
      <c r="B605" s="85"/>
      <c r="C605" s="85"/>
      <c r="D605" s="85"/>
      <c r="E605" s="85"/>
      <c r="F605" s="85"/>
    </row>
    <row r="606" spans="1:6">
      <c r="A606" s="84"/>
      <c r="B606" s="85"/>
      <c r="C606" s="85"/>
      <c r="D606" s="85"/>
      <c r="E606" s="85"/>
      <c r="F606" s="85"/>
    </row>
    <row r="607" spans="1:6">
      <c r="A607" s="84"/>
      <c r="B607" s="85"/>
      <c r="C607" s="85"/>
      <c r="D607" s="85"/>
      <c r="E607" s="85"/>
      <c r="F607" s="85"/>
    </row>
    <row r="608" spans="1:6">
      <c r="A608" s="84"/>
      <c r="B608" s="85"/>
      <c r="C608" s="85"/>
      <c r="D608" s="85"/>
      <c r="E608" s="85"/>
      <c r="F608" s="85"/>
    </row>
    <row r="609" spans="1:6">
      <c r="A609" s="84"/>
      <c r="B609" s="85"/>
      <c r="C609" s="85"/>
      <c r="D609" s="85"/>
      <c r="E609" s="85"/>
      <c r="F609" s="85"/>
    </row>
    <row r="610" spans="1:6">
      <c r="A610" s="84"/>
      <c r="B610" s="85"/>
      <c r="C610" s="85"/>
      <c r="D610" s="85"/>
      <c r="E610" s="85"/>
      <c r="F610" s="85"/>
    </row>
    <row r="611" spans="1:6">
      <c r="A611" s="84"/>
      <c r="B611" s="85"/>
      <c r="C611" s="85"/>
      <c r="D611" s="85"/>
      <c r="E611" s="85"/>
      <c r="F611" s="85"/>
    </row>
    <row r="612" spans="1:6">
      <c r="A612" s="84"/>
      <c r="B612" s="85"/>
      <c r="C612" s="85"/>
      <c r="D612" s="85"/>
      <c r="E612" s="85"/>
      <c r="F612" s="85"/>
    </row>
    <row r="613" spans="1:6">
      <c r="A613" s="84"/>
      <c r="B613" s="85"/>
      <c r="C613" s="85"/>
      <c r="D613" s="85"/>
      <c r="E613" s="85"/>
      <c r="F613" s="85"/>
    </row>
    <row r="614" spans="1:6">
      <c r="A614" s="84"/>
      <c r="B614" s="85"/>
      <c r="C614" s="85"/>
      <c r="D614" s="85"/>
      <c r="E614" s="85"/>
      <c r="F614" s="85"/>
    </row>
    <row r="615" spans="1:6">
      <c r="A615" s="84"/>
      <c r="B615" s="85"/>
      <c r="C615" s="85"/>
      <c r="D615" s="85"/>
      <c r="E615" s="85"/>
      <c r="F615" s="85"/>
    </row>
    <row r="616" spans="1:6">
      <c r="A616" s="84"/>
      <c r="B616" s="85"/>
      <c r="C616" s="85"/>
      <c r="D616" s="85"/>
      <c r="E616" s="85"/>
      <c r="F616" s="85"/>
    </row>
    <row r="617" spans="1:6">
      <c r="A617" s="84"/>
      <c r="B617" s="85"/>
      <c r="C617" s="85"/>
      <c r="D617" s="85"/>
      <c r="E617" s="85"/>
      <c r="F617" s="85"/>
    </row>
    <row r="618" spans="1:6">
      <c r="A618" s="84"/>
      <c r="B618" s="85"/>
      <c r="C618" s="85"/>
      <c r="D618" s="85"/>
      <c r="E618" s="85"/>
      <c r="F618" s="85"/>
    </row>
    <row r="619" spans="1:6">
      <c r="A619" s="84"/>
      <c r="B619" s="85"/>
      <c r="C619" s="85"/>
      <c r="D619" s="85"/>
      <c r="E619" s="85"/>
      <c r="F619" s="85"/>
    </row>
    <row r="620" spans="1:6">
      <c r="A620" s="84"/>
      <c r="B620" s="85"/>
      <c r="C620" s="85"/>
      <c r="D620" s="85"/>
      <c r="E620" s="85"/>
      <c r="F620" s="85"/>
    </row>
    <row r="621" spans="1:6">
      <c r="A621" s="84"/>
      <c r="B621" s="85"/>
      <c r="C621" s="85"/>
      <c r="D621" s="85"/>
      <c r="E621" s="85"/>
      <c r="F621" s="85"/>
    </row>
    <row r="622" spans="1:6">
      <c r="A622" s="84"/>
      <c r="B622" s="85"/>
      <c r="C622" s="85"/>
      <c r="D622" s="85"/>
      <c r="E622" s="85"/>
      <c r="F622" s="85"/>
    </row>
    <row r="623" spans="1:6">
      <c r="A623" s="84"/>
      <c r="B623" s="85"/>
      <c r="C623" s="85"/>
      <c r="D623" s="85"/>
      <c r="E623" s="85"/>
      <c r="F623" s="85"/>
    </row>
    <row r="624" spans="1:6">
      <c r="A624" s="84"/>
      <c r="B624" s="85"/>
      <c r="C624" s="85"/>
      <c r="D624" s="85"/>
      <c r="E624" s="85"/>
      <c r="F624" s="85"/>
    </row>
    <row r="625" spans="1:6">
      <c r="A625" s="84"/>
      <c r="B625" s="85"/>
      <c r="C625" s="85"/>
      <c r="D625" s="85"/>
      <c r="E625" s="85"/>
      <c r="F625" s="85"/>
    </row>
    <row r="626" spans="1:6">
      <c r="A626" s="84"/>
      <c r="B626" s="85"/>
      <c r="C626" s="85"/>
      <c r="D626" s="85"/>
      <c r="E626" s="85"/>
      <c r="F626" s="85"/>
    </row>
    <row r="627" spans="1:6">
      <c r="A627" s="84"/>
      <c r="B627" s="85"/>
      <c r="C627" s="85"/>
      <c r="D627" s="85"/>
      <c r="E627" s="85"/>
      <c r="F627" s="85"/>
    </row>
    <row r="628" spans="1:6">
      <c r="A628" s="84"/>
      <c r="B628" s="85"/>
      <c r="C628" s="85"/>
      <c r="D628" s="85"/>
      <c r="E628" s="85"/>
      <c r="F628" s="85"/>
    </row>
    <row r="629" spans="1:6">
      <c r="A629" s="84"/>
      <c r="B629" s="85"/>
      <c r="C629" s="85"/>
      <c r="D629" s="85"/>
      <c r="E629" s="85"/>
      <c r="F629" s="85"/>
    </row>
    <row r="630" spans="1:6">
      <c r="A630" s="84"/>
      <c r="B630" s="85"/>
      <c r="C630" s="85"/>
      <c r="D630" s="85"/>
      <c r="E630" s="85"/>
      <c r="F630" s="85"/>
    </row>
    <row r="631" spans="1:6">
      <c r="A631" s="84"/>
      <c r="B631" s="85"/>
      <c r="C631" s="85"/>
      <c r="D631" s="85"/>
      <c r="E631" s="85"/>
      <c r="F631" s="85"/>
    </row>
    <row r="632" spans="1:6">
      <c r="A632" s="84"/>
      <c r="B632" s="85"/>
      <c r="C632" s="85"/>
      <c r="D632" s="85"/>
      <c r="E632" s="85"/>
      <c r="F632" s="85"/>
    </row>
    <row r="633" spans="1:6">
      <c r="A633" s="84"/>
      <c r="B633" s="85"/>
      <c r="C633" s="85"/>
      <c r="D633" s="85"/>
      <c r="E633" s="85"/>
      <c r="F633" s="85"/>
    </row>
    <row r="634" spans="1:6">
      <c r="A634" s="84"/>
      <c r="B634" s="85"/>
      <c r="C634" s="85"/>
      <c r="D634" s="85"/>
      <c r="E634" s="85"/>
      <c r="F634" s="85"/>
    </row>
    <row r="635" spans="1:6">
      <c r="A635" s="84"/>
      <c r="B635" s="85"/>
      <c r="C635" s="85"/>
      <c r="D635" s="85"/>
      <c r="E635" s="85"/>
      <c r="F635" s="85"/>
    </row>
    <row r="636" spans="1:6">
      <c r="A636" s="84"/>
      <c r="B636" s="85"/>
      <c r="C636" s="85"/>
      <c r="D636" s="85"/>
      <c r="E636" s="85"/>
      <c r="F636" s="85"/>
    </row>
    <row r="637" spans="1:6">
      <c r="A637" s="84"/>
      <c r="B637" s="85"/>
      <c r="C637" s="85"/>
      <c r="D637" s="85"/>
      <c r="E637" s="85"/>
      <c r="F637" s="85"/>
    </row>
    <row r="638" spans="1:6">
      <c r="A638" s="84"/>
      <c r="B638" s="85"/>
      <c r="C638" s="85"/>
      <c r="D638" s="85"/>
      <c r="E638" s="85"/>
      <c r="F638" s="85"/>
    </row>
    <row r="639" spans="1:6">
      <c r="A639" s="84"/>
      <c r="B639" s="85"/>
      <c r="C639" s="85"/>
      <c r="D639" s="85"/>
      <c r="E639" s="85"/>
      <c r="F639" s="85"/>
    </row>
    <row r="640" spans="1:6">
      <c r="A640" s="84"/>
      <c r="B640" s="85"/>
      <c r="C640" s="85"/>
      <c r="D640" s="85"/>
      <c r="E640" s="85"/>
      <c r="F640" s="85"/>
    </row>
    <row r="641" spans="1:6">
      <c r="A641" s="84"/>
      <c r="B641" s="85"/>
      <c r="C641" s="85"/>
      <c r="D641" s="85"/>
      <c r="E641" s="85"/>
      <c r="F641" s="85"/>
    </row>
    <row r="642" spans="1:6">
      <c r="A642" s="84"/>
      <c r="B642" s="85"/>
      <c r="C642" s="85"/>
      <c r="D642" s="85"/>
      <c r="E642" s="85"/>
      <c r="F642" s="85"/>
    </row>
    <row r="643" spans="1:6">
      <c r="A643" s="84"/>
      <c r="B643" s="85"/>
      <c r="C643" s="85"/>
      <c r="D643" s="85"/>
      <c r="E643" s="85"/>
      <c r="F643" s="85"/>
    </row>
    <row r="644" spans="1:6">
      <c r="A644" s="84"/>
      <c r="B644" s="85"/>
      <c r="C644" s="85"/>
      <c r="D644" s="85"/>
      <c r="E644" s="85"/>
      <c r="F644" s="85"/>
    </row>
    <row r="645" spans="1:6">
      <c r="A645" s="84"/>
      <c r="B645" s="85"/>
      <c r="C645" s="85"/>
      <c r="D645" s="85"/>
      <c r="E645" s="85"/>
      <c r="F645" s="85"/>
    </row>
    <row r="646" spans="1:6">
      <c r="A646" s="84"/>
      <c r="B646" s="85"/>
      <c r="C646" s="85"/>
      <c r="D646" s="85"/>
      <c r="E646" s="85"/>
      <c r="F646" s="85"/>
    </row>
    <row r="647" spans="1:6">
      <c r="A647" s="84"/>
      <c r="B647" s="85"/>
      <c r="C647" s="85"/>
      <c r="D647" s="85"/>
      <c r="E647" s="85"/>
      <c r="F647" s="85"/>
    </row>
    <row r="648" spans="1:6">
      <c r="A648" s="84"/>
      <c r="B648" s="85"/>
      <c r="C648" s="85"/>
      <c r="D648" s="85"/>
      <c r="E648" s="85"/>
      <c r="F648" s="85"/>
    </row>
    <row r="649" spans="1:6">
      <c r="A649" s="84"/>
      <c r="B649" s="85"/>
      <c r="C649" s="85"/>
      <c r="D649" s="85"/>
      <c r="E649" s="85"/>
      <c r="F649" s="85"/>
    </row>
    <row r="650" spans="1:6">
      <c r="A650" s="84"/>
      <c r="B650" s="85"/>
      <c r="C650" s="85"/>
      <c r="D650" s="85"/>
      <c r="E650" s="85"/>
      <c r="F650" s="85"/>
    </row>
    <row r="651" spans="1:6">
      <c r="A651" s="84"/>
      <c r="B651" s="85"/>
      <c r="C651" s="85"/>
      <c r="D651" s="85"/>
      <c r="E651" s="85"/>
      <c r="F651" s="85"/>
    </row>
    <row r="652" spans="1:6">
      <c r="A652" s="84"/>
      <c r="B652" s="85"/>
      <c r="C652" s="85"/>
      <c r="D652" s="85"/>
      <c r="E652" s="85"/>
      <c r="F652" s="85"/>
    </row>
    <row r="653" spans="1:6">
      <c r="A653" s="84"/>
      <c r="B653" s="85"/>
      <c r="C653" s="85"/>
      <c r="D653" s="85"/>
      <c r="E653" s="85"/>
      <c r="F653" s="85"/>
    </row>
    <row r="654" spans="1:6">
      <c r="A654" s="84"/>
      <c r="B654" s="85"/>
      <c r="C654" s="85"/>
      <c r="D654" s="85"/>
      <c r="E654" s="85"/>
      <c r="F654" s="85"/>
    </row>
    <row r="655" spans="1:6">
      <c r="A655" s="84"/>
      <c r="B655" s="85"/>
      <c r="C655" s="85"/>
      <c r="D655" s="85"/>
      <c r="E655" s="85"/>
      <c r="F655" s="85"/>
    </row>
    <row r="656" spans="1:6">
      <c r="A656" s="84"/>
      <c r="B656" s="85"/>
      <c r="C656" s="85"/>
      <c r="D656" s="85"/>
      <c r="E656" s="85"/>
      <c r="F656" s="85"/>
    </row>
    <row r="657" spans="1:6">
      <c r="A657" s="84"/>
      <c r="B657" s="85"/>
      <c r="C657" s="85"/>
      <c r="D657" s="85"/>
      <c r="E657" s="85"/>
      <c r="F657" s="85"/>
    </row>
    <row r="658" spans="1:6">
      <c r="A658" s="84"/>
      <c r="B658" s="85"/>
      <c r="C658" s="85"/>
      <c r="D658" s="85"/>
      <c r="E658" s="85"/>
      <c r="F658" s="85"/>
    </row>
    <row r="659" spans="1:6">
      <c r="A659" s="84"/>
      <c r="B659" s="85"/>
      <c r="C659" s="85"/>
      <c r="D659" s="85"/>
      <c r="E659" s="85"/>
      <c r="F659" s="85"/>
    </row>
    <row r="660" spans="1:6">
      <c r="A660" s="84"/>
      <c r="B660" s="85"/>
      <c r="C660" s="85"/>
      <c r="D660" s="85"/>
      <c r="E660" s="85"/>
      <c r="F660" s="85"/>
    </row>
    <row r="661" spans="1:6">
      <c r="A661" s="84"/>
      <c r="B661" s="85"/>
      <c r="C661" s="85"/>
      <c r="D661" s="85"/>
      <c r="E661" s="85"/>
      <c r="F661" s="85"/>
    </row>
    <row r="662" spans="1:6">
      <c r="A662" s="84"/>
      <c r="B662" s="85"/>
      <c r="C662" s="85"/>
      <c r="D662" s="85"/>
      <c r="E662" s="85"/>
      <c r="F662" s="85"/>
    </row>
    <row r="663" spans="1:6">
      <c r="A663" s="84"/>
      <c r="B663" s="85"/>
      <c r="C663" s="85"/>
      <c r="D663" s="85"/>
      <c r="E663" s="85"/>
      <c r="F663" s="85"/>
    </row>
    <row r="664" spans="1:6">
      <c r="A664" s="84"/>
      <c r="B664" s="85"/>
      <c r="C664" s="85"/>
      <c r="D664" s="85"/>
      <c r="E664" s="85"/>
      <c r="F664" s="85"/>
    </row>
    <row r="665" spans="1:6">
      <c r="A665" s="84"/>
      <c r="B665" s="85"/>
      <c r="C665" s="85"/>
      <c r="D665" s="85"/>
      <c r="E665" s="85"/>
      <c r="F665" s="85"/>
    </row>
    <row r="666" spans="1:6">
      <c r="A666" s="84"/>
      <c r="B666" s="85"/>
      <c r="C666" s="85"/>
      <c r="D666" s="85"/>
      <c r="E666" s="85"/>
      <c r="F666" s="85"/>
    </row>
    <row r="667" spans="1:6">
      <c r="A667" s="84"/>
      <c r="B667" s="85"/>
      <c r="C667" s="85"/>
      <c r="D667" s="85"/>
      <c r="E667" s="85"/>
      <c r="F667" s="85"/>
    </row>
    <row r="668" spans="1:6">
      <c r="A668" s="84"/>
      <c r="B668" s="85"/>
      <c r="C668" s="85"/>
      <c r="D668" s="85"/>
      <c r="E668" s="85"/>
      <c r="F668" s="85"/>
    </row>
    <row r="669" spans="1:6">
      <c r="A669" s="84"/>
      <c r="B669" s="85"/>
      <c r="C669" s="85"/>
      <c r="D669" s="85"/>
      <c r="E669" s="85"/>
      <c r="F669" s="85"/>
    </row>
    <row r="670" spans="1:6">
      <c r="A670" s="84"/>
      <c r="B670" s="85"/>
      <c r="C670" s="85"/>
      <c r="D670" s="85"/>
      <c r="E670" s="85"/>
      <c r="F670" s="85"/>
    </row>
    <row r="671" spans="1:6">
      <c r="A671" s="84"/>
      <c r="B671" s="85"/>
      <c r="C671" s="85"/>
      <c r="D671" s="85"/>
      <c r="E671" s="85"/>
      <c r="F671" s="85"/>
    </row>
    <row r="672" spans="1:6">
      <c r="A672" s="84"/>
      <c r="B672" s="85"/>
      <c r="C672" s="85"/>
      <c r="D672" s="85"/>
      <c r="E672" s="85"/>
      <c r="F672" s="85"/>
    </row>
    <row r="673" spans="1:6">
      <c r="A673" s="84"/>
      <c r="B673" s="85"/>
      <c r="C673" s="85"/>
      <c r="D673" s="85"/>
      <c r="E673" s="85"/>
      <c r="F673" s="85"/>
    </row>
    <row r="674" spans="1:6">
      <c r="A674" s="84"/>
      <c r="B674" s="85"/>
      <c r="C674" s="85"/>
      <c r="D674" s="85"/>
      <c r="E674" s="85"/>
      <c r="F674" s="85"/>
    </row>
    <row r="675" spans="1:6">
      <c r="A675" s="84"/>
      <c r="B675" s="85"/>
      <c r="C675" s="85"/>
      <c r="D675" s="85"/>
      <c r="E675" s="85"/>
      <c r="F675" s="85"/>
    </row>
    <row r="676" spans="1:6">
      <c r="A676" s="84"/>
      <c r="B676" s="85"/>
      <c r="C676" s="85"/>
      <c r="D676" s="85"/>
      <c r="E676" s="85"/>
      <c r="F676" s="85"/>
    </row>
    <row r="677" spans="1:6">
      <c r="A677" s="84"/>
      <c r="B677" s="85"/>
      <c r="C677" s="85"/>
      <c r="D677" s="85"/>
      <c r="E677" s="85"/>
      <c r="F677" s="85"/>
    </row>
    <row r="678" spans="1:6">
      <c r="A678" s="84"/>
      <c r="B678" s="85"/>
      <c r="C678" s="85"/>
      <c r="D678" s="85"/>
      <c r="E678" s="85"/>
      <c r="F678" s="85"/>
    </row>
    <row r="679" spans="1:6">
      <c r="A679" s="84"/>
      <c r="B679" s="85"/>
      <c r="C679" s="85"/>
      <c r="D679" s="85"/>
      <c r="E679" s="85"/>
      <c r="F679" s="85"/>
    </row>
    <row r="680" spans="1:6">
      <c r="A680" s="84"/>
      <c r="B680" s="85"/>
      <c r="C680" s="85"/>
      <c r="D680" s="85"/>
      <c r="E680" s="85"/>
      <c r="F680" s="85"/>
    </row>
    <row r="681" spans="1:6">
      <c r="A681" s="84"/>
      <c r="B681" s="85"/>
      <c r="C681" s="85"/>
      <c r="D681" s="85"/>
      <c r="E681" s="85"/>
      <c r="F681" s="85"/>
    </row>
    <row r="682" spans="1:6">
      <c r="A682" s="84"/>
      <c r="B682" s="85"/>
      <c r="C682" s="85"/>
      <c r="D682" s="85"/>
      <c r="E682" s="85"/>
      <c r="F682" s="85"/>
    </row>
    <row r="683" spans="1:6">
      <c r="A683" s="84"/>
      <c r="B683" s="85"/>
      <c r="C683" s="85"/>
      <c r="D683" s="85"/>
      <c r="E683" s="85"/>
      <c r="F683" s="85"/>
    </row>
    <row r="684" spans="1:6">
      <c r="A684" s="84"/>
      <c r="B684" s="85"/>
      <c r="C684" s="85"/>
      <c r="D684" s="85"/>
      <c r="E684" s="85"/>
      <c r="F684" s="85"/>
    </row>
    <row r="685" spans="1:6">
      <c r="A685" s="84"/>
      <c r="B685" s="85"/>
      <c r="C685" s="85"/>
      <c r="D685" s="85"/>
      <c r="E685" s="85"/>
      <c r="F685" s="85"/>
    </row>
    <row r="686" spans="1:6">
      <c r="A686" s="84"/>
      <c r="B686" s="85"/>
      <c r="C686" s="85"/>
      <c r="D686" s="85"/>
      <c r="E686" s="85"/>
      <c r="F686" s="85"/>
    </row>
    <row r="687" spans="1:6">
      <c r="A687" s="84"/>
      <c r="B687" s="85"/>
      <c r="C687" s="85"/>
      <c r="D687" s="85"/>
      <c r="E687" s="85"/>
      <c r="F687" s="85"/>
    </row>
    <row r="688" spans="1:6">
      <c r="A688" s="84"/>
      <c r="B688" s="85"/>
      <c r="C688" s="85"/>
      <c r="D688" s="85"/>
      <c r="E688" s="85"/>
      <c r="F688" s="85"/>
    </row>
    <row r="689" spans="1:6">
      <c r="A689" s="84"/>
      <c r="B689" s="85"/>
      <c r="C689" s="85"/>
      <c r="D689" s="85"/>
      <c r="E689" s="85"/>
      <c r="F689" s="85"/>
    </row>
    <row r="690" spans="1:6">
      <c r="A690" s="84"/>
      <c r="B690" s="85"/>
      <c r="C690" s="85"/>
      <c r="D690" s="85"/>
      <c r="E690" s="85"/>
      <c r="F690" s="85"/>
    </row>
    <row r="691" spans="1:6">
      <c r="A691" s="84"/>
      <c r="B691" s="85"/>
      <c r="C691" s="85"/>
      <c r="D691" s="85"/>
      <c r="E691" s="85"/>
      <c r="F691" s="85"/>
    </row>
    <row r="692" spans="1:6">
      <c r="A692" s="84"/>
      <c r="B692" s="85"/>
      <c r="C692" s="85"/>
      <c r="D692" s="85"/>
      <c r="E692" s="85"/>
      <c r="F692" s="85"/>
    </row>
    <row r="693" spans="1:6">
      <c r="A693" s="84"/>
      <c r="B693" s="85"/>
      <c r="C693" s="85"/>
      <c r="D693" s="85"/>
      <c r="E693" s="85"/>
      <c r="F693" s="85"/>
    </row>
    <row r="694" spans="1:6">
      <c r="A694" s="84"/>
      <c r="B694" s="85"/>
      <c r="C694" s="85"/>
      <c r="D694" s="85"/>
      <c r="E694" s="85"/>
      <c r="F694" s="85"/>
    </row>
    <row r="695" spans="1:6">
      <c r="A695" s="84"/>
      <c r="B695" s="85"/>
      <c r="C695" s="85"/>
      <c r="D695" s="85"/>
      <c r="E695" s="85"/>
      <c r="F695" s="85"/>
    </row>
    <row r="696" spans="1:6">
      <c r="A696" s="84"/>
      <c r="B696" s="85"/>
      <c r="C696" s="85"/>
      <c r="D696" s="85"/>
      <c r="E696" s="85"/>
      <c r="F696" s="85"/>
    </row>
    <row r="697" spans="1:6">
      <c r="A697" s="84"/>
      <c r="B697" s="85"/>
      <c r="C697" s="85"/>
      <c r="D697" s="85"/>
      <c r="E697" s="85"/>
      <c r="F697" s="85"/>
    </row>
    <row r="698" spans="1:6">
      <c r="A698" s="84"/>
      <c r="B698" s="85"/>
      <c r="C698" s="85"/>
      <c r="D698" s="85"/>
      <c r="E698" s="85"/>
      <c r="F698" s="85"/>
    </row>
    <row r="699" spans="1:6">
      <c r="A699" s="84"/>
      <c r="B699" s="85"/>
      <c r="C699" s="85"/>
      <c r="D699" s="85"/>
      <c r="E699" s="85"/>
      <c r="F699" s="85"/>
    </row>
    <row r="700" spans="1:6">
      <c r="A700" s="84"/>
      <c r="B700" s="85"/>
      <c r="C700" s="85"/>
      <c r="D700" s="85"/>
      <c r="E700" s="85"/>
      <c r="F700" s="85"/>
    </row>
    <row r="701" spans="1:6">
      <c r="A701" s="84"/>
      <c r="B701" s="85"/>
      <c r="C701" s="85"/>
      <c r="D701" s="85"/>
      <c r="E701" s="85"/>
      <c r="F701" s="85"/>
    </row>
    <row r="702" spans="1:6">
      <c r="A702" s="84"/>
      <c r="B702" s="85"/>
      <c r="C702" s="85"/>
      <c r="D702" s="85"/>
      <c r="E702" s="85"/>
      <c r="F702" s="85"/>
    </row>
    <row r="703" spans="1:6">
      <c r="A703" s="84"/>
      <c r="B703" s="85"/>
      <c r="C703" s="85"/>
      <c r="D703" s="85"/>
      <c r="E703" s="85"/>
      <c r="F703" s="85"/>
    </row>
    <row r="704" spans="1:6">
      <c r="A704" s="84"/>
      <c r="B704" s="85"/>
      <c r="C704" s="85"/>
      <c r="D704" s="85"/>
      <c r="E704" s="85"/>
      <c r="F704" s="85"/>
    </row>
    <row r="705" spans="1:6">
      <c r="A705" s="84"/>
      <c r="B705" s="85"/>
      <c r="C705" s="85"/>
      <c r="D705" s="85"/>
      <c r="E705" s="85"/>
      <c r="F705" s="85"/>
    </row>
    <row r="706" spans="1:6">
      <c r="A706" s="84"/>
      <c r="B706" s="85"/>
      <c r="C706" s="85"/>
      <c r="D706" s="85"/>
      <c r="E706" s="85"/>
      <c r="F706" s="85"/>
    </row>
    <row r="707" spans="1:6">
      <c r="A707" s="84"/>
      <c r="B707" s="85"/>
      <c r="C707" s="85"/>
      <c r="D707" s="85"/>
      <c r="E707" s="85"/>
      <c r="F707" s="85"/>
    </row>
    <row r="708" spans="1:6">
      <c r="A708" s="84"/>
      <c r="B708" s="85"/>
      <c r="C708" s="85"/>
      <c r="D708" s="85"/>
      <c r="E708" s="85"/>
      <c r="F708" s="85"/>
    </row>
    <row r="709" spans="1:6">
      <c r="A709" s="84"/>
      <c r="B709" s="85"/>
      <c r="C709" s="85"/>
      <c r="D709" s="85"/>
      <c r="E709" s="85"/>
      <c r="F709" s="85"/>
    </row>
    <row r="710" spans="1:6">
      <c r="A710" s="84"/>
      <c r="B710" s="85"/>
      <c r="C710" s="85"/>
      <c r="D710" s="85"/>
      <c r="E710" s="85"/>
      <c r="F710" s="85"/>
    </row>
    <row r="711" spans="1:6">
      <c r="A711" s="84"/>
      <c r="B711" s="85"/>
      <c r="C711" s="85"/>
      <c r="D711" s="85"/>
      <c r="E711" s="85"/>
      <c r="F711" s="85"/>
    </row>
    <row r="712" spans="1:6">
      <c r="A712" s="84"/>
      <c r="B712" s="85"/>
      <c r="C712" s="85"/>
      <c r="D712" s="85"/>
      <c r="E712" s="85"/>
      <c r="F712" s="85"/>
    </row>
    <row r="713" spans="1:6">
      <c r="A713" s="84"/>
      <c r="B713" s="85"/>
      <c r="C713" s="85"/>
      <c r="D713" s="85"/>
      <c r="E713" s="85"/>
      <c r="F713" s="85"/>
    </row>
    <row r="714" spans="1:6">
      <c r="A714" s="84"/>
      <c r="B714" s="85"/>
      <c r="C714" s="85"/>
      <c r="D714" s="85"/>
      <c r="E714" s="85"/>
      <c r="F714" s="85"/>
    </row>
    <row r="715" spans="1:6">
      <c r="A715" s="84"/>
      <c r="B715" s="85"/>
      <c r="C715" s="85"/>
      <c r="D715" s="85"/>
      <c r="E715" s="85"/>
      <c r="F715" s="85"/>
    </row>
    <row r="716" spans="1:6">
      <c r="A716" s="84"/>
      <c r="B716" s="85"/>
      <c r="C716" s="85"/>
      <c r="D716" s="85"/>
      <c r="E716" s="85"/>
      <c r="F716" s="85"/>
    </row>
    <row r="717" spans="1:6">
      <c r="A717" s="84"/>
      <c r="B717" s="85"/>
      <c r="C717" s="85"/>
      <c r="D717" s="85"/>
      <c r="E717" s="85"/>
      <c r="F717" s="85"/>
    </row>
    <row r="718" spans="1:6">
      <c r="A718" s="84"/>
      <c r="B718" s="85"/>
      <c r="C718" s="85"/>
      <c r="D718" s="85"/>
      <c r="E718" s="85"/>
      <c r="F718" s="85"/>
    </row>
    <row r="719" spans="1:6">
      <c r="A719" s="84"/>
      <c r="B719" s="85"/>
      <c r="C719" s="85"/>
      <c r="D719" s="85"/>
      <c r="E719" s="85"/>
      <c r="F719" s="85"/>
    </row>
    <row r="720" spans="1:6">
      <c r="A720" s="84"/>
      <c r="B720" s="85"/>
      <c r="C720" s="85"/>
      <c r="D720" s="85"/>
      <c r="E720" s="85"/>
      <c r="F720" s="85"/>
    </row>
    <row r="721" spans="1:6">
      <c r="A721" s="84"/>
      <c r="B721" s="85"/>
      <c r="C721" s="85"/>
      <c r="D721" s="85"/>
      <c r="E721" s="85"/>
      <c r="F721" s="85"/>
    </row>
    <row r="722" spans="1:6">
      <c r="A722" s="84"/>
      <c r="B722" s="85"/>
      <c r="C722" s="85"/>
      <c r="D722" s="85"/>
      <c r="E722" s="85"/>
      <c r="F722" s="85"/>
    </row>
    <row r="723" spans="1:6">
      <c r="A723" s="84"/>
      <c r="B723" s="85"/>
      <c r="C723" s="85"/>
      <c r="D723" s="85"/>
      <c r="E723" s="85"/>
      <c r="F723" s="85"/>
    </row>
    <row r="724" spans="1:6">
      <c r="A724" s="84"/>
      <c r="B724" s="85"/>
      <c r="C724" s="85"/>
      <c r="D724" s="85"/>
      <c r="E724" s="85"/>
      <c r="F724" s="85"/>
    </row>
    <row r="725" spans="1:6">
      <c r="A725" s="84"/>
      <c r="B725" s="85"/>
      <c r="C725" s="85"/>
      <c r="D725" s="85"/>
      <c r="E725" s="85"/>
      <c r="F725" s="85"/>
    </row>
    <row r="726" spans="1:6">
      <c r="A726" s="84"/>
      <c r="B726" s="85"/>
      <c r="C726" s="85"/>
      <c r="D726" s="85"/>
      <c r="E726" s="85"/>
      <c r="F726" s="85"/>
    </row>
    <row r="727" spans="1:6">
      <c r="A727" s="84"/>
      <c r="B727" s="85"/>
      <c r="C727" s="85"/>
      <c r="D727" s="85"/>
      <c r="E727" s="85"/>
      <c r="F727" s="85"/>
    </row>
    <row r="728" spans="1:6">
      <c r="A728" s="84"/>
      <c r="B728" s="85"/>
      <c r="C728" s="85"/>
      <c r="D728" s="85"/>
      <c r="E728" s="85"/>
      <c r="F728" s="85"/>
    </row>
    <row r="729" spans="1:6">
      <c r="A729" s="84"/>
      <c r="B729" s="85"/>
      <c r="C729" s="85"/>
      <c r="D729" s="85"/>
      <c r="E729" s="85"/>
      <c r="F729" s="85"/>
    </row>
    <row r="730" spans="1:6">
      <c r="A730" s="84"/>
      <c r="B730" s="85"/>
      <c r="C730" s="85"/>
      <c r="D730" s="85"/>
      <c r="E730" s="85"/>
      <c r="F730" s="85"/>
    </row>
    <row r="731" spans="1:6">
      <c r="A731" s="84"/>
      <c r="B731" s="85"/>
      <c r="C731" s="85"/>
      <c r="D731" s="85"/>
      <c r="E731" s="85"/>
      <c r="F731" s="85"/>
    </row>
    <row r="732" spans="1:6">
      <c r="A732" s="84"/>
      <c r="B732" s="85"/>
      <c r="C732" s="85"/>
      <c r="D732" s="85"/>
      <c r="E732" s="85"/>
      <c r="F732" s="85"/>
    </row>
    <row r="733" spans="1:6">
      <c r="A733" s="84"/>
      <c r="B733" s="85"/>
      <c r="C733" s="85"/>
      <c r="D733" s="85"/>
      <c r="E733" s="85"/>
      <c r="F733" s="85"/>
    </row>
    <row r="734" spans="1:6">
      <c r="A734" s="84"/>
      <c r="B734" s="85"/>
      <c r="C734" s="85"/>
      <c r="D734" s="85"/>
      <c r="E734" s="85"/>
      <c r="F734" s="85"/>
    </row>
    <row r="735" spans="1:6">
      <c r="A735" s="84"/>
      <c r="B735" s="85"/>
      <c r="C735" s="85"/>
      <c r="D735" s="85"/>
      <c r="E735" s="85"/>
      <c r="F735" s="85"/>
    </row>
    <row r="736" spans="1:6">
      <c r="A736" s="84"/>
      <c r="B736" s="85"/>
      <c r="C736" s="85"/>
      <c r="D736" s="85"/>
      <c r="E736" s="85"/>
      <c r="F736" s="85"/>
    </row>
    <row r="737" spans="1:6">
      <c r="A737" s="84"/>
      <c r="B737" s="85"/>
      <c r="C737" s="85"/>
      <c r="D737" s="85"/>
      <c r="E737" s="85"/>
      <c r="F737" s="85"/>
    </row>
    <row r="738" spans="1:6">
      <c r="A738" s="84"/>
      <c r="B738" s="85"/>
      <c r="C738" s="85"/>
      <c r="D738" s="85"/>
      <c r="E738" s="85"/>
      <c r="F738" s="85"/>
    </row>
    <row r="739" spans="1:6">
      <c r="A739" s="84"/>
      <c r="B739" s="85"/>
      <c r="C739" s="85"/>
      <c r="D739" s="85"/>
      <c r="E739" s="85"/>
      <c r="F739" s="85"/>
    </row>
    <row r="740" spans="1:6">
      <c r="A740" s="84"/>
      <c r="B740" s="85"/>
      <c r="C740" s="85"/>
      <c r="D740" s="85"/>
      <c r="E740" s="85"/>
      <c r="F740" s="85"/>
    </row>
    <row r="741" spans="1:6">
      <c r="A741" s="84"/>
      <c r="B741" s="85"/>
      <c r="C741" s="85"/>
      <c r="D741" s="85"/>
      <c r="E741" s="85"/>
      <c r="F741" s="85"/>
    </row>
    <row r="742" spans="1:6">
      <c r="A742" s="84"/>
      <c r="B742" s="85"/>
      <c r="C742" s="85"/>
      <c r="D742" s="85"/>
      <c r="E742" s="85"/>
      <c r="F742" s="85"/>
    </row>
    <row r="743" spans="1:6">
      <c r="A743" s="84"/>
      <c r="B743" s="85"/>
      <c r="C743" s="85"/>
      <c r="D743" s="85"/>
      <c r="E743" s="85"/>
      <c r="F743" s="85"/>
    </row>
    <row r="744" spans="1:6">
      <c r="A744" s="84"/>
      <c r="B744" s="85"/>
      <c r="C744" s="85"/>
      <c r="D744" s="85"/>
      <c r="E744" s="85"/>
      <c r="F744" s="85"/>
    </row>
    <row r="745" spans="1:6">
      <c r="A745" s="84"/>
      <c r="B745" s="85"/>
      <c r="C745" s="85"/>
      <c r="D745" s="85"/>
      <c r="E745" s="85"/>
      <c r="F745" s="85"/>
    </row>
    <row r="746" spans="1:6">
      <c r="A746" s="84"/>
      <c r="B746" s="85"/>
      <c r="C746" s="85"/>
      <c r="D746" s="85"/>
      <c r="E746" s="85"/>
      <c r="F746" s="85"/>
    </row>
    <row r="747" spans="1:6">
      <c r="A747" s="84"/>
      <c r="B747" s="85"/>
      <c r="C747" s="85"/>
      <c r="D747" s="85"/>
      <c r="E747" s="85"/>
      <c r="F747" s="85"/>
    </row>
    <row r="748" spans="1:6">
      <c r="A748" s="84"/>
      <c r="B748" s="85"/>
      <c r="C748" s="85"/>
      <c r="D748" s="85"/>
      <c r="E748" s="85"/>
      <c r="F748" s="85"/>
    </row>
    <row r="749" spans="1:6">
      <c r="A749" s="84"/>
      <c r="B749" s="85"/>
      <c r="C749" s="85"/>
      <c r="D749" s="85"/>
      <c r="E749" s="85"/>
      <c r="F749" s="85"/>
    </row>
    <row r="750" spans="1:6">
      <c r="A750" s="84"/>
      <c r="B750" s="85"/>
      <c r="C750" s="85"/>
      <c r="D750" s="85"/>
      <c r="E750" s="85"/>
      <c r="F750" s="85"/>
    </row>
    <row r="751" spans="1:6">
      <c r="A751" s="84"/>
      <c r="B751" s="85"/>
      <c r="C751" s="85"/>
      <c r="D751" s="85"/>
      <c r="E751" s="85"/>
      <c r="F751" s="85"/>
    </row>
    <row r="752" spans="1:6">
      <c r="A752" s="84"/>
      <c r="B752" s="85"/>
      <c r="C752" s="85"/>
      <c r="D752" s="85"/>
      <c r="E752" s="85"/>
      <c r="F752" s="85"/>
    </row>
    <row r="753" spans="1:6">
      <c r="A753" s="84"/>
      <c r="B753" s="85"/>
      <c r="C753" s="85"/>
      <c r="D753" s="85"/>
      <c r="E753" s="85"/>
      <c r="F753" s="85"/>
    </row>
    <row r="754" spans="1:6">
      <c r="A754" s="84"/>
      <c r="B754" s="85"/>
      <c r="C754" s="85"/>
      <c r="D754" s="85"/>
      <c r="E754" s="85"/>
      <c r="F754" s="85"/>
    </row>
    <row r="755" spans="1:6">
      <c r="A755" s="84"/>
      <c r="B755" s="85"/>
      <c r="C755" s="85"/>
      <c r="D755" s="85"/>
      <c r="E755" s="85"/>
      <c r="F755" s="85"/>
    </row>
    <row r="756" spans="1:6">
      <c r="A756" s="84"/>
      <c r="B756" s="85"/>
      <c r="C756" s="85"/>
      <c r="D756" s="85"/>
      <c r="E756" s="85"/>
      <c r="F756" s="85"/>
    </row>
    <row r="757" spans="1:6">
      <c r="A757" s="84"/>
      <c r="B757" s="85"/>
      <c r="C757" s="85"/>
      <c r="D757" s="85"/>
      <c r="E757" s="85"/>
      <c r="F757" s="85"/>
    </row>
    <row r="758" spans="1:6">
      <c r="A758" s="84"/>
      <c r="B758" s="85"/>
      <c r="C758" s="85"/>
      <c r="D758" s="85"/>
      <c r="E758" s="85"/>
      <c r="F758" s="85"/>
    </row>
    <row r="759" spans="1:6">
      <c r="A759" s="84"/>
      <c r="B759" s="85"/>
      <c r="C759" s="85"/>
      <c r="D759" s="85"/>
      <c r="E759" s="85"/>
      <c r="F759" s="85"/>
    </row>
    <row r="760" spans="1:6">
      <c r="A760" s="84"/>
      <c r="B760" s="85"/>
      <c r="C760" s="85"/>
      <c r="D760" s="85"/>
      <c r="E760" s="85"/>
      <c r="F760" s="85"/>
    </row>
    <row r="761" spans="1:6">
      <c r="A761" s="84"/>
      <c r="B761" s="85"/>
      <c r="C761" s="85"/>
      <c r="D761" s="85"/>
      <c r="E761" s="85"/>
      <c r="F761" s="85"/>
    </row>
    <row r="762" spans="1:6">
      <c r="A762" s="84"/>
      <c r="B762" s="85"/>
      <c r="C762" s="85"/>
      <c r="D762" s="85"/>
      <c r="E762" s="85"/>
      <c r="F762" s="85"/>
    </row>
    <row r="763" spans="1:6">
      <c r="A763" s="84"/>
      <c r="B763" s="85"/>
      <c r="C763" s="85"/>
      <c r="D763" s="85"/>
      <c r="E763" s="85"/>
      <c r="F763" s="85"/>
    </row>
    <row r="764" spans="1:6">
      <c r="A764" s="84"/>
      <c r="B764" s="85"/>
      <c r="C764" s="85"/>
      <c r="D764" s="85"/>
      <c r="E764" s="85"/>
      <c r="F764" s="85"/>
    </row>
    <row r="765" spans="1:6">
      <c r="A765" s="84"/>
      <c r="B765" s="85"/>
      <c r="C765" s="85"/>
      <c r="D765" s="85"/>
      <c r="E765" s="85"/>
      <c r="F765" s="85"/>
    </row>
    <row r="766" spans="1:6">
      <c r="A766" s="84"/>
      <c r="B766" s="85"/>
      <c r="C766" s="85"/>
      <c r="D766" s="85"/>
      <c r="E766" s="85"/>
      <c r="F766" s="85"/>
    </row>
    <row r="767" spans="1:6">
      <c r="A767" s="84"/>
      <c r="B767" s="85"/>
      <c r="C767" s="85"/>
      <c r="D767" s="85"/>
      <c r="E767" s="85"/>
      <c r="F767" s="85"/>
    </row>
    <row r="768" spans="1:6">
      <c r="A768" s="84"/>
      <c r="B768" s="85"/>
      <c r="C768" s="85"/>
      <c r="D768" s="85"/>
      <c r="E768" s="85"/>
      <c r="F768" s="85"/>
    </row>
    <row r="769" spans="1:6">
      <c r="A769" s="84"/>
      <c r="B769" s="85"/>
      <c r="C769" s="85"/>
      <c r="D769" s="85"/>
      <c r="E769" s="85"/>
      <c r="F769" s="85"/>
    </row>
    <row r="770" spans="1:6">
      <c r="A770" s="84"/>
      <c r="B770" s="85"/>
      <c r="C770" s="85"/>
      <c r="D770" s="85"/>
      <c r="E770" s="85"/>
      <c r="F770" s="85"/>
    </row>
    <row r="771" spans="1:6">
      <c r="A771" s="84"/>
      <c r="B771" s="85"/>
      <c r="C771" s="85"/>
      <c r="D771" s="85"/>
      <c r="E771" s="85"/>
      <c r="F771" s="85"/>
    </row>
    <row r="772" spans="1:6">
      <c r="A772" s="84"/>
      <c r="B772" s="85"/>
      <c r="C772" s="85"/>
      <c r="D772" s="85"/>
      <c r="E772" s="85"/>
      <c r="F772" s="85"/>
    </row>
    <row r="773" spans="1:6">
      <c r="A773" s="84"/>
      <c r="B773" s="85"/>
      <c r="C773" s="85"/>
      <c r="D773" s="85"/>
      <c r="E773" s="85"/>
      <c r="F773" s="85"/>
    </row>
    <row r="774" spans="1:6">
      <c r="A774" s="84"/>
      <c r="B774" s="85"/>
      <c r="C774" s="85"/>
      <c r="D774" s="85"/>
      <c r="E774" s="85"/>
      <c r="F774" s="85"/>
    </row>
    <row r="775" spans="1:6">
      <c r="A775" s="84"/>
      <c r="B775" s="85"/>
      <c r="C775" s="85"/>
      <c r="D775" s="85"/>
      <c r="E775" s="85"/>
      <c r="F775" s="85"/>
    </row>
    <row r="776" spans="1:6">
      <c r="A776" s="84"/>
      <c r="B776" s="85"/>
      <c r="C776" s="85"/>
      <c r="D776" s="85"/>
      <c r="E776" s="85"/>
      <c r="F776" s="85"/>
    </row>
    <row r="777" spans="1:6">
      <c r="A777" s="84"/>
      <c r="B777" s="85"/>
      <c r="C777" s="85"/>
      <c r="D777" s="85"/>
      <c r="E777" s="85"/>
      <c r="F777" s="85"/>
    </row>
    <row r="778" spans="1:6">
      <c r="A778" s="84"/>
      <c r="B778" s="85"/>
      <c r="C778" s="85"/>
      <c r="D778" s="85"/>
      <c r="E778" s="85"/>
      <c r="F778" s="85"/>
    </row>
    <row r="779" spans="1:6">
      <c r="A779" s="84"/>
      <c r="B779" s="85"/>
      <c r="C779" s="85"/>
      <c r="D779" s="85"/>
      <c r="E779" s="85"/>
      <c r="F779" s="85"/>
    </row>
    <row r="780" spans="1:6">
      <c r="A780" s="84"/>
      <c r="B780" s="85"/>
      <c r="C780" s="85"/>
      <c r="D780" s="85"/>
      <c r="E780" s="85"/>
      <c r="F780" s="85"/>
    </row>
    <row r="781" spans="1:6">
      <c r="A781" s="84"/>
      <c r="B781" s="85"/>
      <c r="C781" s="85"/>
      <c r="D781" s="85"/>
      <c r="E781" s="85"/>
      <c r="F781" s="85"/>
    </row>
    <row r="782" spans="1:6">
      <c r="A782" s="84"/>
      <c r="B782" s="85"/>
      <c r="C782" s="85"/>
      <c r="D782" s="85"/>
      <c r="E782" s="85"/>
      <c r="F782" s="85"/>
    </row>
    <row r="783" spans="1:6">
      <c r="A783" s="84"/>
      <c r="B783" s="85"/>
      <c r="C783" s="85"/>
      <c r="D783" s="85"/>
      <c r="E783" s="85"/>
      <c r="F783" s="85"/>
    </row>
    <row r="784" spans="1:6">
      <c r="A784" s="84"/>
      <c r="B784" s="85"/>
      <c r="C784" s="85"/>
      <c r="D784" s="85"/>
      <c r="E784" s="85"/>
      <c r="F784" s="85"/>
    </row>
    <row r="785" spans="1:6">
      <c r="A785" s="84"/>
      <c r="B785" s="85"/>
      <c r="C785" s="85"/>
      <c r="D785" s="85"/>
      <c r="E785" s="85"/>
      <c r="F785" s="85"/>
    </row>
    <row r="786" spans="1:6">
      <c r="A786" s="84"/>
      <c r="B786" s="85"/>
      <c r="C786" s="85"/>
      <c r="D786" s="85"/>
      <c r="E786" s="85"/>
      <c r="F786" s="85"/>
    </row>
    <row r="787" spans="1:6">
      <c r="A787" s="84"/>
      <c r="B787" s="85"/>
      <c r="C787" s="85"/>
      <c r="D787" s="85"/>
      <c r="E787" s="85"/>
      <c r="F787" s="85"/>
    </row>
    <row r="788" spans="1:6">
      <c r="A788" s="84"/>
      <c r="B788" s="85"/>
      <c r="C788" s="85"/>
      <c r="D788" s="85"/>
      <c r="E788" s="85"/>
      <c r="F788" s="85"/>
    </row>
    <row r="789" spans="1:6">
      <c r="A789" s="84"/>
      <c r="B789" s="85"/>
      <c r="C789" s="85"/>
      <c r="D789" s="85"/>
      <c r="E789" s="85"/>
      <c r="F789" s="85"/>
    </row>
    <row r="790" spans="1:6">
      <c r="A790" s="84"/>
      <c r="B790" s="85"/>
      <c r="C790" s="85"/>
      <c r="D790" s="85"/>
      <c r="E790" s="85"/>
      <c r="F790" s="85"/>
    </row>
    <row r="791" spans="1:6">
      <c r="A791" s="84"/>
      <c r="B791" s="85"/>
      <c r="C791" s="85"/>
      <c r="D791" s="85"/>
      <c r="E791" s="85"/>
      <c r="F791" s="85"/>
    </row>
    <row r="792" spans="1:6">
      <c r="A792" s="84"/>
      <c r="B792" s="85"/>
      <c r="C792" s="85"/>
      <c r="D792" s="85"/>
      <c r="E792" s="85"/>
      <c r="F792" s="85"/>
    </row>
    <row r="793" spans="1:6">
      <c r="A793" s="84"/>
      <c r="B793" s="85"/>
      <c r="C793" s="85"/>
      <c r="D793" s="85"/>
      <c r="E793" s="85"/>
      <c r="F793" s="85"/>
    </row>
    <row r="794" spans="1:6">
      <c r="A794" s="84"/>
      <c r="B794" s="85"/>
      <c r="C794" s="85"/>
      <c r="D794" s="85"/>
      <c r="E794" s="85"/>
      <c r="F794" s="85"/>
    </row>
    <row r="795" spans="1:6">
      <c r="A795" s="84"/>
      <c r="B795" s="85"/>
      <c r="C795" s="85"/>
      <c r="D795" s="85"/>
      <c r="E795" s="85"/>
      <c r="F795" s="85"/>
    </row>
    <row r="796" spans="1:6">
      <c r="A796" s="84"/>
      <c r="B796" s="85"/>
      <c r="C796" s="85"/>
      <c r="D796" s="85"/>
      <c r="E796" s="85"/>
      <c r="F796" s="85"/>
    </row>
    <row r="797" spans="1:6">
      <c r="A797" s="84"/>
      <c r="B797" s="85"/>
      <c r="C797" s="85"/>
      <c r="D797" s="85"/>
      <c r="E797" s="85"/>
      <c r="F797" s="85"/>
    </row>
    <row r="798" spans="1:6">
      <c r="A798" s="84"/>
      <c r="B798" s="85"/>
      <c r="C798" s="85"/>
      <c r="D798" s="85"/>
      <c r="E798" s="85"/>
      <c r="F798" s="85"/>
    </row>
    <row r="799" spans="1:6">
      <c r="A799" s="84"/>
      <c r="B799" s="85"/>
      <c r="C799" s="85"/>
      <c r="D799" s="85"/>
      <c r="E799" s="85"/>
      <c r="F799" s="85"/>
    </row>
    <row r="800" spans="1:6">
      <c r="A800" s="84"/>
      <c r="B800" s="85"/>
      <c r="C800" s="85"/>
      <c r="D800" s="85"/>
      <c r="E800" s="85"/>
      <c r="F800" s="85"/>
    </row>
    <row r="801" spans="1:6">
      <c r="A801" s="84"/>
      <c r="B801" s="85"/>
      <c r="C801" s="85"/>
      <c r="D801" s="85"/>
      <c r="E801" s="85"/>
      <c r="F801" s="85"/>
    </row>
    <row r="802" spans="1:6">
      <c r="A802" s="84"/>
      <c r="B802" s="85"/>
      <c r="C802" s="85"/>
      <c r="D802" s="85"/>
      <c r="E802" s="85"/>
      <c r="F802" s="85"/>
    </row>
    <row r="803" spans="1:6">
      <c r="A803" s="84"/>
      <c r="B803" s="85"/>
      <c r="C803" s="85"/>
      <c r="D803" s="85"/>
      <c r="E803" s="85"/>
      <c r="F803" s="85"/>
    </row>
    <row r="804" spans="1:6">
      <c r="A804" s="84"/>
      <c r="B804" s="85"/>
      <c r="C804" s="85"/>
      <c r="D804" s="85"/>
      <c r="E804" s="85"/>
      <c r="F804" s="85"/>
    </row>
    <row r="805" spans="1:6">
      <c r="A805" s="84"/>
      <c r="B805" s="85"/>
      <c r="C805" s="85"/>
      <c r="D805" s="85"/>
      <c r="E805" s="85"/>
      <c r="F805" s="85"/>
    </row>
    <row r="806" spans="1:6">
      <c r="A806" s="84"/>
      <c r="B806" s="85"/>
      <c r="C806" s="85"/>
      <c r="D806" s="85"/>
      <c r="E806" s="85"/>
      <c r="F806" s="85"/>
    </row>
    <row r="807" spans="1:6">
      <c r="A807" s="84"/>
      <c r="B807" s="85"/>
      <c r="C807" s="85"/>
      <c r="D807" s="85"/>
      <c r="E807" s="85"/>
      <c r="F807" s="85"/>
    </row>
    <row r="808" spans="1:6">
      <c r="A808" s="84"/>
      <c r="B808" s="85"/>
      <c r="C808" s="85"/>
      <c r="D808" s="85"/>
      <c r="E808" s="85"/>
      <c r="F808" s="85"/>
    </row>
    <row r="809" spans="1:6">
      <c r="A809" s="84"/>
      <c r="B809" s="85"/>
      <c r="C809" s="85"/>
      <c r="D809" s="85"/>
      <c r="E809" s="85"/>
      <c r="F809" s="85"/>
    </row>
    <row r="810" spans="1:6">
      <c r="A810" s="84"/>
      <c r="B810" s="85"/>
      <c r="C810" s="85"/>
      <c r="D810" s="85"/>
      <c r="E810" s="85"/>
      <c r="F810" s="85"/>
    </row>
    <row r="811" spans="1:6">
      <c r="A811" s="84"/>
      <c r="B811" s="85"/>
      <c r="C811" s="85"/>
      <c r="D811" s="85"/>
      <c r="E811" s="85"/>
      <c r="F811" s="85"/>
    </row>
    <row r="812" spans="1:6">
      <c r="A812" s="84"/>
      <c r="B812" s="85"/>
      <c r="C812" s="85"/>
      <c r="D812" s="85"/>
      <c r="E812" s="85"/>
      <c r="F812" s="85"/>
    </row>
    <row r="813" spans="1:6">
      <c r="A813" s="84"/>
      <c r="B813" s="85"/>
      <c r="C813" s="85"/>
      <c r="D813" s="85"/>
      <c r="E813" s="85"/>
      <c r="F813" s="85"/>
    </row>
    <row r="814" spans="1:6">
      <c r="A814" s="84"/>
      <c r="B814" s="85"/>
      <c r="C814" s="85"/>
      <c r="D814" s="85"/>
      <c r="E814" s="85"/>
      <c r="F814" s="85"/>
    </row>
    <row r="815" spans="1:6">
      <c r="A815" s="84"/>
      <c r="B815" s="85"/>
      <c r="C815" s="85"/>
      <c r="D815" s="85"/>
      <c r="E815" s="85"/>
      <c r="F815" s="85"/>
    </row>
    <row r="816" spans="1:6">
      <c r="A816" s="84"/>
      <c r="B816" s="85"/>
      <c r="C816" s="85"/>
      <c r="D816" s="85"/>
      <c r="E816" s="85"/>
      <c r="F816" s="85"/>
    </row>
    <row r="817" spans="1:6">
      <c r="A817" s="84"/>
      <c r="B817" s="85"/>
      <c r="C817" s="85"/>
      <c r="D817" s="85"/>
      <c r="E817" s="85"/>
      <c r="F817" s="85"/>
    </row>
    <row r="818" spans="1:6">
      <c r="A818" s="84"/>
      <c r="B818" s="85"/>
      <c r="C818" s="85"/>
      <c r="D818" s="85"/>
      <c r="E818" s="85"/>
      <c r="F818" s="85"/>
    </row>
    <row r="819" spans="1:6">
      <c r="A819" s="84"/>
      <c r="B819" s="85"/>
      <c r="C819" s="85"/>
      <c r="D819" s="85"/>
      <c r="E819" s="85"/>
      <c r="F819" s="85"/>
    </row>
    <row r="820" spans="1:6">
      <c r="A820" s="84"/>
      <c r="B820" s="85"/>
      <c r="C820" s="85"/>
      <c r="D820" s="85"/>
      <c r="E820" s="85"/>
      <c r="F820" s="85"/>
    </row>
    <row r="821" spans="1:6">
      <c r="A821" s="84"/>
      <c r="B821" s="85"/>
      <c r="C821" s="85"/>
      <c r="D821" s="85"/>
      <c r="E821" s="85"/>
      <c r="F821" s="85"/>
    </row>
    <row r="822" spans="1:6">
      <c r="A822" s="84"/>
      <c r="B822" s="85"/>
      <c r="C822" s="85"/>
      <c r="D822" s="85"/>
      <c r="E822" s="85"/>
      <c r="F822" s="85"/>
    </row>
    <row r="823" spans="1:6">
      <c r="A823" s="84"/>
      <c r="B823" s="85"/>
      <c r="C823" s="85"/>
      <c r="D823" s="85"/>
      <c r="E823" s="85"/>
      <c r="F823" s="85"/>
    </row>
    <row r="824" spans="1:6">
      <c r="A824" s="84"/>
      <c r="B824" s="85"/>
      <c r="C824" s="85"/>
      <c r="D824" s="85"/>
      <c r="E824" s="85"/>
      <c r="F824" s="85"/>
    </row>
    <row r="825" spans="1:6">
      <c r="A825" s="84"/>
      <c r="B825" s="85"/>
      <c r="C825" s="85"/>
      <c r="D825" s="85"/>
      <c r="E825" s="85"/>
      <c r="F825" s="85"/>
    </row>
    <row r="826" spans="1:6">
      <c r="A826" s="84"/>
      <c r="B826" s="85"/>
      <c r="C826" s="85"/>
      <c r="D826" s="85"/>
      <c r="E826" s="85"/>
      <c r="F826" s="85"/>
    </row>
    <row r="827" spans="1:6">
      <c r="A827" s="84"/>
      <c r="B827" s="85"/>
      <c r="C827" s="85"/>
      <c r="D827" s="85"/>
      <c r="E827" s="85"/>
      <c r="F827" s="85"/>
    </row>
    <row r="828" spans="1:6">
      <c r="A828" s="84"/>
      <c r="B828" s="85"/>
      <c r="C828" s="85"/>
      <c r="D828" s="85"/>
      <c r="E828" s="85"/>
      <c r="F828" s="85"/>
    </row>
    <row r="829" spans="1:6">
      <c r="A829" s="84"/>
      <c r="B829" s="85"/>
      <c r="C829" s="85"/>
      <c r="D829" s="85"/>
      <c r="E829" s="85"/>
      <c r="F829" s="85"/>
    </row>
    <row r="830" spans="1:6">
      <c r="A830" s="84"/>
      <c r="B830" s="85"/>
      <c r="C830" s="85"/>
      <c r="D830" s="85"/>
      <c r="E830" s="85"/>
      <c r="F830" s="85"/>
    </row>
    <row r="831" spans="1:6">
      <c r="A831" s="84"/>
      <c r="B831" s="85"/>
      <c r="C831" s="85"/>
      <c r="D831" s="85"/>
      <c r="E831" s="85"/>
      <c r="F831" s="85"/>
    </row>
    <row r="832" spans="1:6">
      <c r="A832" s="84"/>
      <c r="B832" s="85"/>
      <c r="C832" s="85"/>
      <c r="D832" s="85"/>
      <c r="E832" s="85"/>
      <c r="F832" s="85"/>
    </row>
    <row r="833" spans="1:6">
      <c r="A833" s="84"/>
      <c r="B833" s="85"/>
      <c r="C833" s="85"/>
      <c r="D833" s="85"/>
      <c r="E833" s="85"/>
      <c r="F833" s="85"/>
    </row>
    <row r="834" spans="1:6">
      <c r="A834" s="84"/>
      <c r="B834" s="85"/>
      <c r="C834" s="85"/>
      <c r="D834" s="85"/>
      <c r="E834" s="85"/>
      <c r="F834" s="85"/>
    </row>
    <row r="835" spans="1:6">
      <c r="A835" s="84"/>
      <c r="B835" s="85"/>
      <c r="C835" s="85"/>
      <c r="D835" s="85"/>
      <c r="E835" s="85"/>
      <c r="F835" s="85"/>
    </row>
    <row r="836" spans="1:6">
      <c r="A836" s="84"/>
      <c r="B836" s="85"/>
      <c r="C836" s="85"/>
      <c r="D836" s="85"/>
      <c r="E836" s="85"/>
      <c r="F836" s="85"/>
    </row>
    <row r="837" spans="1:6">
      <c r="A837" s="84"/>
      <c r="B837" s="85"/>
      <c r="C837" s="85"/>
      <c r="D837" s="85"/>
      <c r="E837" s="85"/>
      <c r="F837" s="85"/>
    </row>
    <row r="838" spans="1:6">
      <c r="A838" s="84"/>
      <c r="B838" s="85"/>
      <c r="C838" s="85"/>
      <c r="D838" s="85"/>
      <c r="E838" s="85"/>
      <c r="F838" s="85"/>
    </row>
    <row r="839" spans="1:6">
      <c r="A839" s="84"/>
      <c r="B839" s="85"/>
      <c r="C839" s="85"/>
      <c r="D839" s="85"/>
      <c r="E839" s="85"/>
      <c r="F839" s="85"/>
    </row>
    <row r="840" spans="1:6">
      <c r="A840" s="84"/>
      <c r="B840" s="85"/>
      <c r="C840" s="85"/>
      <c r="D840" s="85"/>
      <c r="E840" s="85"/>
      <c r="F840" s="85"/>
    </row>
    <row r="841" spans="1:6">
      <c r="A841" s="84"/>
      <c r="B841" s="85"/>
      <c r="C841" s="85"/>
      <c r="D841" s="85"/>
      <c r="E841" s="85"/>
      <c r="F841" s="85"/>
    </row>
    <row r="842" spans="1:6">
      <c r="A842" s="84"/>
      <c r="B842" s="85"/>
      <c r="C842" s="85"/>
      <c r="D842" s="85"/>
      <c r="E842" s="85"/>
      <c r="F842" s="85"/>
    </row>
    <row r="843" spans="1:6">
      <c r="A843" s="84"/>
      <c r="B843" s="85"/>
      <c r="C843" s="85"/>
      <c r="D843" s="85"/>
      <c r="E843" s="85"/>
      <c r="F843" s="85"/>
    </row>
    <row r="844" spans="1:6">
      <c r="A844" s="84"/>
      <c r="B844" s="85"/>
      <c r="C844" s="85"/>
      <c r="D844" s="85"/>
      <c r="E844" s="85"/>
      <c r="F844" s="85"/>
    </row>
    <row r="845" spans="1:6">
      <c r="A845" s="84"/>
      <c r="B845" s="85"/>
      <c r="C845" s="85"/>
      <c r="D845" s="85"/>
      <c r="E845" s="85"/>
      <c r="F845" s="85"/>
    </row>
    <row r="846" spans="1:6">
      <c r="A846" s="84"/>
      <c r="B846" s="85"/>
      <c r="C846" s="85"/>
      <c r="D846" s="85"/>
      <c r="E846" s="85"/>
      <c r="F846" s="85"/>
    </row>
    <row r="847" spans="1:6">
      <c r="A847" s="84"/>
      <c r="B847" s="85"/>
      <c r="C847" s="85"/>
      <c r="D847" s="85"/>
      <c r="E847" s="85"/>
      <c r="F847" s="85"/>
    </row>
    <row r="848" spans="1:6">
      <c r="A848" s="84"/>
      <c r="B848" s="85"/>
      <c r="C848" s="85"/>
      <c r="D848" s="85"/>
      <c r="E848" s="85"/>
      <c r="F848" s="85"/>
    </row>
    <row r="849" spans="1:6">
      <c r="A849" s="84"/>
      <c r="B849" s="85"/>
      <c r="C849" s="85"/>
      <c r="D849" s="85"/>
      <c r="E849" s="85"/>
      <c r="F849" s="85"/>
    </row>
    <row r="850" spans="1:6">
      <c r="A850" s="84"/>
      <c r="B850" s="85"/>
      <c r="C850" s="85"/>
      <c r="D850" s="85"/>
      <c r="E850" s="85"/>
      <c r="F850" s="85"/>
    </row>
    <row r="851" spans="1:6">
      <c r="A851" s="84"/>
      <c r="B851" s="85"/>
      <c r="C851" s="85"/>
      <c r="D851" s="85"/>
      <c r="E851" s="85"/>
      <c r="F851" s="85"/>
    </row>
    <row r="852" spans="1:6">
      <c r="A852" s="84"/>
      <c r="B852" s="85"/>
      <c r="C852" s="85"/>
      <c r="D852" s="85"/>
      <c r="E852" s="85"/>
      <c r="F852" s="85"/>
    </row>
    <row r="853" spans="1:6">
      <c r="A853" s="84"/>
      <c r="B853" s="85"/>
      <c r="C853" s="85"/>
      <c r="D853" s="85"/>
      <c r="E853" s="85"/>
      <c r="F853" s="85"/>
    </row>
    <row r="854" spans="1:6">
      <c r="A854" s="84"/>
      <c r="B854" s="85"/>
      <c r="C854" s="85"/>
      <c r="D854" s="85"/>
      <c r="E854" s="85"/>
      <c r="F854" s="85"/>
    </row>
    <row r="855" spans="1:6">
      <c r="A855" s="84"/>
      <c r="B855" s="85"/>
      <c r="C855" s="85"/>
      <c r="D855" s="85"/>
      <c r="E855" s="85"/>
      <c r="F855" s="85"/>
    </row>
    <row r="856" spans="1:6">
      <c r="A856" s="84"/>
      <c r="B856" s="85"/>
      <c r="C856" s="85"/>
      <c r="D856" s="85"/>
      <c r="E856" s="85"/>
      <c r="F856" s="85"/>
    </row>
    <row r="857" spans="1:6">
      <c r="A857" s="84"/>
      <c r="B857" s="85"/>
      <c r="C857" s="85"/>
      <c r="D857" s="85"/>
      <c r="E857" s="85"/>
      <c r="F857" s="85"/>
    </row>
    <row r="858" spans="1:6">
      <c r="A858" s="84"/>
      <c r="B858" s="85"/>
      <c r="C858" s="85"/>
      <c r="D858" s="85"/>
      <c r="E858" s="85"/>
      <c r="F858" s="85"/>
    </row>
    <row r="859" spans="1:6">
      <c r="A859" s="84"/>
      <c r="B859" s="85"/>
      <c r="C859" s="85"/>
      <c r="D859" s="85"/>
      <c r="E859" s="85"/>
      <c r="F859" s="85"/>
    </row>
    <row r="860" spans="1:6">
      <c r="A860" s="84"/>
      <c r="B860" s="85"/>
      <c r="C860" s="85"/>
      <c r="D860" s="85"/>
      <c r="E860" s="85"/>
      <c r="F860" s="85"/>
    </row>
    <row r="861" spans="1:6">
      <c r="A861" s="84"/>
      <c r="B861" s="85"/>
      <c r="C861" s="85"/>
      <c r="D861" s="85"/>
      <c r="E861" s="85"/>
      <c r="F861" s="85"/>
    </row>
    <row r="862" spans="1:6">
      <c r="A862" s="84"/>
      <c r="B862" s="85"/>
      <c r="C862" s="85"/>
      <c r="D862" s="85"/>
      <c r="E862" s="85"/>
      <c r="F862" s="85"/>
    </row>
    <row r="863" spans="1:6">
      <c r="A863" s="84"/>
      <c r="B863" s="85"/>
      <c r="C863" s="85"/>
      <c r="D863" s="85"/>
      <c r="E863" s="85"/>
      <c r="F863" s="85"/>
    </row>
    <row r="864" spans="1:6">
      <c r="A864" s="84"/>
      <c r="B864" s="85"/>
      <c r="C864" s="85"/>
      <c r="D864" s="85"/>
      <c r="E864" s="85"/>
      <c r="F864" s="85"/>
    </row>
    <row r="865" spans="1:6">
      <c r="A865" s="84"/>
      <c r="B865" s="85"/>
      <c r="C865" s="85"/>
      <c r="D865" s="85"/>
      <c r="E865" s="85"/>
      <c r="F865" s="85"/>
    </row>
    <row r="866" spans="1:6">
      <c r="A866" s="84"/>
      <c r="B866" s="85"/>
      <c r="C866" s="85"/>
      <c r="D866" s="85"/>
      <c r="E866" s="85"/>
      <c r="F866" s="85"/>
    </row>
    <row r="867" spans="1:6">
      <c r="A867" s="84"/>
      <c r="B867" s="85"/>
      <c r="C867" s="85"/>
      <c r="D867" s="85"/>
      <c r="E867" s="85"/>
      <c r="F867" s="85"/>
    </row>
    <row r="868" spans="1:6">
      <c r="A868" s="84"/>
      <c r="B868" s="85"/>
      <c r="C868" s="85"/>
      <c r="D868" s="85"/>
      <c r="E868" s="85"/>
      <c r="F868" s="85"/>
    </row>
    <row r="869" spans="1:6">
      <c r="A869" s="84"/>
      <c r="B869" s="85"/>
      <c r="C869" s="85"/>
      <c r="D869" s="85"/>
      <c r="E869" s="85"/>
      <c r="F869" s="85"/>
    </row>
    <row r="870" spans="1:6">
      <c r="A870" s="84"/>
      <c r="B870" s="85"/>
      <c r="C870" s="85"/>
      <c r="D870" s="85"/>
      <c r="E870" s="85"/>
      <c r="F870" s="85"/>
    </row>
    <row r="871" spans="1:6">
      <c r="A871" s="84"/>
      <c r="B871" s="85"/>
      <c r="C871" s="85"/>
      <c r="D871" s="85"/>
      <c r="E871" s="85"/>
      <c r="F871" s="85"/>
    </row>
    <row r="872" spans="1:6">
      <c r="A872" s="84"/>
      <c r="B872" s="85"/>
      <c r="C872" s="85"/>
      <c r="D872" s="85"/>
      <c r="E872" s="85"/>
      <c r="F872" s="85"/>
    </row>
    <row r="873" spans="1:6">
      <c r="A873" s="84"/>
      <c r="B873" s="85"/>
      <c r="C873" s="85"/>
      <c r="D873" s="85"/>
      <c r="E873" s="85"/>
      <c r="F873" s="85"/>
    </row>
    <row r="874" spans="1:6">
      <c r="A874" s="84"/>
      <c r="B874" s="85"/>
      <c r="C874" s="85"/>
      <c r="D874" s="85"/>
      <c r="E874" s="85"/>
      <c r="F874" s="85"/>
    </row>
    <row r="875" spans="1:6">
      <c r="A875" s="84"/>
      <c r="B875" s="85"/>
      <c r="C875" s="85"/>
      <c r="D875" s="85"/>
      <c r="E875" s="85"/>
      <c r="F875" s="85"/>
    </row>
    <row r="876" spans="1:6">
      <c r="A876" s="84"/>
      <c r="B876" s="85"/>
      <c r="C876" s="85"/>
      <c r="D876" s="85"/>
      <c r="E876" s="85"/>
      <c r="F876" s="85"/>
    </row>
    <row r="877" spans="1:6">
      <c r="A877" s="84"/>
      <c r="B877" s="85"/>
      <c r="C877" s="85"/>
      <c r="D877" s="85"/>
      <c r="E877" s="85"/>
      <c r="F877" s="85"/>
    </row>
    <row r="878" spans="1:6">
      <c r="A878" s="84"/>
      <c r="B878" s="85"/>
      <c r="C878" s="85"/>
      <c r="D878" s="85"/>
      <c r="E878" s="85"/>
      <c r="F878" s="85"/>
    </row>
    <row r="879" spans="1:6">
      <c r="A879" s="84"/>
      <c r="B879" s="85"/>
      <c r="C879" s="85"/>
      <c r="D879" s="85"/>
      <c r="E879" s="85"/>
      <c r="F879" s="85"/>
    </row>
    <row r="880" spans="1:6">
      <c r="A880" s="84"/>
      <c r="B880" s="85"/>
      <c r="C880" s="85"/>
      <c r="D880" s="85"/>
      <c r="E880" s="85"/>
      <c r="F880" s="85"/>
    </row>
    <row r="881" spans="1:6">
      <c r="A881" s="84"/>
      <c r="B881" s="85"/>
      <c r="C881" s="85"/>
      <c r="D881" s="85"/>
      <c r="E881" s="85"/>
      <c r="F881" s="85"/>
    </row>
    <row r="882" spans="1:6">
      <c r="A882" s="84"/>
      <c r="B882" s="85"/>
      <c r="C882" s="85"/>
      <c r="D882" s="85"/>
      <c r="E882" s="85"/>
      <c r="F882" s="85"/>
    </row>
    <row r="883" spans="1:6">
      <c r="A883" s="84"/>
      <c r="B883" s="85"/>
      <c r="C883" s="85"/>
      <c r="D883" s="85"/>
      <c r="E883" s="85"/>
      <c r="F883" s="85"/>
    </row>
    <row r="884" spans="1:6">
      <c r="A884" s="84"/>
      <c r="B884" s="85"/>
      <c r="C884" s="85"/>
      <c r="D884" s="85"/>
      <c r="E884" s="85"/>
      <c r="F884" s="85"/>
    </row>
    <row r="885" spans="1:6">
      <c r="A885" s="84"/>
      <c r="B885" s="85"/>
      <c r="C885" s="85"/>
      <c r="D885" s="85"/>
      <c r="E885" s="85"/>
      <c r="F885" s="85"/>
    </row>
    <row r="886" spans="1:6">
      <c r="A886" s="84"/>
      <c r="B886" s="85"/>
      <c r="C886" s="85"/>
      <c r="D886" s="85"/>
      <c r="E886" s="85"/>
      <c r="F886" s="85"/>
    </row>
    <row r="887" spans="1:6">
      <c r="A887" s="84"/>
      <c r="B887" s="85"/>
      <c r="C887" s="85"/>
      <c r="D887" s="85"/>
      <c r="E887" s="85"/>
      <c r="F887" s="85"/>
    </row>
    <row r="888" spans="1:6">
      <c r="A888" s="84"/>
      <c r="B888" s="85"/>
      <c r="C888" s="85"/>
      <c r="D888" s="85"/>
      <c r="E888" s="85"/>
      <c r="F888" s="85"/>
    </row>
    <row r="889" spans="1:6">
      <c r="A889" s="84"/>
      <c r="B889" s="85"/>
      <c r="C889" s="85"/>
      <c r="D889" s="85"/>
      <c r="E889" s="85"/>
      <c r="F889" s="85"/>
    </row>
    <row r="890" spans="1:6">
      <c r="A890" s="84"/>
      <c r="B890" s="85"/>
      <c r="C890" s="85"/>
      <c r="D890" s="85"/>
      <c r="E890" s="85"/>
      <c r="F890" s="85"/>
    </row>
    <row r="891" spans="1:6">
      <c r="A891" s="84"/>
      <c r="B891" s="85"/>
      <c r="C891" s="85"/>
      <c r="D891" s="85"/>
      <c r="E891" s="85"/>
      <c r="F891" s="85"/>
    </row>
    <row r="892" spans="1:6">
      <c r="A892" s="84"/>
      <c r="B892" s="85"/>
      <c r="C892" s="85"/>
      <c r="D892" s="85"/>
      <c r="E892" s="85"/>
      <c r="F892" s="85"/>
    </row>
    <row r="893" spans="1:6">
      <c r="A893" s="84"/>
      <c r="B893" s="85"/>
      <c r="C893" s="85"/>
      <c r="D893" s="85"/>
      <c r="E893" s="85"/>
      <c r="F893" s="85"/>
    </row>
    <row r="894" spans="1:6">
      <c r="A894" s="84"/>
      <c r="B894" s="85"/>
      <c r="C894" s="85"/>
      <c r="D894" s="85"/>
      <c r="E894" s="85"/>
      <c r="F894" s="85"/>
    </row>
    <row r="895" spans="1:6">
      <c r="A895" s="84"/>
      <c r="B895" s="85"/>
      <c r="C895" s="85"/>
      <c r="D895" s="85"/>
      <c r="E895" s="85"/>
      <c r="F895" s="85"/>
    </row>
    <row r="896" spans="1:6">
      <c r="A896" s="84"/>
      <c r="B896" s="85"/>
      <c r="C896" s="85"/>
      <c r="D896" s="85"/>
      <c r="E896" s="85"/>
      <c r="F896" s="85"/>
    </row>
    <row r="897" spans="1:6">
      <c r="A897" s="84"/>
      <c r="B897" s="85"/>
      <c r="C897" s="85"/>
      <c r="D897" s="85"/>
      <c r="E897" s="85"/>
      <c r="F897" s="85"/>
    </row>
    <row r="898" spans="1:6">
      <c r="A898" s="84"/>
      <c r="B898" s="85"/>
      <c r="C898" s="85"/>
      <c r="D898" s="85"/>
      <c r="E898" s="85"/>
      <c r="F898" s="85"/>
    </row>
    <row r="899" spans="1:6">
      <c r="A899" s="84"/>
      <c r="B899" s="85"/>
      <c r="C899" s="85"/>
      <c r="D899" s="85"/>
      <c r="E899" s="85"/>
      <c r="F899" s="85"/>
    </row>
    <row r="900" spans="1:6">
      <c r="A900" s="84"/>
      <c r="B900" s="85"/>
      <c r="C900" s="85"/>
      <c r="D900" s="85"/>
      <c r="E900" s="85"/>
      <c r="F900" s="85"/>
    </row>
    <row r="901" spans="1:6">
      <c r="A901" s="84"/>
      <c r="B901" s="85"/>
      <c r="C901" s="85"/>
      <c r="D901" s="85"/>
      <c r="E901" s="85"/>
      <c r="F901" s="85"/>
    </row>
    <row r="902" spans="1:6">
      <c r="A902" s="84"/>
      <c r="B902" s="85"/>
      <c r="C902" s="85"/>
      <c r="D902" s="85"/>
      <c r="E902" s="85"/>
      <c r="F902" s="85"/>
    </row>
    <row r="903" spans="1:6">
      <c r="A903" s="84"/>
      <c r="B903" s="85"/>
      <c r="C903" s="85"/>
      <c r="D903" s="85"/>
      <c r="E903" s="85"/>
      <c r="F903" s="85"/>
    </row>
    <row r="904" spans="1:6">
      <c r="A904" s="84"/>
      <c r="B904" s="85"/>
      <c r="C904" s="85"/>
      <c r="D904" s="85"/>
      <c r="E904" s="85"/>
      <c r="F904" s="85"/>
    </row>
    <row r="905" spans="1:6">
      <c r="A905" s="84"/>
      <c r="B905" s="85"/>
      <c r="C905" s="85"/>
      <c r="D905" s="85"/>
      <c r="E905" s="85"/>
      <c r="F905" s="85"/>
    </row>
    <row r="906" spans="1:6">
      <c r="A906" s="84"/>
      <c r="B906" s="85"/>
      <c r="C906" s="85"/>
      <c r="D906" s="85"/>
      <c r="E906" s="85"/>
      <c r="F906" s="85"/>
    </row>
    <row r="907" spans="1:6">
      <c r="A907" s="84"/>
      <c r="B907" s="85"/>
      <c r="C907" s="85"/>
      <c r="D907" s="85"/>
      <c r="E907" s="85"/>
      <c r="F907" s="85"/>
    </row>
    <row r="908" spans="1:6">
      <c r="A908" s="84"/>
      <c r="B908" s="85"/>
      <c r="C908" s="85"/>
      <c r="D908" s="85"/>
      <c r="E908" s="85"/>
      <c r="F908" s="85"/>
    </row>
    <row r="909" spans="1:6">
      <c r="A909" s="84"/>
      <c r="B909" s="85"/>
      <c r="C909" s="85"/>
      <c r="D909" s="85"/>
      <c r="E909" s="85"/>
      <c r="F909" s="85"/>
    </row>
    <row r="910" spans="1:6">
      <c r="A910" s="84"/>
      <c r="B910" s="85"/>
      <c r="C910" s="85"/>
      <c r="D910" s="85"/>
      <c r="E910" s="85"/>
      <c r="F910" s="85"/>
    </row>
    <row r="911" spans="1:6">
      <c r="A911" s="84"/>
      <c r="B911" s="85"/>
      <c r="C911" s="85"/>
      <c r="D911" s="85"/>
      <c r="E911" s="85"/>
      <c r="F911" s="85"/>
    </row>
    <row r="912" spans="1:6">
      <c r="A912" s="84"/>
      <c r="B912" s="85"/>
      <c r="C912" s="85"/>
      <c r="D912" s="85"/>
      <c r="E912" s="85"/>
      <c r="F912" s="85"/>
    </row>
    <row r="913" spans="1:6">
      <c r="A913" s="84"/>
      <c r="B913" s="85"/>
      <c r="C913" s="85"/>
      <c r="D913" s="85"/>
      <c r="E913" s="85"/>
      <c r="F913" s="85"/>
    </row>
    <row r="914" spans="1:6">
      <c r="A914" s="84"/>
      <c r="B914" s="85"/>
      <c r="C914" s="85"/>
      <c r="D914" s="85"/>
      <c r="E914" s="85"/>
      <c r="F914" s="85"/>
    </row>
    <row r="915" spans="1:6">
      <c r="A915" s="84"/>
      <c r="B915" s="85"/>
      <c r="C915" s="85"/>
      <c r="D915" s="85"/>
      <c r="E915" s="85"/>
      <c r="F915" s="85"/>
    </row>
    <row r="916" spans="1:6">
      <c r="A916" s="84"/>
      <c r="B916" s="85"/>
      <c r="C916" s="85"/>
      <c r="D916" s="85"/>
      <c r="E916" s="85"/>
      <c r="F916" s="85"/>
    </row>
    <row r="917" spans="1:6">
      <c r="A917" s="84"/>
      <c r="B917" s="85"/>
      <c r="C917" s="85"/>
      <c r="D917" s="85"/>
      <c r="E917" s="85"/>
      <c r="F917" s="85"/>
    </row>
    <row r="918" spans="1:6">
      <c r="A918" s="84"/>
      <c r="B918" s="85"/>
      <c r="C918" s="85"/>
      <c r="D918" s="85"/>
      <c r="E918" s="85"/>
      <c r="F918" s="85"/>
    </row>
    <row r="919" spans="1:6">
      <c r="A919" s="84"/>
      <c r="B919" s="85"/>
      <c r="C919" s="85"/>
      <c r="D919" s="85"/>
      <c r="E919" s="85"/>
      <c r="F919" s="85"/>
    </row>
    <row r="920" spans="1:6">
      <c r="A920" s="84"/>
      <c r="B920" s="85"/>
      <c r="C920" s="85"/>
      <c r="D920" s="85"/>
      <c r="E920" s="85"/>
      <c r="F920" s="85"/>
    </row>
    <row r="921" spans="1:6">
      <c r="A921" s="84"/>
      <c r="B921" s="85"/>
      <c r="C921" s="85"/>
      <c r="D921" s="85"/>
      <c r="E921" s="85"/>
      <c r="F921" s="85"/>
    </row>
    <row r="922" spans="1:6">
      <c r="A922" s="84"/>
      <c r="B922" s="85"/>
      <c r="C922" s="85"/>
      <c r="D922" s="85"/>
      <c r="E922" s="85"/>
      <c r="F922" s="85"/>
    </row>
    <row r="923" spans="1:6">
      <c r="A923" s="84"/>
      <c r="B923" s="85"/>
      <c r="C923" s="85"/>
      <c r="D923" s="85"/>
      <c r="E923" s="85"/>
      <c r="F923" s="85"/>
    </row>
    <row r="924" spans="1:6">
      <c r="A924" s="84"/>
      <c r="B924" s="85"/>
      <c r="C924" s="85"/>
      <c r="D924" s="85"/>
      <c r="E924" s="85"/>
      <c r="F924" s="85"/>
    </row>
    <row r="925" spans="1:6">
      <c r="A925" s="84"/>
      <c r="B925" s="85"/>
      <c r="C925" s="85"/>
      <c r="D925" s="85"/>
      <c r="E925" s="85"/>
      <c r="F925" s="85"/>
    </row>
    <row r="926" spans="1:6">
      <c r="A926" s="84"/>
      <c r="B926" s="85"/>
      <c r="C926" s="85"/>
      <c r="D926" s="85"/>
      <c r="E926" s="85"/>
      <c r="F926" s="85"/>
    </row>
    <row r="927" spans="1:6">
      <c r="A927" s="84"/>
      <c r="B927" s="85"/>
      <c r="C927" s="85"/>
      <c r="D927" s="85"/>
      <c r="E927" s="85"/>
      <c r="F927" s="85"/>
    </row>
    <row r="928" spans="1:6">
      <c r="A928" s="84"/>
      <c r="B928" s="85"/>
      <c r="C928" s="85"/>
      <c r="D928" s="85"/>
      <c r="E928" s="85"/>
      <c r="F928" s="85"/>
    </row>
    <row r="929" spans="1:6">
      <c r="A929" s="84"/>
      <c r="B929" s="85"/>
      <c r="C929" s="85"/>
      <c r="D929" s="85"/>
      <c r="E929" s="85"/>
      <c r="F929" s="85"/>
    </row>
    <row r="930" spans="1:6">
      <c r="A930" s="84"/>
      <c r="B930" s="85"/>
      <c r="C930" s="85"/>
      <c r="D930" s="85"/>
      <c r="E930" s="85"/>
      <c r="F930" s="85"/>
    </row>
    <row r="931" spans="1:6">
      <c r="A931" s="84"/>
      <c r="B931" s="85"/>
      <c r="C931" s="85"/>
      <c r="D931" s="85"/>
      <c r="E931" s="85"/>
      <c r="F931" s="85"/>
    </row>
    <row r="932" spans="1:6">
      <c r="A932" s="84"/>
      <c r="B932" s="85"/>
      <c r="C932" s="85"/>
      <c r="D932" s="85"/>
      <c r="E932" s="85"/>
      <c r="F932" s="85"/>
    </row>
    <row r="933" spans="1:6">
      <c r="A933" s="84"/>
      <c r="B933" s="85"/>
      <c r="C933" s="85"/>
      <c r="D933" s="85"/>
      <c r="E933" s="85"/>
      <c r="F933" s="85"/>
    </row>
    <row r="934" spans="1:6">
      <c r="A934" s="84"/>
      <c r="B934" s="85"/>
      <c r="C934" s="85"/>
      <c r="D934" s="85"/>
      <c r="E934" s="85"/>
      <c r="F934" s="85"/>
    </row>
    <row r="935" spans="1:6">
      <c r="A935" s="84"/>
      <c r="B935" s="85"/>
      <c r="C935" s="85"/>
      <c r="D935" s="85"/>
      <c r="E935" s="85"/>
      <c r="F935" s="85"/>
    </row>
    <row r="936" spans="1:6">
      <c r="A936" s="84"/>
      <c r="B936" s="85"/>
      <c r="C936" s="85"/>
      <c r="D936" s="85"/>
      <c r="E936" s="85"/>
      <c r="F936" s="85"/>
    </row>
    <row r="937" spans="1:6">
      <c r="A937" s="84"/>
      <c r="B937" s="85"/>
      <c r="C937" s="85"/>
      <c r="D937" s="85"/>
      <c r="E937" s="85"/>
      <c r="F937" s="85"/>
    </row>
    <row r="938" spans="1:6">
      <c r="A938" s="84"/>
      <c r="B938" s="85"/>
      <c r="C938" s="85"/>
      <c r="D938" s="85"/>
      <c r="E938" s="85"/>
      <c r="F938" s="85"/>
    </row>
    <row r="939" spans="1:6">
      <c r="A939" s="84"/>
      <c r="B939" s="85"/>
      <c r="C939" s="85"/>
      <c r="D939" s="85"/>
      <c r="E939" s="85"/>
      <c r="F939" s="85"/>
    </row>
    <row r="940" spans="1:6">
      <c r="A940" s="84"/>
      <c r="B940" s="85"/>
      <c r="C940" s="85"/>
      <c r="D940" s="85"/>
      <c r="E940" s="85"/>
      <c r="F940" s="85"/>
    </row>
    <row r="941" spans="1:6">
      <c r="A941" s="84"/>
      <c r="B941" s="85"/>
      <c r="C941" s="85"/>
      <c r="D941" s="85"/>
      <c r="E941" s="85"/>
      <c r="F941" s="85"/>
    </row>
    <row r="942" spans="1:6">
      <c r="A942" s="84"/>
      <c r="B942" s="85"/>
      <c r="C942" s="85"/>
      <c r="D942" s="85"/>
      <c r="E942" s="85"/>
      <c r="F942" s="85"/>
    </row>
    <row r="943" spans="1:6">
      <c r="A943" s="84"/>
      <c r="B943" s="85"/>
      <c r="C943" s="85"/>
      <c r="D943" s="85"/>
      <c r="E943" s="85"/>
      <c r="F943" s="85"/>
    </row>
    <row r="944" spans="1:6">
      <c r="A944" s="84"/>
      <c r="B944" s="85"/>
      <c r="C944" s="85"/>
      <c r="D944" s="85"/>
      <c r="E944" s="85"/>
      <c r="F944" s="85"/>
    </row>
    <row r="945" spans="1:6">
      <c r="A945" s="84"/>
      <c r="B945" s="85"/>
      <c r="C945" s="85"/>
      <c r="D945" s="85"/>
      <c r="E945" s="85"/>
      <c r="F945" s="85"/>
    </row>
    <row r="946" spans="1:6">
      <c r="A946" s="84"/>
      <c r="B946" s="85"/>
      <c r="C946" s="85"/>
      <c r="D946" s="85"/>
      <c r="E946" s="85"/>
      <c r="F946" s="85"/>
    </row>
    <row r="947" spans="1:6">
      <c r="A947" s="84"/>
      <c r="B947" s="85"/>
      <c r="C947" s="85"/>
      <c r="D947" s="85"/>
      <c r="E947" s="85"/>
      <c r="F947" s="85"/>
    </row>
    <row r="948" spans="1:6">
      <c r="A948" s="84"/>
      <c r="B948" s="85"/>
      <c r="C948" s="85"/>
      <c r="D948" s="85"/>
      <c r="E948" s="85"/>
      <c r="F948" s="85"/>
    </row>
    <row r="949" spans="1:6">
      <c r="A949" s="84"/>
      <c r="B949" s="85"/>
      <c r="C949" s="85"/>
      <c r="D949" s="85"/>
      <c r="E949" s="85"/>
      <c r="F949" s="85"/>
    </row>
    <row r="950" spans="1:6">
      <c r="A950" s="84"/>
      <c r="B950" s="85"/>
      <c r="C950" s="85"/>
      <c r="D950" s="85"/>
      <c r="E950" s="85"/>
      <c r="F950" s="85"/>
    </row>
    <row r="951" spans="1:6">
      <c r="A951" s="84"/>
      <c r="B951" s="85"/>
      <c r="C951" s="85"/>
      <c r="D951" s="85"/>
      <c r="E951" s="85"/>
      <c r="F951" s="85"/>
    </row>
    <row r="952" spans="1:6">
      <c r="A952" s="84"/>
      <c r="B952" s="85"/>
      <c r="C952" s="85"/>
      <c r="D952" s="85"/>
      <c r="E952" s="85"/>
      <c r="F952" s="85"/>
    </row>
    <row r="953" spans="1:6">
      <c r="A953" s="84"/>
      <c r="B953" s="85"/>
      <c r="C953" s="85"/>
      <c r="D953" s="85"/>
      <c r="E953" s="85"/>
      <c r="F953" s="85"/>
    </row>
    <row r="954" spans="1:6">
      <c r="A954" s="84"/>
      <c r="B954" s="85"/>
      <c r="C954" s="85"/>
      <c r="D954" s="85"/>
      <c r="E954" s="85"/>
      <c r="F954" s="85"/>
    </row>
    <row r="955" spans="1:6">
      <c r="A955" s="84"/>
      <c r="B955" s="85"/>
      <c r="C955" s="85"/>
      <c r="D955" s="85"/>
      <c r="E955" s="85"/>
      <c r="F955" s="85"/>
    </row>
    <row r="956" spans="1:6">
      <c r="A956" s="84"/>
      <c r="B956" s="85"/>
      <c r="C956" s="85"/>
      <c r="D956" s="85"/>
      <c r="E956" s="85"/>
      <c r="F956" s="85"/>
    </row>
    <row r="957" spans="1:6">
      <c r="A957" s="84"/>
      <c r="B957" s="85"/>
      <c r="C957" s="85"/>
      <c r="D957" s="85"/>
      <c r="E957" s="85"/>
      <c r="F957" s="85"/>
    </row>
    <row r="958" spans="1:6">
      <c r="A958" s="84"/>
      <c r="B958" s="85"/>
      <c r="C958" s="85"/>
      <c r="D958" s="85"/>
      <c r="E958" s="85"/>
      <c r="F958" s="85"/>
    </row>
    <row r="959" spans="1:6">
      <c r="A959" s="84"/>
      <c r="B959" s="85"/>
      <c r="C959" s="85"/>
      <c r="D959" s="85"/>
      <c r="E959" s="85"/>
      <c r="F959" s="85"/>
    </row>
    <row r="960" spans="1:6">
      <c r="A960" s="84"/>
      <c r="B960" s="85"/>
      <c r="C960" s="85"/>
      <c r="D960" s="85"/>
      <c r="E960" s="85"/>
      <c r="F960" s="85"/>
    </row>
    <row r="961" spans="1:6">
      <c r="A961" s="84"/>
      <c r="B961" s="85"/>
      <c r="C961" s="85"/>
      <c r="D961" s="85"/>
      <c r="E961" s="85"/>
      <c r="F961" s="85"/>
    </row>
    <row r="962" spans="1:6">
      <c r="A962" s="84"/>
      <c r="B962" s="85"/>
      <c r="C962" s="85"/>
      <c r="D962" s="85"/>
      <c r="E962" s="85"/>
      <c r="F962" s="85"/>
    </row>
    <row r="963" spans="1:6">
      <c r="A963" s="84"/>
      <c r="B963" s="85"/>
      <c r="C963" s="85"/>
      <c r="D963" s="85"/>
      <c r="E963" s="85"/>
      <c r="F963" s="85"/>
    </row>
    <row r="964" spans="1:6">
      <c r="A964" s="84"/>
      <c r="B964" s="85"/>
      <c r="C964" s="85"/>
      <c r="D964" s="85"/>
      <c r="E964" s="85"/>
      <c r="F964" s="85"/>
    </row>
    <row r="965" spans="1:6">
      <c r="A965" s="84"/>
      <c r="B965" s="85"/>
      <c r="C965" s="85"/>
      <c r="D965" s="85"/>
      <c r="E965" s="85"/>
      <c r="F965" s="85"/>
    </row>
    <row r="966" spans="1:6">
      <c r="A966" s="84"/>
      <c r="B966" s="85"/>
      <c r="C966" s="85"/>
      <c r="D966" s="85"/>
      <c r="E966" s="85"/>
      <c r="F966" s="85"/>
    </row>
    <row r="967" spans="1:6">
      <c r="A967" s="84"/>
      <c r="B967" s="85"/>
      <c r="C967" s="85"/>
      <c r="D967" s="85"/>
      <c r="E967" s="85"/>
      <c r="F967" s="85"/>
    </row>
    <row r="968" spans="1:6">
      <c r="A968" s="84"/>
      <c r="B968" s="85"/>
      <c r="C968" s="85"/>
      <c r="D968" s="85"/>
      <c r="E968" s="85"/>
      <c r="F968" s="85"/>
    </row>
    <row r="969" spans="1:6">
      <c r="A969" s="84"/>
      <c r="B969" s="85"/>
      <c r="C969" s="85"/>
      <c r="D969" s="85"/>
      <c r="E969" s="85"/>
      <c r="F969" s="85"/>
    </row>
    <row r="970" spans="1:6">
      <c r="A970" s="84"/>
      <c r="B970" s="85"/>
      <c r="C970" s="85"/>
      <c r="D970" s="85"/>
      <c r="E970" s="85"/>
      <c r="F970" s="85"/>
    </row>
    <row r="971" spans="1:6">
      <c r="A971" s="84"/>
      <c r="B971" s="85"/>
      <c r="C971" s="85"/>
      <c r="D971" s="85"/>
      <c r="E971" s="85"/>
      <c r="F971" s="85"/>
    </row>
    <row r="972" spans="1:6">
      <c r="A972" s="84"/>
      <c r="B972" s="85"/>
      <c r="C972" s="85"/>
      <c r="D972" s="85"/>
      <c r="E972" s="85"/>
      <c r="F972" s="85"/>
    </row>
    <row r="973" spans="1:6">
      <c r="A973" s="84"/>
      <c r="B973" s="85"/>
      <c r="C973" s="85"/>
      <c r="D973" s="85"/>
      <c r="E973" s="85"/>
      <c r="F973" s="85"/>
    </row>
    <row r="974" spans="1:6">
      <c r="A974" s="84"/>
      <c r="B974" s="85"/>
      <c r="C974" s="85"/>
      <c r="D974" s="85"/>
      <c r="E974" s="85"/>
      <c r="F974" s="85"/>
    </row>
    <row r="975" spans="1:6">
      <c r="A975" s="84"/>
      <c r="B975" s="85"/>
      <c r="C975" s="85"/>
      <c r="D975" s="85"/>
      <c r="E975" s="85"/>
      <c r="F975" s="85"/>
    </row>
    <row r="976" spans="1:6">
      <c r="A976" s="84"/>
      <c r="B976" s="85"/>
      <c r="C976" s="85"/>
      <c r="D976" s="85"/>
      <c r="E976" s="85"/>
      <c r="F976" s="85"/>
    </row>
    <row r="977" spans="1:6">
      <c r="A977" s="84"/>
      <c r="B977" s="85"/>
      <c r="C977" s="85"/>
      <c r="D977" s="85"/>
      <c r="E977" s="85"/>
      <c r="F977" s="85"/>
    </row>
    <row r="978" spans="1:6">
      <c r="A978" s="84"/>
      <c r="B978" s="85"/>
      <c r="C978" s="85"/>
      <c r="D978" s="85"/>
      <c r="E978" s="85"/>
      <c r="F978" s="85"/>
    </row>
    <row r="979" spans="1:6">
      <c r="A979" s="84"/>
      <c r="B979" s="85"/>
      <c r="C979" s="85"/>
      <c r="D979" s="85"/>
      <c r="E979" s="85"/>
      <c r="F979" s="85"/>
    </row>
    <row r="980" spans="1:6">
      <c r="A980" s="84"/>
      <c r="B980" s="85"/>
      <c r="C980" s="85"/>
      <c r="D980" s="85"/>
      <c r="E980" s="85"/>
      <c r="F980" s="85"/>
    </row>
    <row r="981" spans="1:6">
      <c r="A981" s="84"/>
      <c r="B981" s="85"/>
      <c r="C981" s="85"/>
      <c r="D981" s="85"/>
      <c r="E981" s="85"/>
      <c r="F981" s="85"/>
    </row>
    <row r="982" spans="1:6">
      <c r="A982" s="84"/>
      <c r="B982" s="85"/>
      <c r="C982" s="85"/>
      <c r="D982" s="85"/>
      <c r="E982" s="85"/>
      <c r="F982" s="85"/>
    </row>
    <row r="983" spans="1:6">
      <c r="A983" s="84"/>
      <c r="B983" s="85"/>
      <c r="C983" s="85"/>
      <c r="D983" s="85"/>
      <c r="E983" s="85"/>
      <c r="F983" s="85"/>
    </row>
    <row r="984" spans="1:6">
      <c r="A984" s="84"/>
      <c r="B984" s="85"/>
      <c r="C984" s="85"/>
      <c r="D984" s="85"/>
      <c r="E984" s="85"/>
      <c r="F984" s="85"/>
    </row>
    <row r="985" spans="1:6">
      <c r="A985" s="84"/>
      <c r="B985" s="85"/>
      <c r="C985" s="85"/>
      <c r="D985" s="85"/>
      <c r="E985" s="85"/>
      <c r="F985" s="85"/>
    </row>
    <row r="986" spans="1:6">
      <c r="A986" s="84"/>
      <c r="B986" s="85"/>
      <c r="C986" s="85"/>
      <c r="D986" s="85"/>
      <c r="E986" s="85"/>
      <c r="F986" s="85"/>
    </row>
    <row r="987" spans="1:6">
      <c r="A987" s="84"/>
      <c r="B987" s="85"/>
      <c r="C987" s="85"/>
      <c r="D987" s="85"/>
      <c r="E987" s="85"/>
      <c r="F987" s="85"/>
    </row>
    <row r="988" spans="1:6">
      <c r="A988" s="84"/>
      <c r="B988" s="85"/>
      <c r="C988" s="85"/>
      <c r="D988" s="85"/>
      <c r="E988" s="85"/>
      <c r="F988" s="85"/>
    </row>
    <row r="989" spans="1:6">
      <c r="A989" s="84"/>
      <c r="B989" s="85"/>
      <c r="C989" s="85"/>
      <c r="D989" s="85"/>
      <c r="E989" s="85"/>
      <c r="F989" s="85"/>
    </row>
    <row r="990" spans="1:6">
      <c r="A990" s="84"/>
      <c r="B990" s="85"/>
      <c r="C990" s="85"/>
      <c r="D990" s="85"/>
      <c r="E990" s="85"/>
      <c r="F990" s="85"/>
    </row>
    <row r="991" spans="1:6">
      <c r="A991" s="84"/>
      <c r="B991" s="85"/>
      <c r="C991" s="85"/>
      <c r="D991" s="85"/>
      <c r="E991" s="85"/>
      <c r="F991" s="85"/>
    </row>
    <row r="992" spans="1:6">
      <c r="A992" s="84"/>
      <c r="B992" s="85"/>
      <c r="C992" s="85"/>
      <c r="D992" s="85"/>
      <c r="E992" s="85"/>
      <c r="F992" s="85"/>
    </row>
    <row r="993" spans="1:6">
      <c r="A993" s="84"/>
      <c r="B993" s="85"/>
      <c r="C993" s="85"/>
      <c r="D993" s="85"/>
      <c r="E993" s="85"/>
      <c r="F993" s="85"/>
    </row>
    <row r="994" spans="1:6">
      <c r="A994" s="84"/>
      <c r="B994" s="85"/>
      <c r="C994" s="85"/>
      <c r="D994" s="85"/>
      <c r="E994" s="85"/>
      <c r="F994" s="85"/>
    </row>
    <row r="995" spans="1:6">
      <c r="A995" s="84"/>
      <c r="B995" s="85"/>
      <c r="C995" s="85"/>
      <c r="D995" s="85"/>
      <c r="E995" s="85"/>
      <c r="F995" s="85"/>
    </row>
    <row r="996" spans="1:6">
      <c r="A996" s="84"/>
      <c r="B996" s="85"/>
      <c r="C996" s="85"/>
      <c r="D996" s="85"/>
      <c r="E996" s="85"/>
      <c r="F996" s="85"/>
    </row>
    <row r="997" spans="1:6">
      <c r="A997" s="84"/>
      <c r="B997" s="85"/>
      <c r="C997" s="85"/>
      <c r="D997" s="85"/>
      <c r="E997" s="85"/>
      <c r="F997" s="85"/>
    </row>
    <row r="998" spans="1:6">
      <c r="A998" s="84"/>
      <c r="B998" s="85"/>
      <c r="C998" s="85"/>
      <c r="D998" s="85"/>
      <c r="E998" s="85"/>
      <c r="F998" s="85"/>
    </row>
    <row r="999" spans="1:6">
      <c r="A999" s="84"/>
      <c r="B999" s="85"/>
      <c r="C999" s="85"/>
      <c r="D999" s="85"/>
      <c r="E999" s="85"/>
      <c r="F999" s="85"/>
    </row>
    <row r="1000" spans="1:6">
      <c r="A1000" s="84"/>
      <c r="B1000" s="85"/>
      <c r="C1000" s="85"/>
      <c r="D1000" s="85"/>
      <c r="E1000" s="85"/>
      <c r="F1000" s="85"/>
    </row>
    <row r="1001" spans="1:6">
      <c r="A1001" s="84"/>
      <c r="B1001" s="85"/>
      <c r="C1001" s="85"/>
      <c r="D1001" s="85"/>
      <c r="E1001" s="85"/>
      <c r="F1001" s="85"/>
    </row>
    <row r="1002" spans="1:6">
      <c r="A1002" s="84"/>
      <c r="B1002" s="85"/>
      <c r="C1002" s="85"/>
      <c r="D1002" s="85"/>
      <c r="E1002" s="85"/>
      <c r="F1002" s="85"/>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C34C4-6422-0C43-92DB-5ECD40C3529A}">
  <sheetPr codeName="Sheet22"/>
  <dimension ref="A1:J327"/>
  <sheetViews>
    <sheetView workbookViewId="0">
      <selection activeCell="K15" sqref="K15"/>
    </sheetView>
  </sheetViews>
  <sheetFormatPr baseColWidth="10" defaultRowHeight="16"/>
  <cols>
    <col min="7" max="7" width="11" customWidth="1"/>
    <col min="10" max="10" width="45.83203125" bestFit="1" customWidth="1"/>
  </cols>
  <sheetData>
    <row r="1" spans="1:10">
      <c r="A1" t="s">
        <v>1237</v>
      </c>
      <c r="B1" t="s">
        <v>535</v>
      </c>
      <c r="C1" t="s">
        <v>537</v>
      </c>
      <c r="D1" t="s">
        <v>1289</v>
      </c>
      <c r="E1" t="s">
        <v>541</v>
      </c>
      <c r="F1" t="s">
        <v>1290</v>
      </c>
      <c r="G1" t="s">
        <v>540</v>
      </c>
      <c r="H1" t="s">
        <v>1291</v>
      </c>
    </row>
    <row r="2" spans="1:10">
      <c r="A2">
        <f>RFI_Elements!B2</f>
        <v>1</v>
      </c>
      <c r="B2">
        <f>RFI_Elements!C2</f>
        <v>409</v>
      </c>
      <c r="C2">
        <v>1</v>
      </c>
      <c r="D2">
        <v>1</v>
      </c>
      <c r="E2" s="60">
        <v>43101</v>
      </c>
      <c r="F2">
        <f>VLOOKUP(VLOOKUP(B2,SuiteCatSubElem!$G$2:$H$666,2,0),'SA Q1 18 VR'!$A$33:$O$193,1+MATCH(VLOOKUP(A2,Vendors!$A$2:$B$15,2,0),'SA Q1 18 VR'!$B$24:$O$24,0),0)</f>
        <v>4</v>
      </c>
      <c r="G2" t="s">
        <v>50</v>
      </c>
      <c r="H2">
        <f>RFI_Elements!N2</f>
        <v>1</v>
      </c>
      <c r="J2" t="str">
        <f>VLOOKUP(B2,SuiteCatSubElem!$G$2:$H$666,2,0)</f>
        <v>Schema Support (general)</v>
      </c>
    </row>
    <row r="3" spans="1:10">
      <c r="A3">
        <f>RFI_Elements!B3</f>
        <v>1</v>
      </c>
      <c r="B3">
        <f>RFI_Elements!C3</f>
        <v>410</v>
      </c>
      <c r="C3">
        <v>1</v>
      </c>
      <c r="D3">
        <v>2</v>
      </c>
      <c r="E3" s="60">
        <v>43101</v>
      </c>
      <c r="F3">
        <f>VLOOKUP(VLOOKUP(B3,SuiteCatSubElem!$G$2:$H$666,2,0),'SA Q1 18 VR'!$A$33:$O$193,1+MATCH(VLOOKUP(A3,Vendors!$A$2:$B$15,2,0),'SA Q1 18 VR'!$B$24:$O$24,0),0)</f>
        <v>3</v>
      </c>
      <c r="G3" t="s">
        <v>50</v>
      </c>
      <c r="H3">
        <f>RFI_Elements!N3</f>
        <v>2</v>
      </c>
      <c r="J3" t="str">
        <f>VLOOKUP(B3,SuiteCatSubElem!$G$2:$H$666,2,0)</f>
        <v>Schema Support (out-of-the-box)</v>
      </c>
    </row>
    <row r="4" spans="1:10">
      <c r="A4">
        <f>RFI_Elements!B4</f>
        <v>1</v>
      </c>
      <c r="B4">
        <f>RFI_Elements!C4</f>
        <v>411</v>
      </c>
      <c r="C4">
        <v>1</v>
      </c>
      <c r="D4">
        <v>3</v>
      </c>
      <c r="E4" s="60">
        <v>43101</v>
      </c>
      <c r="F4">
        <f>VLOOKUP(VLOOKUP(B4,SuiteCatSubElem!$G$2:$H$666,2,0),'SA Q1 18 VR'!$A$33:$O$193,1+MATCH(VLOOKUP(A4,Vendors!$A$2:$B$15,2,0),'SA Q1 18 VR'!$B$24:$O$24,0),0)</f>
        <v>3</v>
      </c>
      <c r="G4" t="s">
        <v>50</v>
      </c>
      <c r="H4">
        <f>RFI_Elements!N4</f>
        <v>3</v>
      </c>
      <c r="J4" t="str">
        <f>VLOOKUP(B4,SuiteCatSubElem!$G$2:$H$666,2,0)</f>
        <v>Schema Support (custom)</v>
      </c>
    </row>
    <row r="5" spans="1:10">
      <c r="A5">
        <f>RFI_Elements!B5</f>
        <v>1</v>
      </c>
      <c r="B5">
        <f>RFI_Elements!C5</f>
        <v>412</v>
      </c>
      <c r="C5">
        <v>1</v>
      </c>
      <c r="D5">
        <v>4</v>
      </c>
      <c r="E5" s="60">
        <v>43101</v>
      </c>
      <c r="F5">
        <f>VLOOKUP(VLOOKUP(B5,SuiteCatSubElem!$G$2:$H$666,2,0),'SA Q1 18 VR'!$A$33:$O$193,1+MATCH(VLOOKUP(A5,Vendors!$A$2:$B$15,2,0),'SA Q1 18 VR'!$B$24:$O$24,0),0)</f>
        <v>3</v>
      </c>
      <c r="G5" t="s">
        <v>50</v>
      </c>
      <c r="H5">
        <f>RFI_Elements!N5</f>
        <v>4</v>
      </c>
      <c r="J5" t="str">
        <f>VLOOKUP(B5,SuiteCatSubElem!$G$2:$H$666,2,0)</f>
        <v>Schema Support (multi)</v>
      </c>
    </row>
    <row r="6" spans="1:10">
      <c r="A6">
        <f>RFI_Elements!B6</f>
        <v>1</v>
      </c>
      <c r="B6">
        <f>RFI_Elements!C6</f>
        <v>413</v>
      </c>
      <c r="C6">
        <v>1</v>
      </c>
      <c r="D6">
        <v>5</v>
      </c>
      <c r="E6" s="60">
        <v>43101</v>
      </c>
      <c r="F6">
        <f>VLOOKUP(VLOOKUP(B6,SuiteCatSubElem!$G$2:$H$666,2,0),'SA Q1 18 VR'!$A$33:$O$193,1+MATCH(VLOOKUP(A6,Vendors!$A$2:$B$15,2,0),'SA Q1 18 VR'!$B$24:$O$24,0),0)</f>
        <v>3</v>
      </c>
      <c r="G6" t="s">
        <v>50</v>
      </c>
      <c r="H6">
        <f>RFI_Elements!N6</f>
        <v>5</v>
      </c>
      <c r="J6" t="str">
        <f>VLOOKUP(B6,SuiteCatSubElem!$G$2:$H$666,2,0)</f>
        <v>Cube Capability</v>
      </c>
    </row>
    <row r="7" spans="1:10">
      <c r="A7">
        <f>RFI_Elements!B7</f>
        <v>1</v>
      </c>
      <c r="B7">
        <f>RFI_Elements!C7</f>
        <v>414</v>
      </c>
      <c r="C7">
        <v>1</v>
      </c>
      <c r="D7">
        <v>6</v>
      </c>
      <c r="E7" s="60">
        <v>43101</v>
      </c>
      <c r="F7">
        <f>VLOOKUP(VLOOKUP(B7,SuiteCatSubElem!$G$2:$H$666,2,0),'SA Q1 18 VR'!$A$33:$O$193,1+MATCH(VLOOKUP(A7,Vendors!$A$2:$B$15,2,0),'SA Q1 18 VR'!$B$24:$O$24,0),0)</f>
        <v>3</v>
      </c>
      <c r="G7" t="s">
        <v>50</v>
      </c>
      <c r="H7">
        <f>RFI_Elements!N7</f>
        <v>6</v>
      </c>
      <c r="J7" t="str">
        <f>VLOOKUP(B7,SuiteCatSubElem!$G$2:$H$666,2,0)</f>
        <v>Familying/Normalization</v>
      </c>
    </row>
    <row r="8" spans="1:10">
      <c r="A8">
        <f>RFI_Elements!B8</f>
        <v>1</v>
      </c>
      <c r="B8">
        <f>RFI_Elements!C8</f>
        <v>415</v>
      </c>
      <c r="C8">
        <v>1</v>
      </c>
      <c r="D8">
        <v>7</v>
      </c>
      <c r="E8" s="60">
        <v>43101</v>
      </c>
      <c r="F8">
        <f>VLOOKUP(VLOOKUP(B8,SuiteCatSubElem!$G$2:$H$666,2,0),'SA Q1 18 VR'!$A$33:$O$193,1+MATCH(VLOOKUP(A8,Vendors!$A$2:$B$15,2,0),'SA Q1 18 VR'!$B$24:$O$24,0),0)</f>
        <v>4</v>
      </c>
      <c r="G8" t="s">
        <v>50</v>
      </c>
      <c r="H8">
        <f>RFI_Elements!N8</f>
        <v>7</v>
      </c>
      <c r="J8" t="str">
        <f>VLOOKUP(B8,SuiteCatSubElem!$G$2:$H$666,2,0)</f>
        <v>Formula Support</v>
      </c>
    </row>
    <row r="9" spans="1:10">
      <c r="A9">
        <f>RFI_Elements!B9</f>
        <v>1</v>
      </c>
      <c r="B9">
        <f>RFI_Elements!C9</f>
        <v>416</v>
      </c>
      <c r="C9">
        <v>1</v>
      </c>
      <c r="D9">
        <v>8</v>
      </c>
      <c r="E9" s="60">
        <v>43101</v>
      </c>
      <c r="F9">
        <f>VLOOKUP(VLOOKUP(B9,SuiteCatSubElem!$G$2:$H$666,2,0),'SA Q1 18 VR'!$A$33:$O$193,1+MATCH(VLOOKUP(A9,Vendors!$A$2:$B$15,2,0),'SA Q1 18 VR'!$B$24:$O$24,0),0)</f>
        <v>3</v>
      </c>
      <c r="G9" t="s">
        <v>50</v>
      </c>
      <c r="H9">
        <f>RFI_Elements!N9</f>
        <v>8</v>
      </c>
      <c r="J9" t="str">
        <f>VLOOKUP(B9,SuiteCatSubElem!$G$2:$H$666,2,0)</f>
        <v>Rule/Knowledge Model Editor</v>
      </c>
    </row>
    <row r="10" spans="1:10">
      <c r="A10">
        <f>RFI_Elements!B10</f>
        <v>1</v>
      </c>
      <c r="B10">
        <f>RFI_Elements!C10</f>
        <v>417</v>
      </c>
      <c r="C10">
        <v>1</v>
      </c>
      <c r="D10">
        <v>9</v>
      </c>
      <c r="E10" s="60">
        <v>43101</v>
      </c>
      <c r="F10">
        <f>VLOOKUP(VLOOKUP(B10,SuiteCatSubElem!$G$2:$H$666,2,0),'SA Q1 18 VR'!$A$33:$O$193,1+MATCH(VLOOKUP(A10,Vendors!$A$2:$B$15,2,0),'SA Q1 18 VR'!$B$24:$O$24,0),0)</f>
        <v>4</v>
      </c>
      <c r="G10" t="s">
        <v>50</v>
      </c>
      <c r="H10">
        <f>RFI_Elements!N10</f>
        <v>9</v>
      </c>
      <c r="J10" t="str">
        <f>VLOOKUP(B10,SuiteCatSubElem!$G$2:$H$666,2,0)</f>
        <v>ETL (Extract / Transform / Load)</v>
      </c>
    </row>
    <row r="11" spans="1:10">
      <c r="A11">
        <f>RFI_Elements!B11</f>
        <v>1</v>
      </c>
      <c r="B11">
        <f>RFI_Elements!C11</f>
        <v>418</v>
      </c>
      <c r="C11">
        <v>1</v>
      </c>
      <c r="D11">
        <v>10</v>
      </c>
      <c r="E11" s="60">
        <v>43101</v>
      </c>
      <c r="F11">
        <f>VLOOKUP(VLOOKUP(B11,SuiteCatSubElem!$G$2:$H$666,2,0),'SA Q1 18 VR'!$A$33:$O$193,1+MATCH(VLOOKUP(A11,Vendors!$A$2:$B$15,2,0),'SA Q1 18 VR'!$B$24:$O$24,0),0)</f>
        <v>3</v>
      </c>
      <c r="G11" t="s">
        <v>50</v>
      </c>
      <c r="H11">
        <f>RFI_Elements!N11</f>
        <v>10</v>
      </c>
      <c r="J11" t="str">
        <f>VLOOKUP(B11,SuiteCatSubElem!$G$2:$H$666,2,0)</f>
        <v>Out of the box ERP integrations</v>
      </c>
    </row>
    <row r="12" spans="1:10">
      <c r="A12">
        <f>RFI_Elements!B12</f>
        <v>1</v>
      </c>
      <c r="B12">
        <f>RFI_Elements!C12</f>
        <v>419</v>
      </c>
      <c r="C12">
        <v>1</v>
      </c>
      <c r="D12">
        <v>11</v>
      </c>
      <c r="E12" s="60">
        <v>43101</v>
      </c>
      <c r="F12">
        <f>VLOOKUP(VLOOKUP(B12,SuiteCatSubElem!$G$2:$H$666,2,0),'SA Q1 18 VR'!$A$33:$O$193,1+MATCH(VLOOKUP(A12,Vendors!$A$2:$B$15,2,0),'SA Q1 18 VR'!$B$24:$O$24,0),0)</f>
        <v>2</v>
      </c>
      <c r="G12" t="s">
        <v>50</v>
      </c>
      <c r="H12">
        <f>RFI_Elements!N12</f>
        <v>11</v>
      </c>
      <c r="J12" t="str">
        <f>VLOOKUP(B12,SuiteCatSubElem!$G$2:$H$666,2,0)</f>
        <v>Source-to-Pay Integrations (out-of-the-box )</v>
      </c>
    </row>
    <row r="13" spans="1:10">
      <c r="A13">
        <f>RFI_Elements!B13</f>
        <v>1</v>
      </c>
      <c r="B13">
        <f>RFI_Elements!C13</f>
        <v>420</v>
      </c>
      <c r="C13">
        <v>1</v>
      </c>
      <c r="D13">
        <v>12</v>
      </c>
      <c r="E13" s="60">
        <v>43101</v>
      </c>
      <c r="F13">
        <f>VLOOKUP(VLOOKUP(B13,SuiteCatSubElem!$G$2:$H$666,2,0),'SA Q1 18 VR'!$A$33:$O$193,1+MATCH(VLOOKUP(A13,Vendors!$A$2:$B$15,2,0),'SA Q1 18 VR'!$B$24:$O$24,0),0)</f>
        <v>3</v>
      </c>
      <c r="G13" t="s">
        <v>50</v>
      </c>
      <c r="H13">
        <f>RFI_Elements!N13</f>
        <v>12</v>
      </c>
      <c r="J13" t="str">
        <f>VLOOKUP(B13,SuiteCatSubElem!$G$2:$H$666,2,0)</f>
        <v>Rules Set</v>
      </c>
    </row>
    <row r="14" spans="1:10">
      <c r="A14">
        <f>RFI_Elements!B14</f>
        <v>1</v>
      </c>
      <c r="B14">
        <f>RFI_Elements!C14</f>
        <v>421</v>
      </c>
      <c r="C14">
        <v>1</v>
      </c>
      <c r="D14">
        <v>13</v>
      </c>
      <c r="E14" s="60">
        <v>43101</v>
      </c>
      <c r="F14">
        <f>VLOOKUP(VLOOKUP(B14,SuiteCatSubElem!$G$2:$H$666,2,0),'SA Q1 18 VR'!$A$33:$O$193,1+MATCH(VLOOKUP(A14,Vendors!$A$2:$B$15,2,0),'SA Q1 18 VR'!$B$24:$O$24,0),0)</f>
        <v>3</v>
      </c>
      <c r="G14" t="s">
        <v>50</v>
      </c>
      <c r="H14">
        <f>RFI_Elements!N14</f>
        <v>13</v>
      </c>
      <c r="J14" t="str">
        <f>VLOOKUP(B14,SuiteCatSubElem!$G$2:$H$666,2,0)</f>
        <v>Rule Groups (including reg-ex / formula support)</v>
      </c>
    </row>
    <row r="15" spans="1:10">
      <c r="A15">
        <f>RFI_Elements!B15</f>
        <v>1</v>
      </c>
      <c r="B15">
        <f>RFI_Elements!C15</f>
        <v>422</v>
      </c>
      <c r="C15">
        <v>1</v>
      </c>
      <c r="D15">
        <v>14</v>
      </c>
      <c r="E15" s="60">
        <v>43101</v>
      </c>
      <c r="F15">
        <f>VLOOKUP(VLOOKUP(B15,SuiteCatSubElem!$G$2:$H$666,2,0),'SA Q1 18 VR'!$A$33:$O$193,1+MATCH(VLOOKUP(A15,Vendors!$A$2:$B$15,2,0),'SA Q1 18 VR'!$B$24:$O$24,0),0)</f>
        <v>3</v>
      </c>
      <c r="G15" t="s">
        <v>50</v>
      </c>
      <c r="H15">
        <f>RFI_Elements!N15</f>
        <v>14</v>
      </c>
      <c r="J15" t="str">
        <f>VLOOKUP(B15,SuiteCatSubElem!$G$2:$H$666,2,0)</f>
        <v>Enrich</v>
      </c>
    </row>
    <row r="16" spans="1:10">
      <c r="A16">
        <f>RFI_Elements!B16</f>
        <v>1</v>
      </c>
      <c r="B16">
        <f>RFI_Elements!C16</f>
        <v>423</v>
      </c>
      <c r="C16">
        <v>1</v>
      </c>
      <c r="D16">
        <v>15</v>
      </c>
      <c r="E16" s="60">
        <v>43101</v>
      </c>
      <c r="F16">
        <f>VLOOKUP(VLOOKUP(B16,SuiteCatSubElem!$G$2:$H$666,2,0),'SA Q1 18 VR'!$A$33:$O$193,1+MATCH(VLOOKUP(A16,Vendors!$A$2:$B$15,2,0),'SA Q1 18 VR'!$B$24:$O$24,0),0)</f>
        <v>3</v>
      </c>
      <c r="G16" t="s">
        <v>50</v>
      </c>
      <c r="H16">
        <f>RFI_Elements!N16</f>
        <v>15</v>
      </c>
      <c r="J16" t="str">
        <f>VLOOKUP(B16,SuiteCatSubElem!$G$2:$H$666,2,0)</f>
        <v>3rd Party Data Feed Integrations (out-of-the-box)</v>
      </c>
    </row>
    <row r="17" spans="1:10">
      <c r="A17">
        <f>RFI_Elements!B17</f>
        <v>1</v>
      </c>
      <c r="B17">
        <f>RFI_Elements!C17</f>
        <v>424</v>
      </c>
      <c r="C17">
        <v>1</v>
      </c>
      <c r="D17">
        <v>16</v>
      </c>
      <c r="E17" s="60">
        <v>43101</v>
      </c>
      <c r="F17">
        <f>VLOOKUP(VLOOKUP(B17,SuiteCatSubElem!$G$2:$H$666,2,0),'SA Q1 18 VR'!$A$33:$O$193,1+MATCH(VLOOKUP(A17,Vendors!$A$2:$B$15,2,0),'SA Q1 18 VR'!$B$24:$O$24,0),0)</f>
        <v>3</v>
      </c>
      <c r="G17" t="s">
        <v>50</v>
      </c>
      <c r="H17">
        <f>RFI_Elements!N17</f>
        <v>16</v>
      </c>
      <c r="J17" t="str">
        <f>VLOOKUP(B17,SuiteCatSubElem!$G$2:$H$666,2,0)</f>
        <v>Multi-Source Cross-Joins</v>
      </c>
    </row>
    <row r="18" spans="1:10">
      <c r="A18">
        <f>RFI_Elements!B18</f>
        <v>1</v>
      </c>
      <c r="B18">
        <f>RFI_Elements!C18</f>
        <v>425</v>
      </c>
      <c r="C18">
        <v>1</v>
      </c>
      <c r="D18">
        <v>17</v>
      </c>
      <c r="E18" s="60">
        <v>43101</v>
      </c>
      <c r="F18">
        <f>VLOOKUP(VLOOKUP(B18,SuiteCatSubElem!$G$2:$H$666,2,0),'SA Q1 18 VR'!$A$33:$O$193,1+MATCH(VLOOKUP(A18,Vendors!$A$2:$B$15,2,0),'SA Q1 18 VR'!$B$24:$O$24,0),0)</f>
        <v>3</v>
      </c>
      <c r="G18" t="s">
        <v>50</v>
      </c>
      <c r="H18">
        <f>RFI_Elements!N18</f>
        <v>17</v>
      </c>
      <c r="J18" t="str">
        <f>VLOOKUP(B18,SuiteCatSubElem!$G$2:$H$666,2,0)</f>
        <v>Classification / Categorization</v>
      </c>
    </row>
    <row r="19" spans="1:10">
      <c r="A19">
        <f>RFI_Elements!B19</f>
        <v>1</v>
      </c>
      <c r="B19">
        <f>RFI_Elements!C19</f>
        <v>426</v>
      </c>
      <c r="C19">
        <v>1</v>
      </c>
      <c r="D19">
        <v>18</v>
      </c>
      <c r="E19" s="60">
        <v>43101</v>
      </c>
      <c r="F19">
        <f>VLOOKUP(VLOOKUP(B19,SuiteCatSubElem!$G$2:$H$666,2,0),'SA Q1 18 VR'!$A$33:$O$193,1+MATCH(VLOOKUP(A19,Vendors!$A$2:$B$15,2,0),'SA Q1 18 VR'!$B$24:$O$24,0),0)</f>
        <v>3</v>
      </c>
      <c r="G19" t="s">
        <v>50</v>
      </c>
      <c r="H19">
        <f>RFI_Elements!N19</f>
        <v>18</v>
      </c>
      <c r="J19" t="str">
        <f>VLOOKUP(B19,SuiteCatSubElem!$G$2:$H$666,2,0)</f>
        <v>Manual Support</v>
      </c>
    </row>
    <row r="20" spans="1:10">
      <c r="A20">
        <f>RFI_Elements!B20</f>
        <v>1</v>
      </c>
      <c r="B20">
        <f>RFI_Elements!C20</f>
        <v>427</v>
      </c>
      <c r="C20">
        <v>1</v>
      </c>
      <c r="D20">
        <v>19</v>
      </c>
      <c r="E20" s="60">
        <v>43101</v>
      </c>
      <c r="F20">
        <f>VLOOKUP(VLOOKUP(B20,SuiteCatSubElem!$G$2:$H$666,2,0),'SA Q1 18 VR'!$A$33:$O$193,1+MATCH(VLOOKUP(A20,Vendors!$A$2:$B$15,2,0),'SA Q1 18 VR'!$B$24:$O$24,0),0)</f>
        <v>3</v>
      </c>
      <c r="G20" t="s">
        <v>50</v>
      </c>
      <c r="H20">
        <f>RFI_Elements!N20</f>
        <v>19</v>
      </c>
      <c r="J20" t="str">
        <f>VLOOKUP(B20,SuiteCatSubElem!$G$2:$H$666,2,0)</f>
        <v>Arbitrary Dimensions in Rules</v>
      </c>
    </row>
    <row r="21" spans="1:10">
      <c r="A21">
        <f>RFI_Elements!B21</f>
        <v>1</v>
      </c>
      <c r="B21">
        <f>RFI_Elements!C21</f>
        <v>428</v>
      </c>
      <c r="C21">
        <v>1</v>
      </c>
      <c r="D21">
        <v>20</v>
      </c>
      <c r="E21" s="60">
        <v>43101</v>
      </c>
      <c r="F21">
        <f>VLOOKUP(VLOOKUP(B21,SuiteCatSubElem!$G$2:$H$666,2,0),'SA Q1 18 VR'!$A$33:$O$193,1+MATCH(VLOOKUP(A21,Vendors!$A$2:$B$15,2,0),'SA Q1 18 VR'!$B$24:$O$24,0),0)</f>
        <v>3</v>
      </c>
      <c r="G21" t="s">
        <v>50</v>
      </c>
      <c r="H21">
        <f>RFI_Elements!N21</f>
        <v>20</v>
      </c>
      <c r="J21" t="str">
        <f>VLOOKUP(B21,SuiteCatSubElem!$G$2:$H$666,2,0)</f>
        <v>Collaboration</v>
      </c>
    </row>
    <row r="22" spans="1:10">
      <c r="A22">
        <f>RFI_Elements!B22</f>
        <v>1</v>
      </c>
      <c r="B22">
        <f>RFI_Elements!C22</f>
        <v>429</v>
      </c>
      <c r="C22">
        <v>1</v>
      </c>
      <c r="D22">
        <v>21</v>
      </c>
      <c r="E22" s="60">
        <v>43101</v>
      </c>
      <c r="F22">
        <f>VLOOKUP(VLOOKUP(B22,SuiteCatSubElem!$G$2:$H$666,2,0),'SA Q1 18 VR'!$A$33:$O$193,1+MATCH(VLOOKUP(A22,Vendors!$A$2:$B$15,2,0),'SA Q1 18 VR'!$B$24:$O$24,0),0)</f>
        <v>3</v>
      </c>
      <c r="G22" t="s">
        <v>50</v>
      </c>
      <c r="H22">
        <f>RFI_Elements!N22</f>
        <v>21</v>
      </c>
      <c r="J22" t="str">
        <f>VLOOKUP(B22,SuiteCatSubElem!$G$2:$H$666,2,0)</f>
        <v>Query Capability</v>
      </c>
    </row>
    <row r="23" spans="1:10">
      <c r="A23">
        <f>RFI_Elements!B23</f>
        <v>1</v>
      </c>
      <c r="B23">
        <f>RFI_Elements!C23</f>
        <v>430</v>
      </c>
      <c r="C23">
        <v>1</v>
      </c>
      <c r="D23">
        <v>22</v>
      </c>
      <c r="E23" s="60">
        <v>43101</v>
      </c>
      <c r="F23">
        <f>VLOOKUP(VLOOKUP(B23,SuiteCatSubElem!$G$2:$H$666,2,0),'SA Q1 18 VR'!$A$33:$O$193,1+MATCH(VLOOKUP(A23,Vendors!$A$2:$B$15,2,0),'SA Q1 18 VR'!$B$24:$O$24,0),0)</f>
        <v>1</v>
      </c>
      <c r="G23" t="s">
        <v>50</v>
      </c>
      <c r="H23">
        <f>RFI_Elements!N23</f>
        <v>22</v>
      </c>
      <c r="J23" t="str">
        <f>VLOOKUP(B23,SuiteCatSubElem!$G$2:$H$666,2,0)</f>
        <v>AI</v>
      </c>
    </row>
    <row r="24" spans="1:10">
      <c r="A24">
        <f>RFI_Elements!B24</f>
        <v>1</v>
      </c>
      <c r="B24">
        <f>RFI_Elements!C24</f>
        <v>431</v>
      </c>
      <c r="C24">
        <v>1</v>
      </c>
      <c r="D24">
        <v>23</v>
      </c>
      <c r="E24" s="60">
        <v>43101</v>
      </c>
      <c r="F24">
        <f>VLOOKUP(VLOOKUP(B24,SuiteCatSubElem!$G$2:$H$666,2,0),'SA Q1 18 VR'!$A$33:$O$193,1+MATCH(VLOOKUP(A24,Vendors!$A$2:$B$15,2,0),'SA Q1 18 VR'!$B$24:$O$24,0),0)</f>
        <v>2</v>
      </c>
      <c r="G24" t="s">
        <v>50</v>
      </c>
      <c r="H24">
        <f>RFI_Elements!N24</f>
        <v>23</v>
      </c>
      <c r="J24" t="str">
        <f>VLOOKUP(B24,SuiteCatSubElem!$G$2:$H$666,2,0)</f>
        <v>Hybrid</v>
      </c>
    </row>
    <row r="25" spans="1:10">
      <c r="A25">
        <f>RFI_Elements!B25</f>
        <v>1</v>
      </c>
      <c r="B25">
        <f>RFI_Elements!C25</f>
        <v>432</v>
      </c>
      <c r="C25">
        <v>1</v>
      </c>
      <c r="D25">
        <v>24</v>
      </c>
      <c r="E25" s="60">
        <v>43101</v>
      </c>
      <c r="F25">
        <f>VLOOKUP(VLOOKUP(B25,SuiteCatSubElem!$G$2:$H$666,2,0),'SA Q1 18 VR'!$A$33:$O$193,1+MATCH(VLOOKUP(A25,Vendors!$A$2:$B$15,2,0),'SA Q1 18 VR'!$B$24:$O$24,0),0)</f>
        <v>3</v>
      </c>
      <c r="G25" t="s">
        <v>50</v>
      </c>
      <c r="H25">
        <f>RFI_Elements!N25</f>
        <v>24</v>
      </c>
      <c r="J25" t="str">
        <f>VLOOKUP(B25,SuiteCatSubElem!$G$2:$H$666,2,0)</f>
        <v>Data Integrity Analytics</v>
      </c>
    </row>
    <row r="26" spans="1:10">
      <c r="A26">
        <f>RFI_Elements!B26</f>
        <v>1</v>
      </c>
      <c r="B26">
        <f>RFI_Elements!C26</f>
        <v>433</v>
      </c>
      <c r="C26">
        <v>1</v>
      </c>
      <c r="D26">
        <v>25</v>
      </c>
      <c r="E26" s="60">
        <v>43101</v>
      </c>
      <c r="F26">
        <f>VLOOKUP(VLOOKUP(B26,SuiteCatSubElem!$G$2:$H$666,2,0),'SA Q1 18 VR'!$A$33:$O$193,1+MATCH(VLOOKUP(A26,Vendors!$A$2:$B$15,2,0),'SA Q1 18 VR'!$B$24:$O$24,0),0)</f>
        <v>2</v>
      </c>
      <c r="G26" t="s">
        <v>50</v>
      </c>
      <c r="H26">
        <f>RFI_Elements!N26</f>
        <v>25</v>
      </c>
      <c r="J26" t="str">
        <f>VLOOKUP(B26,SuiteCatSubElem!$G$2:$H$666,2,0)</f>
        <v>Outlier Identification</v>
      </c>
    </row>
    <row r="27" spans="1:10">
      <c r="A27">
        <f>RFI_Elements!B27</f>
        <v>1</v>
      </c>
      <c r="B27">
        <f>RFI_Elements!C27</f>
        <v>434</v>
      </c>
      <c r="C27">
        <v>1</v>
      </c>
      <c r="D27">
        <v>26</v>
      </c>
      <c r="E27" s="60">
        <v>43101</v>
      </c>
      <c r="F27">
        <f>VLOOKUP(VLOOKUP(B27,SuiteCatSubElem!$G$2:$H$666,2,0),'SA Q1 18 VR'!$A$33:$O$193,1+MATCH(VLOOKUP(A27,Vendors!$A$2:$B$15,2,0),'SA Q1 18 VR'!$B$24:$O$24,0),0)</f>
        <v>2</v>
      </c>
      <c r="G27" t="s">
        <v>50</v>
      </c>
      <c r="H27">
        <f>RFI_Elements!N27</f>
        <v>26</v>
      </c>
      <c r="J27" t="str">
        <f>VLOOKUP(B27,SuiteCatSubElem!$G$2:$H$666,2,0)</f>
        <v>Statistical Analysis / Frequency Mapping</v>
      </c>
    </row>
    <row r="28" spans="1:10">
      <c r="A28">
        <f>RFI_Elements!B28</f>
        <v>1</v>
      </c>
      <c r="B28">
        <f>RFI_Elements!C28</f>
        <v>435</v>
      </c>
      <c r="C28">
        <v>1</v>
      </c>
      <c r="D28">
        <v>27</v>
      </c>
      <c r="E28" s="60">
        <v>43101</v>
      </c>
      <c r="F28">
        <f>VLOOKUP(VLOOKUP(B28,SuiteCatSubElem!$G$2:$H$666,2,0),'SA Q1 18 VR'!$A$33:$O$193,1+MATCH(VLOOKUP(A28,Vendors!$A$2:$B$15,2,0),'SA Q1 18 VR'!$B$24:$O$24,0),0)</f>
        <v>3</v>
      </c>
      <c r="G28" t="s">
        <v>50</v>
      </c>
      <c r="H28">
        <f>RFI_Elements!N28</f>
        <v>27</v>
      </c>
      <c r="J28" t="str">
        <f>VLOOKUP(B28,SuiteCatSubElem!$G$2:$H$666,2,0)</f>
        <v>Sliding Time-Scale</v>
      </c>
    </row>
    <row r="29" spans="1:10">
      <c r="A29">
        <f>RFI_Elements!B29</f>
        <v>1</v>
      </c>
      <c r="B29">
        <f>RFI_Elements!C29</f>
        <v>436</v>
      </c>
      <c r="C29">
        <v>1</v>
      </c>
      <c r="D29">
        <v>28</v>
      </c>
      <c r="E29" s="60">
        <v>43101</v>
      </c>
      <c r="F29">
        <f>VLOOKUP(VLOOKUP(B29,SuiteCatSubElem!$G$2:$H$666,2,0),'SA Q1 18 VR'!$A$33:$O$193,1+MATCH(VLOOKUP(A29,Vendors!$A$2:$B$15,2,0),'SA Q1 18 VR'!$B$24:$O$24,0),0)</f>
        <v>4</v>
      </c>
      <c r="G29" t="s">
        <v>50</v>
      </c>
      <c r="H29">
        <f>RFI_Elements!N29</f>
        <v>28</v>
      </c>
      <c r="J29" t="str">
        <f>VLOOKUP(B29,SuiteCatSubElem!$G$2:$H$666,2,0)</f>
        <v>VAR: Visualize, Analyze, Report</v>
      </c>
    </row>
    <row r="30" spans="1:10">
      <c r="A30">
        <f>RFI_Elements!B30</f>
        <v>1</v>
      </c>
      <c r="B30">
        <f>RFI_Elements!C30</f>
        <v>437</v>
      </c>
      <c r="C30">
        <v>1</v>
      </c>
      <c r="D30">
        <v>29</v>
      </c>
      <c r="E30" s="60">
        <v>43101</v>
      </c>
      <c r="F30">
        <f>VLOOKUP(VLOOKUP(B30,SuiteCatSubElem!$G$2:$H$666,2,0),'SA Q1 18 VR'!$A$33:$O$193,1+MATCH(VLOOKUP(A30,Vendors!$A$2:$B$15,2,0),'SA Q1 18 VR'!$B$24:$O$24,0),0)</f>
        <v>4</v>
      </c>
      <c r="G30" t="s">
        <v>50</v>
      </c>
      <c r="H30">
        <f>RFI_Elements!N30</f>
        <v>29</v>
      </c>
      <c r="J30" t="str">
        <f>VLOOKUP(B30,SuiteCatSubElem!$G$2:$H$666,2,0)</f>
        <v>Filter Support</v>
      </c>
    </row>
    <row r="31" spans="1:10">
      <c r="A31">
        <f>RFI_Elements!B31</f>
        <v>1</v>
      </c>
      <c r="B31">
        <f>RFI_Elements!C31</f>
        <v>438</v>
      </c>
      <c r="C31">
        <v>1</v>
      </c>
      <c r="D31">
        <v>30</v>
      </c>
      <c r="E31" s="60">
        <v>43101</v>
      </c>
      <c r="F31">
        <f>VLOOKUP(VLOOKUP(B31,SuiteCatSubElem!$G$2:$H$666,2,0),'SA Q1 18 VR'!$A$33:$O$193,1+MATCH(VLOOKUP(A31,Vendors!$A$2:$B$15,2,0),'SA Q1 18 VR'!$B$24:$O$24,0),0)</f>
        <v>4</v>
      </c>
      <c r="G31" t="s">
        <v>50</v>
      </c>
      <c r="H31">
        <f>RFI_Elements!N31</f>
        <v>30</v>
      </c>
      <c r="J31" t="str">
        <f>VLOOKUP(B31,SuiteCatSubElem!$G$2:$H$666,2,0)</f>
        <v>Formula / Derived Dimension Support</v>
      </c>
    </row>
    <row r="32" spans="1:10">
      <c r="A32">
        <f>RFI_Elements!B32</f>
        <v>1</v>
      </c>
      <c r="B32">
        <f>RFI_Elements!C32</f>
        <v>439</v>
      </c>
      <c r="C32">
        <v>1</v>
      </c>
      <c r="D32">
        <v>31</v>
      </c>
      <c r="E32" s="60">
        <v>43101</v>
      </c>
      <c r="F32">
        <f>VLOOKUP(VLOOKUP(B32,SuiteCatSubElem!$G$2:$H$666,2,0),'SA Q1 18 VR'!$A$33:$O$193,1+MATCH(VLOOKUP(A32,Vendors!$A$2:$B$15,2,0),'SA Q1 18 VR'!$B$24:$O$24,0),0)</f>
        <v>4</v>
      </c>
      <c r="G32" t="s">
        <v>50</v>
      </c>
      <c r="H32">
        <f>RFI_Elements!N32</f>
        <v>31</v>
      </c>
      <c r="J32" t="str">
        <f>VLOOKUP(B32,SuiteCatSubElem!$G$2:$H$666,2,0)</f>
        <v>Extent of Charting / Graphing Capability</v>
      </c>
    </row>
    <row r="33" spans="1:10">
      <c r="A33">
        <f>RFI_Elements!B33</f>
        <v>1</v>
      </c>
      <c r="B33">
        <f>RFI_Elements!C33</f>
        <v>440</v>
      </c>
      <c r="C33">
        <v>1</v>
      </c>
      <c r="D33">
        <v>32</v>
      </c>
      <c r="E33" s="60">
        <v>43101</v>
      </c>
      <c r="F33">
        <f>VLOOKUP(VLOOKUP(B33,SuiteCatSubElem!$G$2:$H$666,2,0),'SA Q1 18 VR'!$A$33:$O$193,1+MATCH(VLOOKUP(A33,Vendors!$A$2:$B$15,2,0),'SA Q1 18 VR'!$B$24:$O$24,0),0)</f>
        <v>4</v>
      </c>
      <c r="G33" t="s">
        <v>50</v>
      </c>
      <c r="H33">
        <f>RFI_Elements!N33</f>
        <v>32</v>
      </c>
      <c r="J33" t="str">
        <f>VLOOKUP(B33,SuiteCatSubElem!$G$2:$H$666,2,0)</f>
        <v>Extent of Report Definition / Building</v>
      </c>
    </row>
    <row r="34" spans="1:10">
      <c r="A34">
        <f>RFI_Elements!B34</f>
        <v>1</v>
      </c>
      <c r="B34">
        <f>RFI_Elements!C34</f>
        <v>441</v>
      </c>
      <c r="C34">
        <v>1</v>
      </c>
      <c r="D34">
        <v>33</v>
      </c>
      <c r="E34" s="60">
        <v>43101</v>
      </c>
      <c r="F34">
        <f>VLOOKUP(VLOOKUP(B34,SuiteCatSubElem!$G$2:$H$666,2,0),'SA Q1 18 VR'!$A$33:$O$193,1+MATCH(VLOOKUP(A34,Vendors!$A$2:$B$15,2,0),'SA Q1 18 VR'!$B$24:$O$24,0),0)</f>
        <v>3</v>
      </c>
      <c r="G34" t="s">
        <v>50</v>
      </c>
      <c r="H34">
        <f>RFI_Elements!N34</f>
        <v>33</v>
      </c>
      <c r="J34" t="str">
        <f>VLOOKUP(B34,SuiteCatSubElem!$G$2:$H$666,2,0)</f>
        <v>ETD (extract / transform / dump)</v>
      </c>
    </row>
    <row r="35" spans="1:10">
      <c r="A35">
        <f>RFI_Elements!B35</f>
        <v>1</v>
      </c>
      <c r="B35">
        <f>RFI_Elements!C35</f>
        <v>442</v>
      </c>
      <c r="C35">
        <v>1</v>
      </c>
      <c r="D35">
        <v>34</v>
      </c>
      <c r="E35" s="60">
        <v>43101</v>
      </c>
      <c r="F35">
        <f>VLOOKUP(VLOOKUP(B35,SuiteCatSubElem!$G$2:$H$666,2,0),'SA Q1 18 VR'!$A$33:$O$193,1+MATCH(VLOOKUP(A35,Vendors!$A$2:$B$15,2,0),'SA Q1 18 VR'!$B$24:$O$24,0),0)</f>
        <v>3</v>
      </c>
      <c r="G35" t="s">
        <v>50</v>
      </c>
      <c r="H35">
        <f>RFI_Elements!N35</f>
        <v>34</v>
      </c>
      <c r="J35" t="str">
        <f>VLOOKUP(B35,SuiteCatSubElem!$G$2:$H$666,2,0)</f>
        <v>Flat File / FTP</v>
      </c>
    </row>
    <row r="36" spans="1:10">
      <c r="A36">
        <f>RFI_Elements!B36</f>
        <v>1</v>
      </c>
      <c r="B36">
        <f>RFI_Elements!C36</f>
        <v>443</v>
      </c>
      <c r="C36">
        <v>1</v>
      </c>
      <c r="D36">
        <v>35</v>
      </c>
      <c r="E36" s="60">
        <v>43101</v>
      </c>
      <c r="F36">
        <f>VLOOKUP(VLOOKUP(B36,SuiteCatSubElem!$G$2:$H$666,2,0),'SA Q1 18 VR'!$A$33:$O$193,1+MATCH(VLOOKUP(A36,Vendors!$A$2:$B$15,2,0),'SA Q1 18 VR'!$B$24:$O$24,0),0)</f>
        <v>3</v>
      </c>
      <c r="G36" t="s">
        <v>50</v>
      </c>
      <c r="H36">
        <f>RFI_Elements!N36</f>
        <v>35</v>
      </c>
      <c r="J36" t="str">
        <f>VLOOKUP(B36,SuiteCatSubElem!$G$2:$H$666,2,0)</f>
        <v>Real-Time Integration</v>
      </c>
    </row>
    <row r="37" spans="1:10">
      <c r="A37">
        <f>RFI_Elements!B38</f>
        <v>1</v>
      </c>
      <c r="B37">
        <f>RFI_Elements!C38</f>
        <v>445</v>
      </c>
      <c r="C37">
        <v>1</v>
      </c>
      <c r="D37">
        <v>37</v>
      </c>
      <c r="E37" s="60">
        <v>43101</v>
      </c>
      <c r="F37">
        <f>VLOOKUP(VLOOKUP(B37,SuiteCatSubElem!$G$2:$H$666,2,0),'SA Q1 18 VR'!$A$33:$O$193,1+MATCH(VLOOKUP(A37,Vendors!$A$2:$B$15,2,0),'SA Q1 18 VR'!$B$24:$O$24,0),0)</f>
        <v>1</v>
      </c>
      <c r="G37" t="s">
        <v>50</v>
      </c>
      <c r="H37">
        <f>RFI_Elements!N38</f>
        <v>37</v>
      </c>
      <c r="J37" t="str">
        <f>VLOOKUP(B37,SuiteCatSubElem!$G$2:$H$666,2,0)</f>
        <v>Predictive Analytics</v>
      </c>
    </row>
    <row r="38" spans="1:10">
      <c r="A38">
        <f>RFI_Elements!B39</f>
        <v>1</v>
      </c>
      <c r="B38">
        <f>RFI_Elements!C39</f>
        <v>446</v>
      </c>
      <c r="C38">
        <v>1</v>
      </c>
      <c r="D38">
        <v>38</v>
      </c>
      <c r="E38" s="60">
        <v>43101</v>
      </c>
      <c r="F38">
        <f>VLOOKUP(VLOOKUP(B38,SuiteCatSubElem!$G$2:$H$666,2,0),'SA Q1 18 VR'!$A$33:$O$193,1+MATCH(VLOOKUP(A38,Vendors!$A$2:$B$15,2,0),'SA Q1 18 VR'!$B$24:$O$24,0),0)</f>
        <v>1</v>
      </c>
      <c r="G38" t="s">
        <v>50</v>
      </c>
      <c r="H38">
        <f>RFI_Elements!N39</f>
        <v>38</v>
      </c>
      <c r="J38" t="str">
        <f>VLOOKUP(B38,SuiteCatSubElem!$G$2:$H$666,2,0)</f>
        <v>Prescriptive Analytics</v>
      </c>
    </row>
    <row r="39" spans="1:10">
      <c r="A39">
        <f>RFI_Elements!B40</f>
        <v>1</v>
      </c>
      <c r="B39">
        <f>RFI_Elements!C40</f>
        <v>447</v>
      </c>
      <c r="C39">
        <v>1</v>
      </c>
      <c r="D39">
        <v>39</v>
      </c>
      <c r="E39" s="60">
        <v>43101</v>
      </c>
      <c r="F39">
        <f>VLOOKUP(VLOOKUP(B39,SuiteCatSubElem!$G$2:$H$666,2,0),'SA Q1 18 VR'!$A$33:$O$193,1+MATCH(VLOOKUP(A39,Vendors!$A$2:$B$15,2,0),'SA Q1 18 VR'!$B$24:$O$24,0),0)</f>
        <v>1</v>
      </c>
      <c r="G39" t="s">
        <v>50</v>
      </c>
      <c r="H39">
        <f>RFI_Elements!N40</f>
        <v>39</v>
      </c>
      <c r="J39" t="str">
        <f>VLOOKUP(B39,SuiteCatSubElem!$G$2:$H$666,2,0)</f>
        <v>Permissive Analytics</v>
      </c>
    </row>
    <row r="40" spans="1:10">
      <c r="A40">
        <f>RFI_Elements!B41</f>
        <v>1</v>
      </c>
      <c r="B40">
        <f>RFI_Elements!C41</f>
        <v>448</v>
      </c>
      <c r="C40">
        <v>1</v>
      </c>
      <c r="D40">
        <v>40</v>
      </c>
      <c r="E40" s="60">
        <v>43101</v>
      </c>
      <c r="F40">
        <f>VLOOKUP(VLOOKUP(B40,SuiteCatSubElem!$G$2:$H$666,2,0),'SA Q1 18 VR'!$A$33:$O$193,1+MATCH(VLOOKUP(A40,Vendors!$A$2:$B$15,2,0),'SA Q1 18 VR'!$B$24:$O$24,0),0)</f>
        <v>3</v>
      </c>
      <c r="G40" t="s">
        <v>50</v>
      </c>
      <c r="H40">
        <f>RFI_Elements!N41</f>
        <v>40</v>
      </c>
      <c r="J40" t="str">
        <f>VLOOKUP(B40,SuiteCatSubElem!$G$2:$H$666,2,0)</f>
        <v>Scorecards</v>
      </c>
    </row>
    <row r="41" spans="1:10">
      <c r="A41">
        <f>RFI_Elements!B42</f>
        <v>1</v>
      </c>
      <c r="B41">
        <f>RFI_Elements!C42</f>
        <v>449</v>
      </c>
      <c r="C41">
        <v>1</v>
      </c>
      <c r="D41">
        <v>41</v>
      </c>
      <c r="E41" s="60">
        <v>43101</v>
      </c>
      <c r="F41">
        <f>VLOOKUP(VLOOKUP(B41,SuiteCatSubElem!$G$2:$H$666,2,0),'SA Q1 18 VR'!$A$33:$O$193,1+MATCH(VLOOKUP(A41,Vendors!$A$2:$B$15,2,0),'SA Q1 18 VR'!$B$24:$O$24,0),0)</f>
        <v>3</v>
      </c>
      <c r="G41" t="s">
        <v>50</v>
      </c>
      <c r="H41">
        <f>RFI_Elements!N42</f>
        <v>41</v>
      </c>
      <c r="J41" t="str">
        <f>VLOOKUP(B41,SuiteCatSubElem!$G$2:$H$666,2,0)</f>
        <v>Template Library</v>
      </c>
    </row>
    <row r="42" spans="1:10">
      <c r="A42">
        <f>RFI_Elements!B43</f>
        <v>1</v>
      </c>
      <c r="B42">
        <f>RFI_Elements!C43</f>
        <v>450</v>
      </c>
      <c r="C42">
        <v>1</v>
      </c>
      <c r="D42">
        <v>42</v>
      </c>
      <c r="E42" s="60">
        <v>43101</v>
      </c>
      <c r="F42">
        <f>VLOOKUP(VLOOKUP(B42,SuiteCatSubElem!$G$2:$H$666,2,0),'SA Q1 18 VR'!$A$33:$O$193,1+MATCH(VLOOKUP(A42,Vendors!$A$2:$B$15,2,0),'SA Q1 18 VR'!$B$24:$O$24,0),0)</f>
        <v>3</v>
      </c>
      <c r="G42" t="s">
        <v>50</v>
      </c>
      <c r="H42">
        <f>RFI_Elements!N43</f>
        <v>42</v>
      </c>
      <c r="J42" t="str">
        <f>VLOOKUP(B42,SuiteCatSubElem!$G$2:$H$666,2,0)</f>
        <v>KPIs</v>
      </c>
    </row>
    <row r="43" spans="1:10">
      <c r="A43">
        <f>RFI_Elements!B44</f>
        <v>1</v>
      </c>
      <c r="B43">
        <f>RFI_Elements!C44</f>
        <v>451</v>
      </c>
      <c r="C43">
        <v>1</v>
      </c>
      <c r="D43">
        <v>43</v>
      </c>
      <c r="E43" s="60">
        <v>43101</v>
      </c>
      <c r="F43">
        <f>VLOOKUP(VLOOKUP(B43,SuiteCatSubElem!$G$2:$H$666,2,0),'SA Q1 18 VR'!$A$33:$O$193,1+MATCH(VLOOKUP(A43,Vendors!$A$2:$B$15,2,0),'SA Q1 18 VR'!$B$24:$O$24,0),0)</f>
        <v>3</v>
      </c>
      <c r="G43" t="s">
        <v>50</v>
      </c>
      <c r="H43">
        <f>RFI_Elements!N44</f>
        <v>43</v>
      </c>
      <c r="J43" t="str">
        <f>VLOOKUP(B43,SuiteCatSubElem!$G$2:$H$666,2,0)</f>
        <v>KPI Library</v>
      </c>
    </row>
    <row r="44" spans="1:10">
      <c r="A44">
        <f>RFI_Elements!B45</f>
        <v>1</v>
      </c>
      <c r="B44">
        <f>RFI_Elements!C45</f>
        <v>452</v>
      </c>
      <c r="C44">
        <v>1</v>
      </c>
      <c r="D44">
        <v>44</v>
      </c>
      <c r="E44" s="60">
        <v>43101</v>
      </c>
      <c r="F44">
        <f>VLOOKUP(VLOOKUP(B44,SuiteCatSubElem!$G$2:$H$666,2,0),'SA Q1 18 VR'!$A$33:$O$193,1+MATCH(VLOOKUP(A44,Vendors!$A$2:$B$15,2,0),'SA Q1 18 VR'!$B$24:$O$24,0),0)</f>
        <v>3</v>
      </c>
      <c r="G44" t="s">
        <v>50</v>
      </c>
      <c r="H44">
        <f>RFI_Elements!N45</f>
        <v>44</v>
      </c>
      <c r="J44" t="str">
        <f>VLOOKUP(B44,SuiteCatSubElem!$G$2:$H$666,2,0)</f>
        <v>Benchmarks</v>
      </c>
    </row>
    <row r="45" spans="1:10">
      <c r="A45">
        <f>RFI_Elements!B46</f>
        <v>1</v>
      </c>
      <c r="B45">
        <f>RFI_Elements!C46</f>
        <v>453</v>
      </c>
      <c r="C45">
        <v>1</v>
      </c>
      <c r="D45">
        <v>45</v>
      </c>
      <c r="E45" s="60">
        <v>43101</v>
      </c>
      <c r="F45">
        <f>VLOOKUP(VLOOKUP(B45,SuiteCatSubElem!$G$2:$H$666,2,0),'SA Q1 18 VR'!$A$33:$O$193,1+MATCH(VLOOKUP(A45,Vendors!$A$2:$B$15,2,0),'SA Q1 18 VR'!$B$24:$O$24,0),0)</f>
        <v>2</v>
      </c>
      <c r="G45" t="s">
        <v>50</v>
      </c>
      <c r="H45">
        <f>RFI_Elements!N46</f>
        <v>45</v>
      </c>
      <c r="J45" t="str">
        <f>VLOOKUP(B45,SuiteCatSubElem!$G$2:$H$666,2,0)</f>
        <v>Internal</v>
      </c>
    </row>
    <row r="46" spans="1:10">
      <c r="A46">
        <f>RFI_Elements!B47</f>
        <v>1</v>
      </c>
      <c r="B46">
        <f>RFI_Elements!C47</f>
        <v>454</v>
      </c>
      <c r="C46">
        <v>1</v>
      </c>
      <c r="D46">
        <v>46</v>
      </c>
      <c r="E46" s="60">
        <v>43101</v>
      </c>
      <c r="F46">
        <f>VLOOKUP(VLOOKUP(B46,SuiteCatSubElem!$G$2:$H$666,2,0),'SA Q1 18 VR'!$A$33:$O$193,1+MATCH(VLOOKUP(A46,Vendors!$A$2:$B$15,2,0),'SA Q1 18 VR'!$B$24:$O$24,0),0)</f>
        <v>2</v>
      </c>
      <c r="G46" t="s">
        <v>50</v>
      </c>
      <c r="H46">
        <f>RFI_Elements!N47</f>
        <v>46</v>
      </c>
      <c r="J46" t="str">
        <f>VLOOKUP(B46,SuiteCatSubElem!$G$2:$H$666,2,0)</f>
        <v>External</v>
      </c>
    </row>
    <row r="47" spans="1:10">
      <c r="A47">
        <f>RFI_Elements!B48</f>
        <v>1</v>
      </c>
      <c r="B47">
        <f>RFI_Elements!C48</f>
        <v>455</v>
      </c>
      <c r="C47">
        <v>1</v>
      </c>
      <c r="D47">
        <v>47</v>
      </c>
      <c r="E47" s="60">
        <v>43101</v>
      </c>
      <c r="F47">
        <f>VLOOKUP(VLOOKUP(B47,SuiteCatSubElem!$G$2:$H$666,2,0),'SA Q1 18 VR'!$A$33:$O$193,1+MATCH(VLOOKUP(A47,Vendors!$A$2:$B$15,2,0),'SA Q1 18 VR'!$B$24:$O$24,0),0)</f>
        <v>4</v>
      </c>
      <c r="G47" t="s">
        <v>50</v>
      </c>
      <c r="H47">
        <f>RFI_Elements!N48</f>
        <v>47</v>
      </c>
      <c r="J47" t="str">
        <f>VLOOKUP(B47,SuiteCatSubElem!$G$2:$H$666,2,0)</f>
        <v>Cost Avoidance / Opportunity Program Management</v>
      </c>
    </row>
    <row r="48" spans="1:10">
      <c r="A48">
        <f>RFI_Elements!B49</f>
        <v>1</v>
      </c>
      <c r="B48">
        <f>RFI_Elements!C49</f>
        <v>456</v>
      </c>
      <c r="C48">
        <v>1</v>
      </c>
      <c r="D48">
        <v>48</v>
      </c>
      <c r="E48" s="60">
        <v>43101</v>
      </c>
      <c r="F48">
        <f>VLOOKUP(VLOOKUP(B48,SuiteCatSubElem!$G$2:$H$666,2,0),'SA Q1 18 VR'!$A$33:$O$193,1+MATCH(VLOOKUP(A48,Vendors!$A$2:$B$15,2,0),'SA Q1 18 VR'!$B$24:$O$24,0),0)</f>
        <v>4</v>
      </c>
      <c r="G48" t="s">
        <v>50</v>
      </c>
      <c r="H48">
        <f>RFI_Elements!N49</f>
        <v>48</v>
      </c>
      <c r="J48" t="str">
        <f>VLOOKUP(B48,SuiteCatSubElem!$G$2:$H$666,2,0)</f>
        <v>Out-of-the-Box Sourcing Support</v>
      </c>
    </row>
    <row r="49" spans="1:10">
      <c r="A49">
        <f>RFI_Elements!B50</f>
        <v>1</v>
      </c>
      <c r="B49">
        <f>RFI_Elements!C50</f>
        <v>457</v>
      </c>
      <c r="C49">
        <v>1</v>
      </c>
      <c r="D49">
        <v>49</v>
      </c>
      <c r="E49" s="60">
        <v>43101</v>
      </c>
      <c r="F49">
        <f>VLOOKUP(VLOOKUP(B49,SuiteCatSubElem!$G$2:$H$666,2,0),'SA Q1 18 VR'!$A$33:$O$193,1+MATCH(VLOOKUP(A49,Vendors!$A$2:$B$15,2,0),'SA Q1 18 VR'!$B$24:$O$24,0),0)</f>
        <v>3</v>
      </c>
      <c r="G49" t="s">
        <v>50</v>
      </c>
      <c r="H49">
        <f>RFI_Elements!N50</f>
        <v>49</v>
      </c>
      <c r="J49" t="str">
        <f>VLOOKUP(B49,SuiteCatSubElem!$G$2:$H$666,2,0)</f>
        <v>Out-of-the-Box Procurement Support</v>
      </c>
    </row>
    <row r="50" spans="1:10">
      <c r="A50">
        <f>RFI_Elements!B51</f>
        <v>1</v>
      </c>
      <c r="B50">
        <f>RFI_Elements!C51</f>
        <v>458</v>
      </c>
      <c r="C50">
        <v>1</v>
      </c>
      <c r="D50">
        <v>50</v>
      </c>
      <c r="E50" s="60">
        <v>43101</v>
      </c>
      <c r="F50">
        <f>VLOOKUP(VLOOKUP(B50,SuiteCatSubElem!$G$2:$H$666,2,0),'SA Q1 18 VR'!$A$33:$O$193,1+MATCH(VLOOKUP(A50,Vendors!$A$2:$B$15,2,0),'SA Q1 18 VR'!$B$24:$O$24,0),0)</f>
        <v>4</v>
      </c>
      <c r="G50" t="s">
        <v>50</v>
      </c>
      <c r="H50">
        <f>RFI_Elements!N51</f>
        <v>50</v>
      </c>
      <c r="J50" t="str">
        <f>VLOOKUP(B50,SuiteCatSubElem!$G$2:$H$666,2,0)</f>
        <v>Out-of-the-Box Travel &amp; Expense Support</v>
      </c>
    </row>
    <row r="51" spans="1:10">
      <c r="A51">
        <f>RFI_Elements!B52</f>
        <v>1</v>
      </c>
      <c r="B51">
        <f>RFI_Elements!C52</f>
        <v>459</v>
      </c>
      <c r="C51">
        <v>1</v>
      </c>
      <c r="D51">
        <v>51</v>
      </c>
      <c r="E51" s="60">
        <v>43101</v>
      </c>
      <c r="F51">
        <f>VLOOKUP(VLOOKUP(B51,SuiteCatSubElem!$G$2:$H$666,2,0),'SA Q1 18 VR'!$A$33:$O$193,1+MATCH(VLOOKUP(A51,Vendors!$A$2:$B$15,2,0),'SA Q1 18 VR'!$B$24:$O$24,0),0)</f>
        <v>4</v>
      </c>
      <c r="G51" t="s">
        <v>50</v>
      </c>
      <c r="H51">
        <f>RFI_Elements!N52</f>
        <v>51</v>
      </c>
      <c r="J51" t="str">
        <f>VLOOKUP(B51,SuiteCatSubElem!$G$2:$H$666,2,0)</f>
        <v>Out-of-the-Box Finance Support</v>
      </c>
    </row>
    <row r="52" spans="1:10">
      <c r="A52">
        <f>RFI_Elements!B53</f>
        <v>1</v>
      </c>
      <c r="B52">
        <f>RFI_Elements!C53</f>
        <v>460</v>
      </c>
      <c r="C52">
        <v>1</v>
      </c>
      <c r="D52">
        <v>52</v>
      </c>
      <c r="E52" s="60">
        <v>43101</v>
      </c>
      <c r="F52">
        <f>VLOOKUP(VLOOKUP(B52,SuiteCatSubElem!$G$2:$H$666,2,0),'SA Q1 18 VR'!$A$33:$O$193,1+MATCH(VLOOKUP(A52,Vendors!$A$2:$B$15,2,0),'SA Q1 18 VR'!$B$24:$O$24,0),0)</f>
        <v>2</v>
      </c>
      <c r="G52" t="s">
        <v>50</v>
      </c>
      <c r="H52">
        <f>RFI_Elements!N53</f>
        <v>52</v>
      </c>
      <c r="J52" t="str">
        <f>VLOOKUP(B52,SuiteCatSubElem!$G$2:$H$666,2,0)</f>
        <v>Out-of-the-Box Product (Lifecycle) Support</v>
      </c>
    </row>
    <row r="53" spans="1:10">
      <c r="A53">
        <f>RFI_Elements!B54</f>
        <v>1</v>
      </c>
      <c r="B53">
        <f>RFI_Elements!C54</f>
        <v>461</v>
      </c>
      <c r="C53">
        <v>1</v>
      </c>
      <c r="D53">
        <v>53</v>
      </c>
      <c r="E53" s="60">
        <v>43101</v>
      </c>
      <c r="F53">
        <f>VLOOKUP(VLOOKUP(B53,SuiteCatSubElem!$G$2:$H$666,2,0),'SA Q1 18 VR'!$A$33:$O$193,1+MATCH(VLOOKUP(A53,Vendors!$A$2:$B$15,2,0),'SA Q1 18 VR'!$B$24:$O$24,0),0)</f>
        <v>4</v>
      </c>
      <c r="G53" t="s">
        <v>50</v>
      </c>
      <c r="H53">
        <f>RFI_Elements!N54</f>
        <v>53</v>
      </c>
      <c r="J53" t="str">
        <f>VLOOKUP(B53,SuiteCatSubElem!$G$2:$H$666,2,0)</f>
        <v>Out-of-the-Box Services Support</v>
      </c>
    </row>
    <row r="54" spans="1:10">
      <c r="A54">
        <f>RFI_Elements!B55</f>
        <v>1</v>
      </c>
      <c r="B54">
        <f>RFI_Elements!C55</f>
        <v>462</v>
      </c>
      <c r="C54">
        <v>1</v>
      </c>
      <c r="D54">
        <v>54</v>
      </c>
      <c r="E54" s="60">
        <v>43101</v>
      </c>
      <c r="F54">
        <f>VLOOKUP(VLOOKUP(B54,SuiteCatSubElem!$G$2:$H$666,2,0),'SA Q1 18 VR'!$A$33:$O$193,1+MATCH(VLOOKUP(A54,Vendors!$A$2:$B$15,2,0),'SA Q1 18 VR'!$B$24:$O$24,0),0)</f>
        <v>4</v>
      </c>
      <c r="G54" t="s">
        <v>50</v>
      </c>
      <c r="H54">
        <f>RFI_Elements!N55</f>
        <v>54</v>
      </c>
      <c r="J54" t="str">
        <f>VLOOKUP(B54,SuiteCatSubElem!$G$2:$H$666,2,0)</f>
        <v>Out-of-the-Box CWM Support</v>
      </c>
    </row>
    <row r="55" spans="1:10">
      <c r="A55">
        <f>RFI_Elements!B56</f>
        <v>1</v>
      </c>
      <c r="B55">
        <f>RFI_Elements!C56</f>
        <v>463</v>
      </c>
      <c r="C55">
        <v>1</v>
      </c>
      <c r="D55">
        <v>55</v>
      </c>
      <c r="E55" s="60">
        <v>43101</v>
      </c>
      <c r="F55">
        <f>VLOOKUP(VLOOKUP(B55,SuiteCatSubElem!$G$2:$H$666,2,0),'SA Q1 18 VR'!$A$33:$O$193,1+MATCH(VLOOKUP(A55,Vendors!$A$2:$B$15,2,0),'SA Q1 18 VR'!$B$24:$O$24,0),0)</f>
        <v>2</v>
      </c>
      <c r="G55" t="s">
        <v>50</v>
      </c>
      <c r="H55">
        <f>RFI_Elements!N56</f>
        <v>55</v>
      </c>
      <c r="J55" t="str">
        <f>VLOOKUP(B55,SuiteCatSubElem!$G$2:$H$666,2,0)</f>
        <v>Out-of-the-Box Logistics Support</v>
      </c>
    </row>
    <row r="56" spans="1:10">
      <c r="A56">
        <f>RFI_Elements!B57</f>
        <v>1</v>
      </c>
      <c r="B56">
        <f>RFI_Elements!C57</f>
        <v>464</v>
      </c>
      <c r="C56">
        <v>1</v>
      </c>
      <c r="D56">
        <v>56</v>
      </c>
      <c r="E56" s="60">
        <v>43101</v>
      </c>
      <c r="F56">
        <f>VLOOKUP(VLOOKUP(B56,SuiteCatSubElem!$G$2:$H$666,2,0),'SA Q1 18 VR'!$A$33:$O$193,1+MATCH(VLOOKUP(A56,Vendors!$A$2:$B$15,2,0),'SA Q1 18 VR'!$B$24:$O$24,0),0)</f>
        <v>3</v>
      </c>
      <c r="G56" t="s">
        <v>50</v>
      </c>
      <c r="H56">
        <f>RFI_Elements!N57</f>
        <v>56</v>
      </c>
      <c r="J56" t="str">
        <f>VLOOKUP(B56,SuiteCatSubElem!$G$2:$H$666,2,0)</f>
        <v>Out-of-the-Box Inventory/MRO Support</v>
      </c>
    </row>
    <row r="57" spans="1:10">
      <c r="A57">
        <f>RFI_Elements!B58</f>
        <v>1</v>
      </c>
      <c r="B57">
        <f>RFI_Elements!C58</f>
        <v>465</v>
      </c>
      <c r="C57">
        <v>1</v>
      </c>
      <c r="D57">
        <v>57</v>
      </c>
      <c r="E57" s="60">
        <v>43101</v>
      </c>
      <c r="F57">
        <f>VLOOKUP(VLOOKUP(B57,SuiteCatSubElem!$G$2:$H$666,2,0),'SA Q1 18 VR'!$A$33:$O$193,1+MATCH(VLOOKUP(A57,Vendors!$A$2:$B$15,2,0),'SA Q1 18 VR'!$B$24:$O$24,0),0)</f>
        <v>4</v>
      </c>
      <c r="G57" t="s">
        <v>50</v>
      </c>
      <c r="H57">
        <f>RFI_Elements!N58</f>
        <v>57</v>
      </c>
      <c r="J57" t="str">
        <f>VLOOKUP(B57,SuiteCatSubElem!$G$2:$H$666,2,0)</f>
        <v>Out-of-the-Box Supplier Analysis Support</v>
      </c>
    </row>
    <row r="58" spans="1:10">
      <c r="A58">
        <f>RFI_Elements!B59</f>
        <v>1</v>
      </c>
      <c r="B58">
        <f>RFI_Elements!C59</f>
        <v>466</v>
      </c>
      <c r="C58">
        <v>1</v>
      </c>
      <c r="D58">
        <v>58</v>
      </c>
      <c r="E58" s="60">
        <v>43101</v>
      </c>
      <c r="F58">
        <f>VLOOKUP(VLOOKUP(B58,SuiteCatSubElem!$G$2:$H$666,2,0),'SA Q1 18 VR'!$A$33:$O$193,1+MATCH(VLOOKUP(A58,Vendors!$A$2:$B$15,2,0),'SA Q1 18 VR'!$B$24:$O$24,0),0)</f>
        <v>2</v>
      </c>
      <c r="G58" t="s">
        <v>50</v>
      </c>
      <c r="H58">
        <f>RFI_Elements!N59</f>
        <v>58</v>
      </c>
      <c r="J58" t="str">
        <f>VLOOKUP(B58,SuiteCatSubElem!$G$2:$H$666,2,0)</f>
        <v>Out-of-the-Box Risk Management Support</v>
      </c>
    </row>
    <row r="59" spans="1:10">
      <c r="A59">
        <f>RFI_Elements!B60</f>
        <v>1</v>
      </c>
      <c r="B59">
        <f>RFI_Elements!C60</f>
        <v>467</v>
      </c>
      <c r="C59">
        <v>1</v>
      </c>
      <c r="D59">
        <v>59</v>
      </c>
      <c r="E59" s="60">
        <v>43101</v>
      </c>
      <c r="F59">
        <f>VLOOKUP(VLOOKUP(B59,SuiteCatSubElem!$G$2:$H$666,2,0),'SA Q1 18 VR'!$A$33:$O$193,1+MATCH(VLOOKUP(A59,Vendors!$A$2:$B$15,2,0),'SA Q1 18 VR'!$B$24:$O$24,0),0)</f>
        <v>4</v>
      </c>
      <c r="G59" t="s">
        <v>50</v>
      </c>
      <c r="H59">
        <f>RFI_Elements!N60</f>
        <v>59</v>
      </c>
      <c r="J59" t="str">
        <f>VLOOKUP(B59,SuiteCatSubElem!$G$2:$H$666,2,0)</f>
        <v>3rd Party BI Integration</v>
      </c>
    </row>
    <row r="60" spans="1:10">
      <c r="A60">
        <f>RFI_Elements!B61</f>
        <v>1</v>
      </c>
      <c r="B60">
        <f>RFI_Elements!C61</f>
        <v>468</v>
      </c>
      <c r="C60">
        <v>1</v>
      </c>
      <c r="D60">
        <v>60</v>
      </c>
      <c r="E60" s="60">
        <v>43101</v>
      </c>
      <c r="F60">
        <f>VLOOKUP(VLOOKUP(B60,SuiteCatSubElem!$G$2:$H$666,2,0),'SA Q1 18 VR'!$A$33:$O$193,1+MATCH(VLOOKUP(A60,Vendors!$A$2:$B$15,2,0),'SA Q1 18 VR'!$B$24:$O$24,0),0)</f>
        <v>3</v>
      </c>
      <c r="G60" t="s">
        <v>50</v>
      </c>
      <c r="H60">
        <f>RFI_Elements!N61</f>
        <v>60</v>
      </c>
      <c r="J60" t="str">
        <f>VLOOKUP(B60,SuiteCatSubElem!$G$2:$H$666,2,0)</f>
        <v>SaaS / Cloud</v>
      </c>
    </row>
    <row r="61" spans="1:10">
      <c r="A61">
        <f>RFI_Elements!B62</f>
        <v>1</v>
      </c>
      <c r="B61">
        <f>RFI_Elements!C62</f>
        <v>469</v>
      </c>
      <c r="C61">
        <v>1</v>
      </c>
      <c r="D61">
        <v>61</v>
      </c>
      <c r="E61" s="60">
        <v>43101</v>
      </c>
      <c r="F61">
        <f>VLOOKUP(VLOOKUP(B61,SuiteCatSubElem!$G$2:$H$666,2,0),'SA Q1 18 VR'!$A$33:$O$193,1+MATCH(VLOOKUP(A61,Vendors!$A$2:$B$15,2,0),'SA Q1 18 VR'!$B$24:$O$24,0),0)</f>
        <v>4</v>
      </c>
      <c r="G61" t="s">
        <v>50</v>
      </c>
      <c r="H61">
        <f>RFI_Elements!N62</f>
        <v>61</v>
      </c>
      <c r="J61" t="str">
        <f>VLOOKUP(B61,SuiteCatSubElem!$G$2:$H$666,2,0)</f>
        <v>On-Premise Software Option</v>
      </c>
    </row>
    <row r="62" spans="1:10">
      <c r="A62">
        <f>RFI_Elements!B63</f>
        <v>1</v>
      </c>
      <c r="B62">
        <f>RFI_Elements!C63</f>
        <v>470</v>
      </c>
      <c r="C62">
        <v>1</v>
      </c>
      <c r="D62">
        <v>62</v>
      </c>
      <c r="E62" s="60">
        <v>43101</v>
      </c>
      <c r="F62">
        <f>VLOOKUP(VLOOKUP(B62,SuiteCatSubElem!$G$2:$H$666,2,0),'SA Q1 18 VR'!$A$33:$O$193,1+MATCH(VLOOKUP(A62,Vendors!$A$2:$B$15,2,0),'SA Q1 18 VR'!$B$24:$O$24,0),0)</f>
        <v>2</v>
      </c>
      <c r="G62" t="s">
        <v>50</v>
      </c>
      <c r="H62">
        <f>RFI_Elements!N63</f>
        <v>62</v>
      </c>
      <c r="J62" t="str">
        <f>VLOOKUP(B62,SuiteCatSubElem!$G$2:$H$666,2,0)</f>
        <v>AI / Machine Learning</v>
      </c>
    </row>
    <row r="63" spans="1:10">
      <c r="A63">
        <f>RFI_Elements!B64</f>
        <v>1</v>
      </c>
      <c r="B63">
        <f>RFI_Elements!C64</f>
        <v>471</v>
      </c>
      <c r="C63">
        <v>1</v>
      </c>
      <c r="D63">
        <v>63</v>
      </c>
      <c r="E63" s="60">
        <v>43101</v>
      </c>
      <c r="F63">
        <f>VLOOKUP(VLOOKUP(B63,SuiteCatSubElem!$G$2:$H$666,2,0),'SA Q1 18 VR'!$A$33:$O$193,1+MATCH(VLOOKUP(A63,Vendors!$A$2:$B$15,2,0),'SA Q1 18 VR'!$B$24:$O$24,0),0)</f>
        <v>2</v>
      </c>
      <c r="G63" t="s">
        <v>50</v>
      </c>
      <c r="H63">
        <f>RFI_Elements!N64</f>
        <v>63</v>
      </c>
      <c r="J63" t="str">
        <f>VLOOKUP(B63,SuiteCatSubElem!$G$2:$H$666,2,0)</f>
        <v>Big Data</v>
      </c>
    </row>
    <row r="64" spans="1:10">
      <c r="A64">
        <f>RFI_Elements!B65</f>
        <v>1</v>
      </c>
      <c r="B64">
        <f>RFI_Elements!C65</f>
        <v>472</v>
      </c>
      <c r="C64">
        <v>1</v>
      </c>
      <c r="D64">
        <v>64</v>
      </c>
      <c r="E64" s="60">
        <v>43101</v>
      </c>
      <c r="F64">
        <f>VLOOKUP(VLOOKUP(B64,SuiteCatSubElem!$G$2:$H$666,2,0),'SA Q1 18 VR'!$A$33:$O$193,1+MATCH(VLOOKUP(A64,Vendors!$A$2:$B$15,2,0),'SA Q1 18 VR'!$B$24:$O$24,0),0)</f>
        <v>0</v>
      </c>
      <c r="G64" t="s">
        <v>50</v>
      </c>
      <c r="H64">
        <f>RFI_Elements!N65</f>
        <v>64</v>
      </c>
      <c r="J64" t="str">
        <f>VLOOKUP(B64,SuiteCatSubElem!$G$2:$H$666,2,0)</f>
        <v>Block Chain</v>
      </c>
    </row>
    <row r="65" spans="1:10">
      <c r="A65">
        <f>RFI_Elements!B66</f>
        <v>1</v>
      </c>
      <c r="B65">
        <f>RFI_Elements!C66</f>
        <v>473</v>
      </c>
      <c r="C65">
        <v>1</v>
      </c>
      <c r="D65">
        <v>65</v>
      </c>
      <c r="E65" s="60">
        <v>43101</v>
      </c>
      <c r="F65">
        <f>VLOOKUP(VLOOKUP(B65,SuiteCatSubElem!$G$2:$H$666,2,0),'SA Q1 18 VR'!$A$33:$O$193,1+MATCH(VLOOKUP(A65,Vendors!$A$2:$B$15,2,0),'SA Q1 18 VR'!$B$24:$O$24,0),0)</f>
        <v>2</v>
      </c>
      <c r="G65" t="s">
        <v>50</v>
      </c>
      <c r="H65">
        <f>RFI_Elements!N66</f>
        <v>65</v>
      </c>
      <c r="J65" t="str">
        <f>VLOOKUP(B65,SuiteCatSubElem!$G$2:$H$666,2,0)</f>
        <v>Mobile</v>
      </c>
    </row>
    <row r="66" spans="1:10">
      <c r="A66">
        <f>RFI_Elements!B67</f>
        <v>1</v>
      </c>
      <c r="B66">
        <f>RFI_Elements!C67</f>
        <v>474</v>
      </c>
      <c r="C66">
        <v>1</v>
      </c>
      <c r="D66">
        <v>66</v>
      </c>
      <c r="E66" s="60">
        <v>43101</v>
      </c>
      <c r="F66">
        <f>VLOOKUP(VLOOKUP(B66,SuiteCatSubElem!$G$2:$H$666,2,0),'SA Q1 18 VR'!$A$33:$O$193,1+MATCH(VLOOKUP(A66,Vendors!$A$2:$B$15,2,0),'SA Q1 18 VR'!$B$24:$O$24,0),0)</f>
        <v>1</v>
      </c>
      <c r="G66" t="s">
        <v>50</v>
      </c>
      <c r="H66">
        <f>RFI_Elements!N67</f>
        <v>66</v>
      </c>
      <c r="J66" t="str">
        <f>VLOOKUP(B66,SuiteCatSubElem!$G$2:$H$666,2,0)</f>
        <v>Semi-Structured / Unstructured Data</v>
      </c>
    </row>
    <row r="67" spans="1:10">
      <c r="A67">
        <f>RFI_Elements!B68</f>
        <v>1</v>
      </c>
      <c r="B67">
        <f>RFI_Elements!C68</f>
        <v>475</v>
      </c>
      <c r="C67">
        <v>1</v>
      </c>
      <c r="D67">
        <v>67</v>
      </c>
      <c r="E67" s="60">
        <v>43101</v>
      </c>
      <c r="F67">
        <f>VLOOKUP(VLOOKUP(B67,SuiteCatSubElem!$G$2:$H$666,2,0),'SA Q1 18 VR'!$A$33:$O$193,1+MATCH(VLOOKUP(A67,Vendors!$A$2:$B$15,2,0),'SA Q1 18 VR'!$B$24:$O$24,0),0)</f>
        <v>0</v>
      </c>
      <c r="G67" t="s">
        <v>50</v>
      </c>
      <c r="H67">
        <f>RFI_Elements!N68</f>
        <v>67</v>
      </c>
      <c r="J67" t="str">
        <f>VLOOKUP(B67,SuiteCatSubElem!$G$2:$H$666,2,0)</f>
        <v>OCR</v>
      </c>
    </row>
    <row r="68" spans="1:10">
      <c r="A68">
        <f>RFI_Elements!B69</f>
        <v>1</v>
      </c>
      <c r="B68">
        <f>RFI_Elements!C69</f>
        <v>476</v>
      </c>
      <c r="C68">
        <v>1</v>
      </c>
      <c r="D68">
        <v>68</v>
      </c>
      <c r="E68" s="60">
        <v>43101</v>
      </c>
      <c r="F68">
        <f>VLOOKUP(VLOOKUP(B68,SuiteCatSubElem!$G$2:$H$666,2,0),'SA Q1 18 VR'!$A$33:$O$193,1+MATCH(VLOOKUP(A68,Vendors!$A$2:$B$15,2,0),'SA Q1 18 VR'!$B$24:$O$24,0),0)</f>
        <v>0</v>
      </c>
      <c r="G68" t="s">
        <v>50</v>
      </c>
      <c r="H68">
        <f>RFI_Elements!N69</f>
        <v>68</v>
      </c>
      <c r="J68" t="str">
        <f>VLOOKUP(B68,SuiteCatSubElem!$G$2:$H$666,2,0)</f>
        <v>Intelligent Apps</v>
      </c>
    </row>
    <row r="69" spans="1:10">
      <c r="A69">
        <f>RFI_Elements!B70</f>
        <v>1</v>
      </c>
      <c r="B69">
        <f>RFI_Elements!C70</f>
        <v>477</v>
      </c>
      <c r="C69">
        <v>1</v>
      </c>
      <c r="D69">
        <v>69</v>
      </c>
      <c r="E69" s="60">
        <v>43101</v>
      </c>
      <c r="F69">
        <f>VLOOKUP(VLOOKUP(B69,SuiteCatSubElem!$G$2:$H$666,2,0),'SA Q1 18 VR'!$A$33:$O$193,1+MATCH(VLOOKUP(A69,Vendors!$A$2:$B$15,2,0),'SA Q1 18 VR'!$B$24:$O$24,0),0)</f>
        <v>4</v>
      </c>
      <c r="G69" t="s">
        <v>50</v>
      </c>
      <c r="H69">
        <f>RFI_Elements!N70</f>
        <v>69</v>
      </c>
      <c r="J69" t="str">
        <f>VLOOKUP(B69,SuiteCatSubElem!$G$2:$H$666,2,0)</f>
        <v>Personalization</v>
      </c>
    </row>
    <row r="70" spans="1:10">
      <c r="A70">
        <f>RFI_Elements!B71</f>
        <v>1</v>
      </c>
      <c r="B70">
        <f>RFI_Elements!C71</f>
        <v>478</v>
      </c>
      <c r="C70">
        <v>1</v>
      </c>
      <c r="D70">
        <v>70</v>
      </c>
      <c r="E70" s="60">
        <v>43101</v>
      </c>
      <c r="F70">
        <f>VLOOKUP(VLOOKUP(B70,SuiteCatSubElem!$G$2:$H$666,2,0),'SA Q1 18 VR'!$A$33:$O$193,1+MATCH(VLOOKUP(A70,Vendors!$A$2:$B$15,2,0),'SA Q1 18 VR'!$B$24:$O$24,0),0)</f>
        <v>3</v>
      </c>
      <c r="G70" t="s">
        <v>50</v>
      </c>
      <c r="H70">
        <f>RFI_Elements!N71</f>
        <v>70</v>
      </c>
      <c r="J70" t="str">
        <f>VLOOKUP(B70,SuiteCatSubElem!$G$2:$H$666,2,0)</f>
        <v>Open Standards</v>
      </c>
    </row>
    <row r="71" spans="1:10">
      <c r="A71">
        <f>RFI_Elements!B72</f>
        <v>1</v>
      </c>
      <c r="B71">
        <f>RFI_Elements!C72</f>
        <v>479</v>
      </c>
      <c r="C71">
        <v>1</v>
      </c>
      <c r="D71">
        <v>71</v>
      </c>
      <c r="E71" s="60">
        <v>43101</v>
      </c>
      <c r="F71">
        <f>VLOOKUP(VLOOKUP(B71,SuiteCatSubElem!$G$2:$H$666,2,0),'SA Q1 18 VR'!$A$33:$O$193,1+MATCH(VLOOKUP(A71,Vendors!$A$2:$B$15,2,0),'SA Q1 18 VR'!$B$24:$O$24,0),0)</f>
        <v>3</v>
      </c>
      <c r="G71" t="s">
        <v>50</v>
      </c>
      <c r="H71">
        <f>RFI_Elements!N72</f>
        <v>71</v>
      </c>
      <c r="J71" t="str">
        <f>VLOOKUP(B71,SuiteCatSubElem!$G$2:$H$666,2,0)</f>
        <v>Integrations</v>
      </c>
    </row>
    <row r="72" spans="1:10">
      <c r="A72">
        <f>RFI_Elements!B73</f>
        <v>1</v>
      </c>
      <c r="B72">
        <f>RFI_Elements!C73</f>
        <v>480</v>
      </c>
      <c r="C72">
        <v>1</v>
      </c>
      <c r="D72">
        <v>72</v>
      </c>
      <c r="E72" s="60">
        <v>43101</v>
      </c>
      <c r="F72">
        <f>VLOOKUP(VLOOKUP(B72,SuiteCatSubElem!$G$2:$H$666,2,0),'SA Q1 18 VR'!$A$33:$O$193,1+MATCH(VLOOKUP(A72,Vendors!$A$2:$B$15,2,0),'SA Q1 18 VR'!$B$24:$O$24,0),0)</f>
        <v>3</v>
      </c>
      <c r="G72" t="s">
        <v>50</v>
      </c>
      <c r="H72">
        <f>RFI_Elements!N73</f>
        <v>72</v>
      </c>
      <c r="J72" t="str">
        <f>VLOOKUP(B72,SuiteCatSubElem!$G$2:$H$666,2,0)</f>
        <v>Fine-Grained Role/Data/Action Based Security</v>
      </c>
    </row>
    <row r="73" spans="1:10">
      <c r="A73">
        <f>RFI_Elements!B74</f>
        <v>1</v>
      </c>
      <c r="B73">
        <f>RFI_Elements!C74</f>
        <v>481</v>
      </c>
      <c r="C73">
        <v>1</v>
      </c>
      <c r="D73">
        <v>73</v>
      </c>
      <c r="E73" s="60">
        <v>43101</v>
      </c>
      <c r="F73">
        <f>VLOOKUP(VLOOKUP(B73,SuiteCatSubElem!$G$2:$H$666,2,0),'SA Q1 18 VR'!$A$33:$O$193,1+MATCH(VLOOKUP(A73,Vendors!$A$2:$B$15,2,0),'SA Q1 18 VR'!$B$24:$O$24,0),0)</f>
        <v>3</v>
      </c>
      <c r="G73" t="s">
        <v>50</v>
      </c>
      <c r="H73">
        <f>RFI_Elements!N74</f>
        <v>73</v>
      </c>
      <c r="J73" t="str">
        <f>VLOOKUP(B73,SuiteCatSubElem!$G$2:$H$666,2,0)</f>
        <v>Company/Function/Group Configuration</v>
      </c>
    </row>
    <row r="74" spans="1:10">
      <c r="A74">
        <f>RFI_Elements!B75</f>
        <v>1</v>
      </c>
      <c r="B74">
        <f>RFI_Elements!C75</f>
        <v>482</v>
      </c>
      <c r="C74">
        <v>1</v>
      </c>
      <c r="D74">
        <v>74</v>
      </c>
      <c r="E74" s="60">
        <v>43101</v>
      </c>
      <c r="F74">
        <f>VLOOKUP(VLOOKUP(B74,SuiteCatSubElem!$G$2:$H$666,2,0),'SA Q1 18 VR'!$A$33:$O$193,1+MATCH(VLOOKUP(A74,Vendors!$A$2:$B$15,2,0),'SA Q1 18 VR'!$B$24:$O$24,0),0)</f>
        <v>3</v>
      </c>
      <c r="G74" t="s">
        <v>50</v>
      </c>
      <c r="H74">
        <f>RFI_Elements!N75</f>
        <v>74</v>
      </c>
      <c r="J74" t="str">
        <f>VLOOKUP(B74,SuiteCatSubElem!$G$2:$H$666,2,0)</f>
        <v>Private vs. Public Workspaces</v>
      </c>
    </row>
    <row r="75" spans="1:10">
      <c r="A75">
        <f>RFI_Elements!B76</f>
        <v>1</v>
      </c>
      <c r="B75">
        <f>RFI_Elements!C76</f>
        <v>483</v>
      </c>
      <c r="C75">
        <v>1</v>
      </c>
      <c r="D75">
        <v>75</v>
      </c>
      <c r="E75" s="60">
        <v>43101</v>
      </c>
      <c r="F75">
        <f>VLOOKUP(VLOOKUP(B75,SuiteCatSubElem!$G$2:$H$666,2,0),'SA Q1 18 VR'!$A$33:$O$193,1+MATCH(VLOOKUP(A75,Vendors!$A$2:$B$15,2,0),'SA Q1 18 VR'!$B$24:$O$24,0),0)</f>
        <v>4</v>
      </c>
      <c r="G75" t="s">
        <v>50</v>
      </c>
      <c r="H75">
        <f>RFI_Elements!N76</f>
        <v>75</v>
      </c>
      <c r="J75" t="str">
        <f>VLOOKUP(B75,SuiteCatSubElem!$G$2:$H$666,2,0)</f>
        <v>Built in vs. External Visualization</v>
      </c>
    </row>
    <row r="76" spans="1:10">
      <c r="A76">
        <f>RFI_Elements!B77</f>
        <v>1</v>
      </c>
      <c r="B76">
        <f>RFI_Elements!C77</f>
        <v>484</v>
      </c>
      <c r="C76">
        <v>1</v>
      </c>
      <c r="D76">
        <v>76</v>
      </c>
      <c r="E76" s="60">
        <v>43101</v>
      </c>
      <c r="F76">
        <f>VLOOKUP(VLOOKUP(B76,SuiteCatSubElem!$G$2:$H$666,2,0),'SA Q1 18 VR'!$A$33:$O$193,1+MATCH(VLOOKUP(A76,Vendors!$A$2:$B$15,2,0),'SA Q1 18 VR'!$B$24:$O$24,0),0)</f>
        <v>3</v>
      </c>
      <c r="G76" t="s">
        <v>50</v>
      </c>
      <c r="H76">
        <f>RFI_Elements!N77</f>
        <v>76</v>
      </c>
      <c r="J76" t="str">
        <f>VLOOKUP(B76,SuiteCatSubElem!$G$2:$H$666,2,0)</f>
        <v>Business Rules / Workflow</v>
      </c>
    </row>
    <row r="77" spans="1:10">
      <c r="A77">
        <f>RFI_Elements!B78</f>
        <v>1</v>
      </c>
      <c r="B77">
        <f>RFI_Elements!C78</f>
        <v>485</v>
      </c>
      <c r="C77">
        <v>1</v>
      </c>
      <c r="D77">
        <v>77</v>
      </c>
      <c r="E77" s="60">
        <v>43101</v>
      </c>
      <c r="F77">
        <f>VLOOKUP(VLOOKUP(B77,SuiteCatSubElem!$G$2:$H$666,2,0),'SA Q1 18 VR'!$A$33:$O$193,1+MATCH(VLOOKUP(A77,Vendors!$A$2:$B$15,2,0),'SA Q1 18 VR'!$B$24:$O$24,0),0)</f>
        <v>3</v>
      </c>
      <c r="G77" t="s">
        <v>50</v>
      </c>
      <c r="H77">
        <f>RFI_Elements!N78</f>
        <v>77</v>
      </c>
      <c r="J77" t="str">
        <f>VLOOKUP(B77,SuiteCatSubElem!$G$2:$H$666,2,0)</f>
        <v>Globalization</v>
      </c>
    </row>
    <row r="78" spans="1:10">
      <c r="A78">
        <f>RFI_Elements!B79</f>
        <v>1</v>
      </c>
      <c r="B78">
        <f>RFI_Elements!C79</f>
        <v>486</v>
      </c>
      <c r="C78">
        <v>1</v>
      </c>
      <c r="D78">
        <v>78</v>
      </c>
      <c r="E78" s="60">
        <v>43101</v>
      </c>
      <c r="F78">
        <f>VLOOKUP(VLOOKUP(B78,SuiteCatSubElem!$G$2:$H$666,2,0),'SA Q1 18 VR'!$A$33:$O$193,1+MATCH(VLOOKUP(A78,Vendors!$A$2:$B$15,2,0),'SA Q1 18 VR'!$B$24:$O$24,0),0)</f>
        <v>4</v>
      </c>
      <c r="G78" t="s">
        <v>50</v>
      </c>
      <c r="H78">
        <f>RFI_Elements!N79</f>
        <v>78</v>
      </c>
      <c r="J78" t="str">
        <f>VLOOKUP(B78,SuiteCatSubElem!$G$2:$H$666,2,0)</f>
        <v>Multi-Currency</v>
      </c>
    </row>
    <row r="79" spans="1:10">
      <c r="A79">
        <f>RFI_Elements!B80</f>
        <v>1</v>
      </c>
      <c r="B79">
        <f>RFI_Elements!C80</f>
        <v>487</v>
      </c>
      <c r="C79">
        <v>1</v>
      </c>
      <c r="D79">
        <v>79</v>
      </c>
      <c r="E79" s="60">
        <v>43101</v>
      </c>
      <c r="F79">
        <f>VLOOKUP(VLOOKUP(B79,SuiteCatSubElem!$G$2:$H$666,2,0),'SA Q1 18 VR'!$A$33:$O$193,1+MATCH(VLOOKUP(A79,Vendors!$A$2:$B$15,2,0),'SA Q1 18 VR'!$B$24:$O$24,0),0)</f>
        <v>3</v>
      </c>
      <c r="G79" t="s">
        <v>50</v>
      </c>
      <c r="H79">
        <f>RFI_Elements!N80</f>
        <v>79</v>
      </c>
      <c r="J79" t="str">
        <f>VLOOKUP(B79,SuiteCatSubElem!$G$2:$H$666,2,0)</f>
        <v>Multi-Lingual</v>
      </c>
    </row>
    <row r="80" spans="1:10">
      <c r="A80">
        <f>RFI_Elements!B81</f>
        <v>1</v>
      </c>
      <c r="B80">
        <f>RFI_Elements!C81</f>
        <v>488</v>
      </c>
      <c r="C80">
        <v>1</v>
      </c>
      <c r="D80">
        <v>80</v>
      </c>
      <c r="E80" s="60">
        <v>43101</v>
      </c>
      <c r="F80">
        <f>VLOOKUP(VLOOKUP(B80,SuiteCatSubElem!$G$2:$H$666,2,0),'SA Q1 18 VR'!$A$33:$O$193,1+MATCH(VLOOKUP(A80,Vendors!$A$2:$B$15,2,0),'SA Q1 18 VR'!$B$24:$O$24,0),0)</f>
        <v>4</v>
      </c>
      <c r="G80" t="s">
        <v>50</v>
      </c>
      <c r="H80">
        <f>RFI_Elements!N81</f>
        <v>80</v>
      </c>
      <c r="J80" t="str">
        <f>VLOOKUP(B80,SuiteCatSubElem!$G$2:$H$666,2,0)</f>
        <v>Implementation / Integration / Maintenance Services</v>
      </c>
    </row>
    <row r="81" spans="1:10">
      <c r="A81">
        <f>RFI_Elements!B82</f>
        <v>1</v>
      </c>
      <c r="B81">
        <f>RFI_Elements!C82</f>
        <v>489</v>
      </c>
      <c r="C81">
        <v>1</v>
      </c>
      <c r="D81">
        <v>81</v>
      </c>
      <c r="E81" s="60">
        <v>43101</v>
      </c>
      <c r="F81">
        <f>VLOOKUP(VLOOKUP(B81,SuiteCatSubElem!$G$2:$H$666,2,0),'SA Q1 18 VR'!$A$33:$O$193,1+MATCH(VLOOKUP(A81,Vendors!$A$2:$B$15,2,0),'SA Q1 18 VR'!$B$24:$O$24,0),0)</f>
        <v>4</v>
      </c>
      <c r="G81" t="s">
        <v>50</v>
      </c>
      <c r="H81">
        <f>RFI_Elements!N82</f>
        <v>81</v>
      </c>
      <c r="J81" t="str">
        <f>VLOOKUP(B81,SuiteCatSubElem!$G$2:$H$666,2,0)</f>
        <v>ETL / Cleansing / Classification / Categorization</v>
      </c>
    </row>
    <row r="82" spans="1:10">
      <c r="A82">
        <f>RFI_Elements!B83</f>
        <v>1</v>
      </c>
      <c r="B82">
        <f>RFI_Elements!C83</f>
        <v>490</v>
      </c>
      <c r="C82">
        <v>1</v>
      </c>
      <c r="D82">
        <v>82</v>
      </c>
      <c r="E82" s="60">
        <v>43101</v>
      </c>
      <c r="F82">
        <f>VLOOKUP(VLOOKUP(B82,SuiteCatSubElem!$G$2:$H$666,2,0),'SA Q1 18 VR'!$A$33:$O$193,1+MATCH(VLOOKUP(A82,Vendors!$A$2:$B$15,2,0),'SA Q1 18 VR'!$B$24:$O$24,0),0)</f>
        <v>4</v>
      </c>
      <c r="G82" t="s">
        <v>50</v>
      </c>
      <c r="H82">
        <f>RFI_Elements!N83</f>
        <v>82</v>
      </c>
      <c r="J82" t="str">
        <f>VLOOKUP(B82,SuiteCatSubElem!$G$2:$H$666,2,0)</f>
        <v>Data Management Services</v>
      </c>
    </row>
    <row r="83" spans="1:10">
      <c r="A83">
        <f>RFI_Elements!B84</f>
        <v>1</v>
      </c>
      <c r="B83">
        <f>RFI_Elements!C84</f>
        <v>491</v>
      </c>
      <c r="C83">
        <v>1</v>
      </c>
      <c r="D83">
        <v>83</v>
      </c>
      <c r="E83" s="60">
        <v>43101</v>
      </c>
      <c r="F83">
        <f>VLOOKUP(VLOOKUP(B83,SuiteCatSubElem!$G$2:$H$666,2,0),'SA Q1 18 VR'!$A$33:$O$193,1+MATCH(VLOOKUP(A83,Vendors!$A$2:$B$15,2,0),'SA Q1 18 VR'!$B$24:$O$24,0),0)</f>
        <v>4</v>
      </c>
      <c r="G83" t="s">
        <v>50</v>
      </c>
      <c r="H83">
        <f>RFI_Elements!N84</f>
        <v>83</v>
      </c>
      <c r="J83" t="str">
        <f>VLOOKUP(B83,SuiteCatSubElem!$G$2:$H$666,2,0)</f>
        <v>Analytics / Data Science</v>
      </c>
    </row>
    <row r="84" spans="1:10">
      <c r="A84">
        <f>RFI_Elements!B85</f>
        <v>1</v>
      </c>
      <c r="B84">
        <f>RFI_Elements!C85</f>
        <v>492</v>
      </c>
      <c r="C84">
        <v>1</v>
      </c>
      <c r="D84">
        <v>84</v>
      </c>
      <c r="E84" s="60">
        <v>43101</v>
      </c>
      <c r="F84">
        <f>VLOOKUP(VLOOKUP(B84,SuiteCatSubElem!$G$2:$H$666,2,0),'SA Q1 18 VR'!$A$33:$O$193,1+MATCH(VLOOKUP(A84,Vendors!$A$2:$B$15,2,0),'SA Q1 18 VR'!$B$24:$O$24,0),0)</f>
        <v>5</v>
      </c>
      <c r="G84" t="s">
        <v>50</v>
      </c>
      <c r="H84">
        <f>RFI_Elements!N85</f>
        <v>84</v>
      </c>
      <c r="J84" t="str">
        <f>VLOOKUP(B84,SuiteCatSubElem!$G$2:$H$666,2,0)</f>
        <v>Category / Project Management</v>
      </c>
    </row>
    <row r="85" spans="1:10">
      <c r="A85">
        <f>RFI_Elements!B86</f>
        <v>1</v>
      </c>
      <c r="B85">
        <f>RFI_Elements!C86</f>
        <v>493</v>
      </c>
      <c r="C85">
        <v>1</v>
      </c>
      <c r="D85">
        <v>85</v>
      </c>
      <c r="E85" s="60">
        <v>43101</v>
      </c>
      <c r="F85">
        <f>VLOOKUP(VLOOKUP(B85,SuiteCatSubElem!$G$2:$H$666,2,0),'SA Q1 18 VR'!$A$33:$O$193,1+MATCH(VLOOKUP(A85,Vendors!$A$2:$B$15,2,0),'SA Q1 18 VR'!$B$24:$O$24,0),0)</f>
        <v>4</v>
      </c>
      <c r="G85" t="s">
        <v>50</v>
      </c>
      <c r="H85">
        <f>RFI_Elements!N86</f>
        <v>85</v>
      </c>
      <c r="J85" t="str">
        <f>VLOOKUP(B85,SuiteCatSubElem!$G$2:$H$666,2,0)</f>
        <v>Consulting / Change Management</v>
      </c>
    </row>
    <row r="86" spans="1:10">
      <c r="A86">
        <f>RFI_Elements!B87</f>
        <v>2</v>
      </c>
      <c r="B86">
        <f>RFI_Elements!C87</f>
        <v>409</v>
      </c>
      <c r="C86">
        <v>1</v>
      </c>
      <c r="D86">
        <v>86</v>
      </c>
      <c r="E86" s="60">
        <v>43101</v>
      </c>
      <c r="F86">
        <f>VLOOKUP(VLOOKUP(B86,SuiteCatSubElem!$G$2:$H$666,2,0),'SA Q1 18 VR'!$A$33:$O$193,1+MATCH(VLOOKUP(A86,Vendors!$A$2:$B$15,2,0),'SA Q1 18 VR'!$B$24:$O$24,0),0)</f>
        <v>3</v>
      </c>
      <c r="G86" t="s">
        <v>50</v>
      </c>
      <c r="H86">
        <f>RFI_Elements!N87</f>
        <v>86</v>
      </c>
      <c r="J86" t="str">
        <f>VLOOKUP(B86,SuiteCatSubElem!$G$2:$H$666,2,0)</f>
        <v>Schema Support (general)</v>
      </c>
    </row>
    <row r="87" spans="1:10">
      <c r="A87">
        <f>RFI_Elements!B88</f>
        <v>2</v>
      </c>
      <c r="B87">
        <f>RFI_Elements!C88</f>
        <v>410</v>
      </c>
      <c r="C87">
        <v>1</v>
      </c>
      <c r="D87">
        <v>87</v>
      </c>
      <c r="E87" s="60">
        <v>43101</v>
      </c>
      <c r="F87">
        <f>VLOOKUP(VLOOKUP(B87,SuiteCatSubElem!$G$2:$H$666,2,0),'SA Q1 18 VR'!$A$33:$O$193,1+MATCH(VLOOKUP(A87,Vendors!$A$2:$B$15,2,0),'SA Q1 18 VR'!$B$24:$O$24,0),0)</f>
        <v>2</v>
      </c>
      <c r="G87" t="s">
        <v>50</v>
      </c>
      <c r="H87">
        <f>RFI_Elements!N88</f>
        <v>87</v>
      </c>
      <c r="J87" t="str">
        <f>VLOOKUP(B87,SuiteCatSubElem!$G$2:$H$666,2,0)</f>
        <v>Schema Support (out-of-the-box)</v>
      </c>
    </row>
    <row r="88" spans="1:10">
      <c r="A88">
        <f>RFI_Elements!B89</f>
        <v>2</v>
      </c>
      <c r="B88">
        <f>RFI_Elements!C89</f>
        <v>411</v>
      </c>
      <c r="C88">
        <v>1</v>
      </c>
      <c r="D88">
        <v>88</v>
      </c>
      <c r="E88" s="60">
        <v>43101</v>
      </c>
      <c r="F88">
        <f>VLOOKUP(VLOOKUP(B88,SuiteCatSubElem!$G$2:$H$666,2,0),'SA Q1 18 VR'!$A$33:$O$193,1+MATCH(VLOOKUP(A88,Vendors!$A$2:$B$15,2,0),'SA Q1 18 VR'!$B$24:$O$24,0),0)</f>
        <v>2</v>
      </c>
      <c r="G88" t="s">
        <v>50</v>
      </c>
      <c r="H88">
        <f>RFI_Elements!N89</f>
        <v>88</v>
      </c>
      <c r="J88" t="str">
        <f>VLOOKUP(B88,SuiteCatSubElem!$G$2:$H$666,2,0)</f>
        <v>Schema Support (custom)</v>
      </c>
    </row>
    <row r="89" spans="1:10">
      <c r="A89">
        <f>RFI_Elements!B90</f>
        <v>2</v>
      </c>
      <c r="B89">
        <f>RFI_Elements!C90</f>
        <v>412</v>
      </c>
      <c r="C89">
        <v>1</v>
      </c>
      <c r="D89">
        <v>89</v>
      </c>
      <c r="E89" s="60">
        <v>43101</v>
      </c>
      <c r="F89">
        <f>VLOOKUP(VLOOKUP(B89,SuiteCatSubElem!$G$2:$H$666,2,0),'SA Q1 18 VR'!$A$33:$O$193,1+MATCH(VLOOKUP(A89,Vendors!$A$2:$B$15,2,0),'SA Q1 18 VR'!$B$24:$O$24,0),0)</f>
        <v>1</v>
      </c>
      <c r="G89" t="s">
        <v>50</v>
      </c>
      <c r="H89">
        <f>RFI_Elements!N90</f>
        <v>89</v>
      </c>
      <c r="J89" t="str">
        <f>VLOOKUP(B89,SuiteCatSubElem!$G$2:$H$666,2,0)</f>
        <v>Schema Support (multi)</v>
      </c>
    </row>
    <row r="90" spans="1:10">
      <c r="A90">
        <f>RFI_Elements!B91</f>
        <v>2</v>
      </c>
      <c r="B90">
        <f>RFI_Elements!C91</f>
        <v>413</v>
      </c>
      <c r="C90">
        <v>1</v>
      </c>
      <c r="D90">
        <v>90</v>
      </c>
      <c r="E90" s="60">
        <v>43101</v>
      </c>
      <c r="F90">
        <f>VLOOKUP(VLOOKUP(B90,SuiteCatSubElem!$G$2:$H$666,2,0),'SA Q1 18 VR'!$A$33:$O$193,1+MATCH(VLOOKUP(A90,Vendors!$A$2:$B$15,2,0),'SA Q1 18 VR'!$B$24:$O$24,0),0)</f>
        <v>2</v>
      </c>
      <c r="G90" t="s">
        <v>50</v>
      </c>
      <c r="H90">
        <f>RFI_Elements!N91</f>
        <v>90</v>
      </c>
      <c r="J90" t="str">
        <f>VLOOKUP(B90,SuiteCatSubElem!$G$2:$H$666,2,0)</f>
        <v>Cube Capability</v>
      </c>
    </row>
    <row r="91" spans="1:10">
      <c r="A91">
        <f>RFI_Elements!B92</f>
        <v>2</v>
      </c>
      <c r="B91">
        <f>RFI_Elements!C92</f>
        <v>414</v>
      </c>
      <c r="C91">
        <v>1</v>
      </c>
      <c r="D91">
        <v>91</v>
      </c>
      <c r="E91" s="60">
        <v>43101</v>
      </c>
      <c r="F91">
        <f>VLOOKUP(VLOOKUP(B91,SuiteCatSubElem!$G$2:$H$666,2,0),'SA Q1 18 VR'!$A$33:$O$193,1+MATCH(VLOOKUP(A91,Vendors!$A$2:$B$15,2,0),'SA Q1 18 VR'!$B$24:$O$24,0),0)</f>
        <v>2</v>
      </c>
      <c r="G91" t="s">
        <v>50</v>
      </c>
      <c r="H91">
        <f>RFI_Elements!N92</f>
        <v>91</v>
      </c>
      <c r="J91" t="str">
        <f>VLOOKUP(B91,SuiteCatSubElem!$G$2:$H$666,2,0)</f>
        <v>Familying/Normalization</v>
      </c>
    </row>
    <row r="92" spans="1:10">
      <c r="A92">
        <f>RFI_Elements!B93</f>
        <v>2</v>
      </c>
      <c r="B92">
        <f>RFI_Elements!C93</f>
        <v>415</v>
      </c>
      <c r="C92">
        <v>1</v>
      </c>
      <c r="D92">
        <v>92</v>
      </c>
      <c r="E92" s="60">
        <v>43101</v>
      </c>
      <c r="F92">
        <f>VLOOKUP(VLOOKUP(B92,SuiteCatSubElem!$G$2:$H$666,2,0),'SA Q1 18 VR'!$A$33:$O$193,1+MATCH(VLOOKUP(A92,Vendors!$A$2:$B$15,2,0),'SA Q1 18 VR'!$B$24:$O$24,0),0)</f>
        <v>2</v>
      </c>
      <c r="G92" t="s">
        <v>50</v>
      </c>
      <c r="H92">
        <f>RFI_Elements!N93</f>
        <v>92</v>
      </c>
      <c r="J92" t="str">
        <f>VLOOKUP(B92,SuiteCatSubElem!$G$2:$H$666,2,0)</f>
        <v>Formula Support</v>
      </c>
    </row>
    <row r="93" spans="1:10">
      <c r="A93">
        <f>RFI_Elements!B94</f>
        <v>2</v>
      </c>
      <c r="B93">
        <f>RFI_Elements!C94</f>
        <v>416</v>
      </c>
      <c r="C93">
        <v>1</v>
      </c>
      <c r="D93">
        <v>93</v>
      </c>
      <c r="E93" s="60">
        <v>43101</v>
      </c>
      <c r="F93">
        <f>VLOOKUP(VLOOKUP(B93,SuiteCatSubElem!$G$2:$H$666,2,0),'SA Q1 18 VR'!$A$33:$O$193,1+MATCH(VLOOKUP(A93,Vendors!$A$2:$B$15,2,0),'SA Q1 18 VR'!$B$24:$O$24,0),0)</f>
        <v>2</v>
      </c>
      <c r="G93" t="s">
        <v>50</v>
      </c>
      <c r="H93">
        <f>RFI_Elements!N94</f>
        <v>93</v>
      </c>
      <c r="J93" t="str">
        <f>VLOOKUP(B93,SuiteCatSubElem!$G$2:$H$666,2,0)</f>
        <v>Rule/Knowledge Model Editor</v>
      </c>
    </row>
    <row r="94" spans="1:10">
      <c r="A94">
        <f>RFI_Elements!B95</f>
        <v>2</v>
      </c>
      <c r="B94">
        <f>RFI_Elements!C95</f>
        <v>417</v>
      </c>
      <c r="C94">
        <v>1</v>
      </c>
      <c r="D94">
        <v>94</v>
      </c>
      <c r="E94" s="60">
        <v>43101</v>
      </c>
      <c r="F94">
        <f>VLOOKUP(VLOOKUP(B94,SuiteCatSubElem!$G$2:$H$666,2,0),'SA Q1 18 VR'!$A$33:$O$193,1+MATCH(VLOOKUP(A94,Vendors!$A$2:$B$15,2,0),'SA Q1 18 VR'!$B$24:$O$24,0),0)</f>
        <v>3</v>
      </c>
      <c r="G94" t="s">
        <v>50</v>
      </c>
      <c r="H94">
        <f>RFI_Elements!N95</f>
        <v>94</v>
      </c>
      <c r="J94" t="str">
        <f>VLOOKUP(B94,SuiteCatSubElem!$G$2:$H$666,2,0)</f>
        <v>ETL (Extract / Transform / Load)</v>
      </c>
    </row>
    <row r="95" spans="1:10">
      <c r="A95">
        <f>RFI_Elements!B96</f>
        <v>2</v>
      </c>
      <c r="B95">
        <f>RFI_Elements!C96</f>
        <v>418</v>
      </c>
      <c r="C95">
        <v>1</v>
      </c>
      <c r="D95">
        <v>95</v>
      </c>
      <c r="E95" s="60">
        <v>43101</v>
      </c>
      <c r="F95">
        <f>VLOOKUP(VLOOKUP(B95,SuiteCatSubElem!$G$2:$H$666,2,0),'SA Q1 18 VR'!$A$33:$O$193,1+MATCH(VLOOKUP(A95,Vendors!$A$2:$B$15,2,0),'SA Q1 18 VR'!$B$24:$O$24,0),0)</f>
        <v>2</v>
      </c>
      <c r="G95" t="s">
        <v>50</v>
      </c>
      <c r="H95">
        <f>RFI_Elements!N96</f>
        <v>95</v>
      </c>
      <c r="J95" t="str">
        <f>VLOOKUP(B95,SuiteCatSubElem!$G$2:$H$666,2,0)</f>
        <v>Out of the box ERP integrations</v>
      </c>
    </row>
    <row r="96" spans="1:10">
      <c r="A96">
        <f>RFI_Elements!B97</f>
        <v>2</v>
      </c>
      <c r="B96">
        <f>RFI_Elements!C97</f>
        <v>419</v>
      </c>
      <c r="C96">
        <v>1</v>
      </c>
      <c r="D96">
        <v>96</v>
      </c>
      <c r="E96" s="60">
        <v>43101</v>
      </c>
      <c r="F96">
        <f>VLOOKUP(VLOOKUP(B96,SuiteCatSubElem!$G$2:$H$666,2,0),'SA Q1 18 VR'!$A$33:$O$193,1+MATCH(VLOOKUP(A96,Vendors!$A$2:$B$15,2,0),'SA Q1 18 VR'!$B$24:$O$24,0),0)</f>
        <v>2</v>
      </c>
      <c r="G96" t="s">
        <v>50</v>
      </c>
      <c r="H96">
        <f>RFI_Elements!N97</f>
        <v>96</v>
      </c>
      <c r="J96" t="str">
        <f>VLOOKUP(B96,SuiteCatSubElem!$G$2:$H$666,2,0)</f>
        <v>Source-to-Pay Integrations (out-of-the-box )</v>
      </c>
    </row>
    <row r="97" spans="1:10">
      <c r="A97">
        <f>RFI_Elements!B98</f>
        <v>2</v>
      </c>
      <c r="B97">
        <f>RFI_Elements!C98</f>
        <v>420</v>
      </c>
      <c r="C97">
        <v>1</v>
      </c>
      <c r="D97">
        <v>97</v>
      </c>
      <c r="E97" s="60">
        <v>43101</v>
      </c>
      <c r="F97">
        <f>VLOOKUP(VLOOKUP(B97,SuiteCatSubElem!$G$2:$H$666,2,0),'SA Q1 18 VR'!$A$33:$O$193,1+MATCH(VLOOKUP(A97,Vendors!$A$2:$B$15,2,0),'SA Q1 18 VR'!$B$24:$O$24,0),0)</f>
        <v>2</v>
      </c>
      <c r="G97" t="s">
        <v>50</v>
      </c>
      <c r="H97">
        <f>RFI_Elements!N98</f>
        <v>97</v>
      </c>
      <c r="J97" t="str">
        <f>VLOOKUP(B97,SuiteCatSubElem!$G$2:$H$666,2,0)</f>
        <v>Rules Set</v>
      </c>
    </row>
    <row r="98" spans="1:10">
      <c r="A98">
        <f>RFI_Elements!B99</f>
        <v>2</v>
      </c>
      <c r="B98">
        <f>RFI_Elements!C99</f>
        <v>421</v>
      </c>
      <c r="C98">
        <v>1</v>
      </c>
      <c r="D98">
        <v>98</v>
      </c>
      <c r="E98" s="60">
        <v>43101</v>
      </c>
      <c r="F98">
        <f>VLOOKUP(VLOOKUP(B98,SuiteCatSubElem!$G$2:$H$666,2,0),'SA Q1 18 VR'!$A$33:$O$193,1+MATCH(VLOOKUP(A98,Vendors!$A$2:$B$15,2,0),'SA Q1 18 VR'!$B$24:$O$24,0),0)</f>
        <v>2</v>
      </c>
      <c r="G98" t="s">
        <v>50</v>
      </c>
      <c r="H98">
        <f>RFI_Elements!N99</f>
        <v>98</v>
      </c>
      <c r="J98" t="str">
        <f>VLOOKUP(B98,SuiteCatSubElem!$G$2:$H$666,2,0)</f>
        <v>Rule Groups (including reg-ex / formula support)</v>
      </c>
    </row>
    <row r="99" spans="1:10">
      <c r="A99">
        <f>RFI_Elements!B100</f>
        <v>2</v>
      </c>
      <c r="B99">
        <f>RFI_Elements!C100</f>
        <v>422</v>
      </c>
      <c r="C99">
        <v>1</v>
      </c>
      <c r="D99">
        <v>99</v>
      </c>
      <c r="E99" s="60">
        <v>43101</v>
      </c>
      <c r="F99">
        <f>VLOOKUP(VLOOKUP(B99,SuiteCatSubElem!$G$2:$H$666,2,0),'SA Q1 18 VR'!$A$33:$O$193,1+MATCH(VLOOKUP(A99,Vendors!$A$2:$B$15,2,0),'SA Q1 18 VR'!$B$24:$O$24,0),0)</f>
        <v>2</v>
      </c>
      <c r="G99" t="s">
        <v>50</v>
      </c>
      <c r="H99">
        <f>RFI_Elements!N100</f>
        <v>99</v>
      </c>
      <c r="J99" t="str">
        <f>VLOOKUP(B99,SuiteCatSubElem!$G$2:$H$666,2,0)</f>
        <v>Enrich</v>
      </c>
    </row>
    <row r="100" spans="1:10">
      <c r="A100">
        <f>RFI_Elements!B101</f>
        <v>2</v>
      </c>
      <c r="B100">
        <f>RFI_Elements!C101</f>
        <v>423</v>
      </c>
      <c r="C100">
        <v>1</v>
      </c>
      <c r="D100">
        <v>100</v>
      </c>
      <c r="E100" s="60">
        <v>43101</v>
      </c>
      <c r="F100">
        <f>VLOOKUP(VLOOKUP(B100,SuiteCatSubElem!$G$2:$H$666,2,0),'SA Q1 18 VR'!$A$33:$O$193,1+MATCH(VLOOKUP(A100,Vendors!$A$2:$B$15,2,0),'SA Q1 18 VR'!$B$24:$O$24,0),0)</f>
        <v>2</v>
      </c>
      <c r="G100" t="s">
        <v>50</v>
      </c>
      <c r="H100">
        <f>RFI_Elements!N101</f>
        <v>100</v>
      </c>
      <c r="J100" t="str">
        <f>VLOOKUP(B100,SuiteCatSubElem!$G$2:$H$666,2,0)</f>
        <v>3rd Party Data Feed Integrations (out-of-the-box)</v>
      </c>
    </row>
    <row r="101" spans="1:10">
      <c r="A101">
        <f>RFI_Elements!B102</f>
        <v>2</v>
      </c>
      <c r="B101">
        <f>RFI_Elements!C102</f>
        <v>424</v>
      </c>
      <c r="C101">
        <v>1</v>
      </c>
      <c r="D101">
        <v>101</v>
      </c>
      <c r="E101" s="60">
        <v>43101</v>
      </c>
      <c r="F101">
        <f>VLOOKUP(VLOOKUP(B101,SuiteCatSubElem!$G$2:$H$666,2,0),'SA Q1 18 VR'!$A$33:$O$193,1+MATCH(VLOOKUP(A101,Vendors!$A$2:$B$15,2,0),'SA Q1 18 VR'!$B$24:$O$24,0),0)</f>
        <v>3</v>
      </c>
      <c r="G101" t="s">
        <v>50</v>
      </c>
      <c r="H101">
        <f>RFI_Elements!N102</f>
        <v>101</v>
      </c>
      <c r="J101" t="str">
        <f>VLOOKUP(B101,SuiteCatSubElem!$G$2:$H$666,2,0)</f>
        <v>Multi-Source Cross-Joins</v>
      </c>
    </row>
    <row r="102" spans="1:10">
      <c r="A102">
        <f>RFI_Elements!B103</f>
        <v>2</v>
      </c>
      <c r="B102">
        <f>RFI_Elements!C103</f>
        <v>425</v>
      </c>
      <c r="C102">
        <v>1</v>
      </c>
      <c r="D102">
        <v>102</v>
      </c>
      <c r="E102" s="60">
        <v>43101</v>
      </c>
      <c r="F102">
        <f>VLOOKUP(VLOOKUP(B102,SuiteCatSubElem!$G$2:$H$666,2,0),'SA Q1 18 VR'!$A$33:$O$193,1+MATCH(VLOOKUP(A102,Vendors!$A$2:$B$15,2,0),'SA Q1 18 VR'!$B$24:$O$24,0),0)</f>
        <v>3</v>
      </c>
      <c r="G102" t="s">
        <v>50</v>
      </c>
      <c r="H102">
        <f>RFI_Elements!N103</f>
        <v>102</v>
      </c>
      <c r="J102" t="str">
        <f>VLOOKUP(B102,SuiteCatSubElem!$G$2:$H$666,2,0)</f>
        <v>Classification / Categorization</v>
      </c>
    </row>
    <row r="103" spans="1:10">
      <c r="A103">
        <f>RFI_Elements!B104</f>
        <v>2</v>
      </c>
      <c r="B103">
        <f>RFI_Elements!C104</f>
        <v>426</v>
      </c>
      <c r="C103">
        <v>1</v>
      </c>
      <c r="D103">
        <v>103</v>
      </c>
      <c r="E103" s="60">
        <v>43101</v>
      </c>
      <c r="F103">
        <f>VLOOKUP(VLOOKUP(B103,SuiteCatSubElem!$G$2:$H$666,2,0),'SA Q1 18 VR'!$A$33:$O$193,1+MATCH(VLOOKUP(A103,Vendors!$A$2:$B$15,2,0),'SA Q1 18 VR'!$B$24:$O$24,0),0)</f>
        <v>2</v>
      </c>
      <c r="G103" t="s">
        <v>50</v>
      </c>
      <c r="H103">
        <f>RFI_Elements!N104</f>
        <v>103</v>
      </c>
      <c r="J103" t="str">
        <f>VLOOKUP(B103,SuiteCatSubElem!$G$2:$H$666,2,0)</f>
        <v>Manual Support</v>
      </c>
    </row>
    <row r="104" spans="1:10">
      <c r="A104">
        <f>RFI_Elements!B105</f>
        <v>2</v>
      </c>
      <c r="B104">
        <f>RFI_Elements!C105</f>
        <v>427</v>
      </c>
      <c r="C104">
        <v>1</v>
      </c>
      <c r="D104">
        <v>104</v>
      </c>
      <c r="E104" s="60">
        <v>43101</v>
      </c>
      <c r="F104">
        <f>VLOOKUP(VLOOKUP(B104,SuiteCatSubElem!$G$2:$H$666,2,0),'SA Q1 18 VR'!$A$33:$O$193,1+MATCH(VLOOKUP(A104,Vendors!$A$2:$B$15,2,0),'SA Q1 18 VR'!$B$24:$O$24,0),0)</f>
        <v>2</v>
      </c>
      <c r="G104" t="s">
        <v>50</v>
      </c>
      <c r="H104">
        <f>RFI_Elements!N105</f>
        <v>104</v>
      </c>
      <c r="J104" t="str">
        <f>VLOOKUP(B104,SuiteCatSubElem!$G$2:$H$666,2,0)</f>
        <v>Arbitrary Dimensions in Rules</v>
      </c>
    </row>
    <row r="105" spans="1:10">
      <c r="A105">
        <f>RFI_Elements!B106</f>
        <v>2</v>
      </c>
      <c r="B105">
        <f>RFI_Elements!C106</f>
        <v>428</v>
      </c>
      <c r="C105">
        <v>1</v>
      </c>
      <c r="D105">
        <v>105</v>
      </c>
      <c r="E105" s="60">
        <v>43101</v>
      </c>
      <c r="F105">
        <f>VLOOKUP(VLOOKUP(B105,SuiteCatSubElem!$G$2:$H$666,2,0),'SA Q1 18 VR'!$A$33:$O$193,1+MATCH(VLOOKUP(A105,Vendors!$A$2:$B$15,2,0),'SA Q1 18 VR'!$B$24:$O$24,0),0)</f>
        <v>2</v>
      </c>
      <c r="G105" t="s">
        <v>50</v>
      </c>
      <c r="H105">
        <f>RFI_Elements!N106</f>
        <v>105</v>
      </c>
      <c r="J105" t="str">
        <f>VLOOKUP(B105,SuiteCatSubElem!$G$2:$H$666,2,0)</f>
        <v>Collaboration</v>
      </c>
    </row>
    <row r="106" spans="1:10">
      <c r="A106">
        <f>RFI_Elements!B107</f>
        <v>2</v>
      </c>
      <c r="B106">
        <f>RFI_Elements!C107</f>
        <v>429</v>
      </c>
      <c r="C106">
        <v>1</v>
      </c>
      <c r="D106">
        <v>106</v>
      </c>
      <c r="E106" s="60">
        <v>43101</v>
      </c>
      <c r="F106">
        <f>VLOOKUP(VLOOKUP(B106,SuiteCatSubElem!$G$2:$H$666,2,0),'SA Q1 18 VR'!$A$33:$O$193,1+MATCH(VLOOKUP(A106,Vendors!$A$2:$B$15,2,0),'SA Q1 18 VR'!$B$24:$O$24,0),0)</f>
        <v>2</v>
      </c>
      <c r="G106" t="s">
        <v>50</v>
      </c>
      <c r="H106">
        <f>RFI_Elements!N107</f>
        <v>106</v>
      </c>
      <c r="J106" t="str">
        <f>VLOOKUP(B106,SuiteCatSubElem!$G$2:$H$666,2,0)</f>
        <v>Query Capability</v>
      </c>
    </row>
    <row r="107" spans="1:10">
      <c r="A107">
        <f>RFI_Elements!B108</f>
        <v>2</v>
      </c>
      <c r="B107">
        <f>RFI_Elements!C108</f>
        <v>430</v>
      </c>
      <c r="C107">
        <v>1</v>
      </c>
      <c r="D107">
        <v>107</v>
      </c>
      <c r="E107" s="60">
        <v>43101</v>
      </c>
      <c r="F107">
        <f>VLOOKUP(VLOOKUP(B107,SuiteCatSubElem!$G$2:$H$666,2,0),'SA Q1 18 VR'!$A$33:$O$193,1+MATCH(VLOOKUP(A107,Vendors!$A$2:$B$15,2,0),'SA Q1 18 VR'!$B$24:$O$24,0),0)</f>
        <v>1</v>
      </c>
      <c r="G107" t="s">
        <v>50</v>
      </c>
      <c r="H107">
        <f>RFI_Elements!N108</f>
        <v>107</v>
      </c>
      <c r="J107" t="str">
        <f>VLOOKUP(B107,SuiteCatSubElem!$G$2:$H$666,2,0)</f>
        <v>AI</v>
      </c>
    </row>
    <row r="108" spans="1:10">
      <c r="A108">
        <f>RFI_Elements!B109</f>
        <v>2</v>
      </c>
      <c r="B108">
        <f>RFI_Elements!C109</f>
        <v>431</v>
      </c>
      <c r="C108">
        <v>1</v>
      </c>
      <c r="D108">
        <v>108</v>
      </c>
      <c r="E108" s="60">
        <v>43101</v>
      </c>
      <c r="F108">
        <f>VLOOKUP(VLOOKUP(B108,SuiteCatSubElem!$G$2:$H$666,2,0),'SA Q1 18 VR'!$A$33:$O$193,1+MATCH(VLOOKUP(A108,Vendors!$A$2:$B$15,2,0),'SA Q1 18 VR'!$B$24:$O$24,0),0)</f>
        <v>1</v>
      </c>
      <c r="G108" t="s">
        <v>50</v>
      </c>
      <c r="H108">
        <f>RFI_Elements!N109</f>
        <v>108</v>
      </c>
      <c r="J108" t="str">
        <f>VLOOKUP(B108,SuiteCatSubElem!$G$2:$H$666,2,0)</f>
        <v>Hybrid</v>
      </c>
    </row>
    <row r="109" spans="1:10">
      <c r="A109">
        <f>RFI_Elements!B110</f>
        <v>2</v>
      </c>
      <c r="B109">
        <f>RFI_Elements!C110</f>
        <v>432</v>
      </c>
      <c r="C109">
        <v>1</v>
      </c>
      <c r="D109">
        <v>109</v>
      </c>
      <c r="E109" s="60">
        <v>43101</v>
      </c>
      <c r="F109">
        <f>VLOOKUP(VLOOKUP(B109,SuiteCatSubElem!$G$2:$H$666,2,0),'SA Q1 18 VR'!$A$33:$O$193,1+MATCH(VLOOKUP(A109,Vendors!$A$2:$B$15,2,0),'SA Q1 18 VR'!$B$24:$O$24,0),0)</f>
        <v>1</v>
      </c>
      <c r="G109" t="s">
        <v>50</v>
      </c>
      <c r="H109">
        <f>RFI_Elements!N110</f>
        <v>109</v>
      </c>
      <c r="J109" t="str">
        <f>VLOOKUP(B109,SuiteCatSubElem!$G$2:$H$666,2,0)</f>
        <v>Data Integrity Analytics</v>
      </c>
    </row>
    <row r="110" spans="1:10">
      <c r="A110">
        <f>RFI_Elements!B111</f>
        <v>2</v>
      </c>
      <c r="B110">
        <f>RFI_Elements!C111</f>
        <v>433</v>
      </c>
      <c r="C110">
        <v>1</v>
      </c>
      <c r="D110">
        <v>110</v>
      </c>
      <c r="E110" s="60">
        <v>43101</v>
      </c>
      <c r="F110">
        <f>VLOOKUP(VLOOKUP(B110,SuiteCatSubElem!$G$2:$H$666,2,0),'SA Q1 18 VR'!$A$33:$O$193,1+MATCH(VLOOKUP(A110,Vendors!$A$2:$B$15,2,0),'SA Q1 18 VR'!$B$24:$O$24,0),0)</f>
        <v>1</v>
      </c>
      <c r="G110" t="s">
        <v>50</v>
      </c>
      <c r="H110">
        <f>RFI_Elements!N111</f>
        <v>110</v>
      </c>
      <c r="J110" t="str">
        <f>VLOOKUP(B110,SuiteCatSubElem!$G$2:$H$666,2,0)</f>
        <v>Outlier Identification</v>
      </c>
    </row>
    <row r="111" spans="1:10">
      <c r="A111">
        <f>RFI_Elements!B112</f>
        <v>2</v>
      </c>
      <c r="B111">
        <f>RFI_Elements!C112</f>
        <v>434</v>
      </c>
      <c r="C111">
        <v>1</v>
      </c>
      <c r="D111">
        <v>111</v>
      </c>
      <c r="E111" s="60">
        <v>43101</v>
      </c>
      <c r="F111">
        <f>VLOOKUP(VLOOKUP(B111,SuiteCatSubElem!$G$2:$H$666,2,0),'SA Q1 18 VR'!$A$33:$O$193,1+MATCH(VLOOKUP(A111,Vendors!$A$2:$B$15,2,0),'SA Q1 18 VR'!$B$24:$O$24,0),0)</f>
        <v>2</v>
      </c>
      <c r="G111" t="s">
        <v>50</v>
      </c>
      <c r="H111">
        <f>RFI_Elements!N112</f>
        <v>111</v>
      </c>
      <c r="J111" t="str">
        <f>VLOOKUP(B111,SuiteCatSubElem!$G$2:$H$666,2,0)</f>
        <v>Statistical Analysis / Frequency Mapping</v>
      </c>
    </row>
    <row r="112" spans="1:10">
      <c r="A112">
        <f>RFI_Elements!B113</f>
        <v>2</v>
      </c>
      <c r="B112">
        <f>RFI_Elements!C113</f>
        <v>435</v>
      </c>
      <c r="C112">
        <v>1</v>
      </c>
      <c r="D112">
        <v>112</v>
      </c>
      <c r="E112" s="60">
        <v>43101</v>
      </c>
      <c r="F112">
        <f>VLOOKUP(VLOOKUP(B112,SuiteCatSubElem!$G$2:$H$666,2,0),'SA Q1 18 VR'!$A$33:$O$193,1+MATCH(VLOOKUP(A112,Vendors!$A$2:$B$15,2,0),'SA Q1 18 VR'!$B$24:$O$24,0),0)</f>
        <v>3</v>
      </c>
      <c r="G112" t="s">
        <v>50</v>
      </c>
      <c r="H112">
        <f>RFI_Elements!N113</f>
        <v>112</v>
      </c>
      <c r="J112" t="str">
        <f>VLOOKUP(B112,SuiteCatSubElem!$G$2:$H$666,2,0)</f>
        <v>Sliding Time-Scale</v>
      </c>
    </row>
    <row r="113" spans="1:10">
      <c r="A113">
        <f>RFI_Elements!B114</f>
        <v>2</v>
      </c>
      <c r="B113">
        <f>RFI_Elements!C114</f>
        <v>436</v>
      </c>
      <c r="C113">
        <v>1</v>
      </c>
      <c r="D113">
        <v>113</v>
      </c>
      <c r="E113" s="60">
        <v>43101</v>
      </c>
      <c r="F113">
        <f>VLOOKUP(VLOOKUP(B113,SuiteCatSubElem!$G$2:$H$666,2,0),'SA Q1 18 VR'!$A$33:$O$193,1+MATCH(VLOOKUP(A113,Vendors!$A$2:$B$15,2,0),'SA Q1 18 VR'!$B$24:$O$24,0),0)</f>
        <v>3</v>
      </c>
      <c r="G113" t="s">
        <v>50</v>
      </c>
      <c r="H113">
        <f>RFI_Elements!N114</f>
        <v>113</v>
      </c>
      <c r="J113" t="str">
        <f>VLOOKUP(B113,SuiteCatSubElem!$G$2:$H$666,2,0)</f>
        <v>VAR: Visualize, Analyze, Report</v>
      </c>
    </row>
    <row r="114" spans="1:10">
      <c r="A114">
        <f>RFI_Elements!B115</f>
        <v>2</v>
      </c>
      <c r="B114">
        <f>RFI_Elements!C115</f>
        <v>437</v>
      </c>
      <c r="C114">
        <v>1</v>
      </c>
      <c r="D114">
        <v>114</v>
      </c>
      <c r="E114" s="60">
        <v>43101</v>
      </c>
      <c r="F114">
        <f>VLOOKUP(VLOOKUP(B114,SuiteCatSubElem!$G$2:$H$666,2,0),'SA Q1 18 VR'!$A$33:$O$193,1+MATCH(VLOOKUP(A114,Vendors!$A$2:$B$15,2,0),'SA Q1 18 VR'!$B$24:$O$24,0),0)</f>
        <v>3</v>
      </c>
      <c r="G114" t="s">
        <v>50</v>
      </c>
      <c r="H114">
        <f>RFI_Elements!N115</f>
        <v>114</v>
      </c>
      <c r="J114" t="str">
        <f>VLOOKUP(B114,SuiteCatSubElem!$G$2:$H$666,2,0)</f>
        <v>Filter Support</v>
      </c>
    </row>
    <row r="115" spans="1:10">
      <c r="A115">
        <f>RFI_Elements!B116</f>
        <v>2</v>
      </c>
      <c r="B115">
        <f>RFI_Elements!C116</f>
        <v>438</v>
      </c>
      <c r="C115">
        <v>1</v>
      </c>
      <c r="D115">
        <v>115</v>
      </c>
      <c r="E115" s="60">
        <v>43101</v>
      </c>
      <c r="F115">
        <f>VLOOKUP(VLOOKUP(B115,SuiteCatSubElem!$G$2:$H$666,2,0),'SA Q1 18 VR'!$A$33:$O$193,1+MATCH(VLOOKUP(A115,Vendors!$A$2:$B$15,2,0),'SA Q1 18 VR'!$B$24:$O$24,0),0)</f>
        <v>3</v>
      </c>
      <c r="G115" t="s">
        <v>50</v>
      </c>
      <c r="H115">
        <f>RFI_Elements!N116</f>
        <v>115</v>
      </c>
      <c r="J115" t="str">
        <f>VLOOKUP(B115,SuiteCatSubElem!$G$2:$H$666,2,0)</f>
        <v>Formula / Derived Dimension Support</v>
      </c>
    </row>
    <row r="116" spans="1:10">
      <c r="A116">
        <f>RFI_Elements!B117</f>
        <v>2</v>
      </c>
      <c r="B116">
        <f>RFI_Elements!C117</f>
        <v>439</v>
      </c>
      <c r="C116">
        <v>1</v>
      </c>
      <c r="D116">
        <v>116</v>
      </c>
      <c r="E116" s="60">
        <v>43101</v>
      </c>
      <c r="F116">
        <f>VLOOKUP(VLOOKUP(B116,SuiteCatSubElem!$G$2:$H$666,2,0),'SA Q1 18 VR'!$A$33:$O$193,1+MATCH(VLOOKUP(A116,Vendors!$A$2:$B$15,2,0),'SA Q1 18 VR'!$B$24:$O$24,0),0)</f>
        <v>3</v>
      </c>
      <c r="G116" t="s">
        <v>50</v>
      </c>
      <c r="H116">
        <f>RFI_Elements!N117</f>
        <v>116</v>
      </c>
      <c r="J116" t="str">
        <f>VLOOKUP(B116,SuiteCatSubElem!$G$2:$H$666,2,0)</f>
        <v>Extent of Charting / Graphing Capability</v>
      </c>
    </row>
    <row r="117" spans="1:10">
      <c r="A117">
        <f>RFI_Elements!B118</f>
        <v>2</v>
      </c>
      <c r="B117">
        <f>RFI_Elements!C118</f>
        <v>440</v>
      </c>
      <c r="C117">
        <v>1</v>
      </c>
      <c r="D117">
        <v>117</v>
      </c>
      <c r="E117" s="60">
        <v>43101</v>
      </c>
      <c r="F117">
        <f>VLOOKUP(VLOOKUP(B117,SuiteCatSubElem!$G$2:$H$666,2,0),'SA Q1 18 VR'!$A$33:$O$193,1+MATCH(VLOOKUP(A117,Vendors!$A$2:$B$15,2,0),'SA Q1 18 VR'!$B$24:$O$24,0),0)</f>
        <v>2</v>
      </c>
      <c r="G117" t="s">
        <v>50</v>
      </c>
      <c r="H117">
        <f>RFI_Elements!N118</f>
        <v>117</v>
      </c>
      <c r="J117" t="str">
        <f>VLOOKUP(B117,SuiteCatSubElem!$G$2:$H$666,2,0)</f>
        <v>Extent of Report Definition / Building</v>
      </c>
    </row>
    <row r="118" spans="1:10">
      <c r="A118">
        <f>RFI_Elements!B119</f>
        <v>2</v>
      </c>
      <c r="B118">
        <f>RFI_Elements!C119</f>
        <v>441</v>
      </c>
      <c r="C118">
        <v>1</v>
      </c>
      <c r="D118">
        <v>118</v>
      </c>
      <c r="E118" s="60">
        <v>43101</v>
      </c>
      <c r="F118">
        <f>VLOOKUP(VLOOKUP(B118,SuiteCatSubElem!$G$2:$H$666,2,0),'SA Q1 18 VR'!$A$33:$O$193,1+MATCH(VLOOKUP(A118,Vendors!$A$2:$B$15,2,0),'SA Q1 18 VR'!$B$24:$O$24,0),0)</f>
        <v>2</v>
      </c>
      <c r="G118" t="s">
        <v>50</v>
      </c>
      <c r="H118">
        <f>RFI_Elements!N119</f>
        <v>118</v>
      </c>
      <c r="J118" t="str">
        <f>VLOOKUP(B118,SuiteCatSubElem!$G$2:$H$666,2,0)</f>
        <v>ETD (extract / transform / dump)</v>
      </c>
    </row>
    <row r="119" spans="1:10">
      <c r="A119">
        <f>RFI_Elements!B120</f>
        <v>2</v>
      </c>
      <c r="B119">
        <f>RFI_Elements!C120</f>
        <v>442</v>
      </c>
      <c r="C119">
        <v>1</v>
      </c>
      <c r="D119">
        <v>119</v>
      </c>
      <c r="E119" s="60">
        <v>43101</v>
      </c>
      <c r="F119">
        <f>VLOOKUP(VLOOKUP(B119,SuiteCatSubElem!$G$2:$H$666,2,0),'SA Q1 18 VR'!$A$33:$O$193,1+MATCH(VLOOKUP(A119,Vendors!$A$2:$B$15,2,0),'SA Q1 18 VR'!$B$24:$O$24,0),0)</f>
        <v>3</v>
      </c>
      <c r="G119" t="s">
        <v>50</v>
      </c>
      <c r="H119">
        <f>RFI_Elements!N120</f>
        <v>119</v>
      </c>
      <c r="J119" t="str">
        <f>VLOOKUP(B119,SuiteCatSubElem!$G$2:$H$666,2,0)</f>
        <v>Flat File / FTP</v>
      </c>
    </row>
    <row r="120" spans="1:10">
      <c r="A120">
        <f>RFI_Elements!B121</f>
        <v>2</v>
      </c>
      <c r="B120">
        <f>RFI_Elements!C121</f>
        <v>443</v>
      </c>
      <c r="C120">
        <v>1</v>
      </c>
      <c r="D120">
        <v>120</v>
      </c>
      <c r="E120" s="60">
        <v>43101</v>
      </c>
      <c r="F120">
        <f>VLOOKUP(VLOOKUP(B120,SuiteCatSubElem!$G$2:$H$666,2,0),'SA Q1 18 VR'!$A$33:$O$193,1+MATCH(VLOOKUP(A120,Vendors!$A$2:$B$15,2,0),'SA Q1 18 VR'!$B$24:$O$24,0),0)</f>
        <v>0</v>
      </c>
      <c r="G120" t="s">
        <v>50</v>
      </c>
      <c r="H120">
        <f>RFI_Elements!N121</f>
        <v>120</v>
      </c>
      <c r="J120" t="str">
        <f>VLOOKUP(B120,SuiteCatSubElem!$G$2:$H$666,2,0)</f>
        <v>Real-Time Integration</v>
      </c>
    </row>
    <row r="121" spans="1:10">
      <c r="A121">
        <f>RFI_Elements!B123</f>
        <v>2</v>
      </c>
      <c r="B121">
        <f>RFI_Elements!C123</f>
        <v>445</v>
      </c>
      <c r="C121">
        <v>1</v>
      </c>
      <c r="D121">
        <v>122</v>
      </c>
      <c r="E121" s="60">
        <v>43101</v>
      </c>
      <c r="F121">
        <f>VLOOKUP(VLOOKUP(B121,SuiteCatSubElem!$G$2:$H$666,2,0),'SA Q1 18 VR'!$A$33:$O$193,1+MATCH(VLOOKUP(A121,Vendors!$A$2:$B$15,2,0),'SA Q1 18 VR'!$B$24:$O$24,0),0)</f>
        <v>0</v>
      </c>
      <c r="G121" t="s">
        <v>50</v>
      </c>
      <c r="H121">
        <f>RFI_Elements!N123</f>
        <v>122</v>
      </c>
      <c r="J121" t="str">
        <f>VLOOKUP(B121,SuiteCatSubElem!$G$2:$H$666,2,0)</f>
        <v>Predictive Analytics</v>
      </c>
    </row>
    <row r="122" spans="1:10">
      <c r="A122">
        <f>RFI_Elements!B124</f>
        <v>2</v>
      </c>
      <c r="B122">
        <f>RFI_Elements!C124</f>
        <v>446</v>
      </c>
      <c r="C122">
        <v>1</v>
      </c>
      <c r="D122">
        <v>123</v>
      </c>
      <c r="E122" s="60">
        <v>43101</v>
      </c>
      <c r="F122">
        <f>VLOOKUP(VLOOKUP(B122,SuiteCatSubElem!$G$2:$H$666,2,0),'SA Q1 18 VR'!$A$33:$O$193,1+MATCH(VLOOKUP(A122,Vendors!$A$2:$B$15,2,0),'SA Q1 18 VR'!$B$24:$O$24,0),0)</f>
        <v>0</v>
      </c>
      <c r="G122" t="s">
        <v>50</v>
      </c>
      <c r="H122">
        <f>RFI_Elements!N124</f>
        <v>123</v>
      </c>
      <c r="J122" t="str">
        <f>VLOOKUP(B122,SuiteCatSubElem!$G$2:$H$666,2,0)</f>
        <v>Prescriptive Analytics</v>
      </c>
    </row>
    <row r="123" spans="1:10">
      <c r="A123">
        <f>RFI_Elements!B125</f>
        <v>2</v>
      </c>
      <c r="B123">
        <f>RFI_Elements!C125</f>
        <v>447</v>
      </c>
      <c r="C123">
        <v>1</v>
      </c>
      <c r="D123">
        <v>124</v>
      </c>
      <c r="E123" s="60">
        <v>43101</v>
      </c>
      <c r="F123">
        <f>VLOOKUP(VLOOKUP(B123,SuiteCatSubElem!$G$2:$H$666,2,0),'SA Q1 18 VR'!$A$33:$O$193,1+MATCH(VLOOKUP(A123,Vendors!$A$2:$B$15,2,0),'SA Q1 18 VR'!$B$24:$O$24,0),0)</f>
        <v>0</v>
      </c>
      <c r="G123" t="s">
        <v>50</v>
      </c>
      <c r="H123">
        <f>RFI_Elements!N125</f>
        <v>124</v>
      </c>
      <c r="J123" t="str">
        <f>VLOOKUP(B123,SuiteCatSubElem!$G$2:$H$666,2,0)</f>
        <v>Permissive Analytics</v>
      </c>
    </row>
    <row r="124" spans="1:10">
      <c r="A124">
        <f>RFI_Elements!B126</f>
        <v>2</v>
      </c>
      <c r="B124">
        <f>RFI_Elements!C126</f>
        <v>448</v>
      </c>
      <c r="C124">
        <v>1</v>
      </c>
      <c r="D124">
        <v>125</v>
      </c>
      <c r="E124" s="60">
        <v>43101</v>
      </c>
      <c r="F124">
        <f>VLOOKUP(VLOOKUP(B124,SuiteCatSubElem!$G$2:$H$666,2,0),'SA Q1 18 VR'!$A$33:$O$193,1+MATCH(VLOOKUP(A124,Vendors!$A$2:$B$15,2,0),'SA Q1 18 VR'!$B$24:$O$24,0),0)</f>
        <v>3</v>
      </c>
      <c r="G124" t="s">
        <v>50</v>
      </c>
      <c r="H124">
        <f>RFI_Elements!N126</f>
        <v>125</v>
      </c>
      <c r="J124" t="str">
        <f>VLOOKUP(B124,SuiteCatSubElem!$G$2:$H$666,2,0)</f>
        <v>Scorecards</v>
      </c>
    </row>
    <row r="125" spans="1:10">
      <c r="A125">
        <f>RFI_Elements!B127</f>
        <v>2</v>
      </c>
      <c r="B125">
        <f>RFI_Elements!C127</f>
        <v>449</v>
      </c>
      <c r="C125">
        <v>1</v>
      </c>
      <c r="D125">
        <v>126</v>
      </c>
      <c r="E125" s="60">
        <v>43101</v>
      </c>
      <c r="F125">
        <f>VLOOKUP(VLOOKUP(B125,SuiteCatSubElem!$G$2:$H$666,2,0),'SA Q1 18 VR'!$A$33:$O$193,1+MATCH(VLOOKUP(A125,Vendors!$A$2:$B$15,2,0),'SA Q1 18 VR'!$B$24:$O$24,0),0)</f>
        <v>2</v>
      </c>
      <c r="G125" t="s">
        <v>50</v>
      </c>
      <c r="H125">
        <f>RFI_Elements!N127</f>
        <v>126</v>
      </c>
      <c r="J125" t="str">
        <f>VLOOKUP(B125,SuiteCatSubElem!$G$2:$H$666,2,0)</f>
        <v>Template Library</v>
      </c>
    </row>
    <row r="126" spans="1:10">
      <c r="A126">
        <f>RFI_Elements!B128</f>
        <v>2</v>
      </c>
      <c r="B126">
        <f>RFI_Elements!C128</f>
        <v>450</v>
      </c>
      <c r="C126">
        <v>1</v>
      </c>
      <c r="D126">
        <v>127</v>
      </c>
      <c r="E126" s="60">
        <v>43101</v>
      </c>
      <c r="F126">
        <f>VLOOKUP(VLOOKUP(B126,SuiteCatSubElem!$G$2:$H$666,2,0),'SA Q1 18 VR'!$A$33:$O$193,1+MATCH(VLOOKUP(A126,Vendors!$A$2:$B$15,2,0),'SA Q1 18 VR'!$B$24:$O$24,0),0)</f>
        <v>2</v>
      </c>
      <c r="G126" t="s">
        <v>50</v>
      </c>
      <c r="H126">
        <f>RFI_Elements!N128</f>
        <v>127</v>
      </c>
      <c r="J126" t="str">
        <f>VLOOKUP(B126,SuiteCatSubElem!$G$2:$H$666,2,0)</f>
        <v>KPIs</v>
      </c>
    </row>
    <row r="127" spans="1:10">
      <c r="A127">
        <f>RFI_Elements!B129</f>
        <v>2</v>
      </c>
      <c r="B127">
        <f>RFI_Elements!C129</f>
        <v>451</v>
      </c>
      <c r="C127">
        <v>1</v>
      </c>
      <c r="D127">
        <v>128</v>
      </c>
      <c r="E127" s="60">
        <v>43101</v>
      </c>
      <c r="F127">
        <f>VLOOKUP(VLOOKUP(B127,SuiteCatSubElem!$G$2:$H$666,2,0),'SA Q1 18 VR'!$A$33:$O$193,1+MATCH(VLOOKUP(A127,Vendors!$A$2:$B$15,2,0),'SA Q1 18 VR'!$B$24:$O$24,0),0)</f>
        <v>3</v>
      </c>
      <c r="G127" t="s">
        <v>50</v>
      </c>
      <c r="H127">
        <f>RFI_Elements!N129</f>
        <v>128</v>
      </c>
      <c r="J127" t="str">
        <f>VLOOKUP(B127,SuiteCatSubElem!$G$2:$H$666,2,0)</f>
        <v>KPI Library</v>
      </c>
    </row>
    <row r="128" spans="1:10">
      <c r="A128">
        <f>RFI_Elements!B130</f>
        <v>2</v>
      </c>
      <c r="B128">
        <f>RFI_Elements!C130</f>
        <v>452</v>
      </c>
      <c r="C128">
        <v>1</v>
      </c>
      <c r="D128">
        <v>129</v>
      </c>
      <c r="E128" s="60">
        <v>43101</v>
      </c>
      <c r="F128">
        <f>VLOOKUP(VLOOKUP(B128,SuiteCatSubElem!$G$2:$H$666,2,0),'SA Q1 18 VR'!$A$33:$O$193,1+MATCH(VLOOKUP(A128,Vendors!$A$2:$B$15,2,0),'SA Q1 18 VR'!$B$24:$O$24,0),0)</f>
        <v>2</v>
      </c>
      <c r="G128" t="s">
        <v>50</v>
      </c>
      <c r="H128">
        <f>RFI_Elements!N130</f>
        <v>129</v>
      </c>
      <c r="J128" t="str">
        <f>VLOOKUP(B128,SuiteCatSubElem!$G$2:$H$666,2,0)</f>
        <v>Benchmarks</v>
      </c>
    </row>
    <row r="129" spans="1:10">
      <c r="A129">
        <f>RFI_Elements!B131</f>
        <v>2</v>
      </c>
      <c r="B129">
        <f>RFI_Elements!C131</f>
        <v>453</v>
      </c>
      <c r="C129">
        <v>1</v>
      </c>
      <c r="D129">
        <v>130</v>
      </c>
      <c r="E129" s="60">
        <v>43101</v>
      </c>
      <c r="F129">
        <f>VLOOKUP(VLOOKUP(B129,SuiteCatSubElem!$G$2:$H$666,2,0),'SA Q1 18 VR'!$A$33:$O$193,1+MATCH(VLOOKUP(A129,Vendors!$A$2:$B$15,2,0),'SA Q1 18 VR'!$B$24:$O$24,0),0)</f>
        <v>2</v>
      </c>
      <c r="G129" t="s">
        <v>50</v>
      </c>
      <c r="H129">
        <f>RFI_Elements!N131</f>
        <v>130</v>
      </c>
      <c r="J129" t="str">
        <f>VLOOKUP(B129,SuiteCatSubElem!$G$2:$H$666,2,0)</f>
        <v>Internal</v>
      </c>
    </row>
    <row r="130" spans="1:10">
      <c r="A130">
        <f>RFI_Elements!B132</f>
        <v>2</v>
      </c>
      <c r="B130">
        <f>RFI_Elements!C132</f>
        <v>454</v>
      </c>
      <c r="C130">
        <v>1</v>
      </c>
      <c r="D130">
        <v>131</v>
      </c>
      <c r="E130" s="60">
        <v>43101</v>
      </c>
      <c r="F130">
        <f>VLOOKUP(VLOOKUP(B130,SuiteCatSubElem!$G$2:$H$666,2,0),'SA Q1 18 VR'!$A$33:$O$193,1+MATCH(VLOOKUP(A130,Vendors!$A$2:$B$15,2,0),'SA Q1 18 VR'!$B$24:$O$24,0),0)</f>
        <v>0</v>
      </c>
      <c r="G130" t="s">
        <v>50</v>
      </c>
      <c r="H130">
        <f>RFI_Elements!N132</f>
        <v>131</v>
      </c>
      <c r="J130" t="str">
        <f>VLOOKUP(B130,SuiteCatSubElem!$G$2:$H$666,2,0)</f>
        <v>External</v>
      </c>
    </row>
    <row r="131" spans="1:10">
      <c r="A131">
        <f>RFI_Elements!B133</f>
        <v>2</v>
      </c>
      <c r="B131">
        <f>RFI_Elements!C133</f>
        <v>455</v>
      </c>
      <c r="C131">
        <v>1</v>
      </c>
      <c r="D131">
        <v>132</v>
      </c>
      <c r="E131" s="60">
        <v>43101</v>
      </c>
      <c r="F131">
        <f>VLOOKUP(VLOOKUP(B131,SuiteCatSubElem!$G$2:$H$666,2,0),'SA Q1 18 VR'!$A$33:$O$193,1+MATCH(VLOOKUP(A131,Vendors!$A$2:$B$15,2,0),'SA Q1 18 VR'!$B$24:$O$24,0),0)</f>
        <v>1</v>
      </c>
      <c r="G131" t="s">
        <v>50</v>
      </c>
      <c r="H131">
        <f>RFI_Elements!N133</f>
        <v>132</v>
      </c>
      <c r="J131" t="str">
        <f>VLOOKUP(B131,SuiteCatSubElem!$G$2:$H$666,2,0)</f>
        <v>Cost Avoidance / Opportunity Program Management</v>
      </c>
    </row>
    <row r="132" spans="1:10">
      <c r="A132">
        <f>RFI_Elements!B134</f>
        <v>2</v>
      </c>
      <c r="B132">
        <f>RFI_Elements!C134</f>
        <v>456</v>
      </c>
      <c r="C132">
        <v>1</v>
      </c>
      <c r="D132">
        <v>133</v>
      </c>
      <c r="E132" s="60">
        <v>43101</v>
      </c>
      <c r="F132">
        <f>VLOOKUP(VLOOKUP(B132,SuiteCatSubElem!$G$2:$H$666,2,0),'SA Q1 18 VR'!$A$33:$O$193,1+MATCH(VLOOKUP(A132,Vendors!$A$2:$B$15,2,0),'SA Q1 18 VR'!$B$24:$O$24,0),0)</f>
        <v>2</v>
      </c>
      <c r="G132" t="s">
        <v>50</v>
      </c>
      <c r="H132">
        <f>RFI_Elements!N134</f>
        <v>133</v>
      </c>
      <c r="J132" t="str">
        <f>VLOOKUP(B132,SuiteCatSubElem!$G$2:$H$666,2,0)</f>
        <v>Out-of-the-Box Sourcing Support</v>
      </c>
    </row>
    <row r="133" spans="1:10">
      <c r="A133">
        <f>RFI_Elements!B135</f>
        <v>2</v>
      </c>
      <c r="B133">
        <f>RFI_Elements!C135</f>
        <v>457</v>
      </c>
      <c r="C133">
        <v>1</v>
      </c>
      <c r="D133">
        <v>134</v>
      </c>
      <c r="E133" s="60">
        <v>43101</v>
      </c>
      <c r="F133">
        <f>VLOOKUP(VLOOKUP(B133,SuiteCatSubElem!$G$2:$H$666,2,0),'SA Q1 18 VR'!$A$33:$O$193,1+MATCH(VLOOKUP(A133,Vendors!$A$2:$B$15,2,0),'SA Q1 18 VR'!$B$24:$O$24,0),0)</f>
        <v>3</v>
      </c>
      <c r="G133" t="s">
        <v>50</v>
      </c>
      <c r="H133">
        <f>RFI_Elements!N135</f>
        <v>134</v>
      </c>
      <c r="J133" t="str">
        <f>VLOOKUP(B133,SuiteCatSubElem!$G$2:$H$666,2,0)</f>
        <v>Out-of-the-Box Procurement Support</v>
      </c>
    </row>
    <row r="134" spans="1:10">
      <c r="A134">
        <f>RFI_Elements!B136</f>
        <v>2</v>
      </c>
      <c r="B134">
        <f>RFI_Elements!C136</f>
        <v>458</v>
      </c>
      <c r="C134">
        <v>1</v>
      </c>
      <c r="D134">
        <v>135</v>
      </c>
      <c r="E134" s="60">
        <v>43101</v>
      </c>
      <c r="F134">
        <f>VLOOKUP(VLOOKUP(B134,SuiteCatSubElem!$G$2:$H$666,2,0),'SA Q1 18 VR'!$A$33:$O$193,1+MATCH(VLOOKUP(A134,Vendors!$A$2:$B$15,2,0),'SA Q1 18 VR'!$B$24:$O$24,0),0)</f>
        <v>2</v>
      </c>
      <c r="G134" t="s">
        <v>50</v>
      </c>
      <c r="H134">
        <f>RFI_Elements!N136</f>
        <v>135</v>
      </c>
      <c r="J134" t="str">
        <f>VLOOKUP(B134,SuiteCatSubElem!$G$2:$H$666,2,0)</f>
        <v>Out-of-the-Box Travel &amp; Expense Support</v>
      </c>
    </row>
    <row r="135" spans="1:10">
      <c r="A135">
        <f>RFI_Elements!B137</f>
        <v>2</v>
      </c>
      <c r="B135">
        <f>RFI_Elements!C137</f>
        <v>459</v>
      </c>
      <c r="C135">
        <v>1</v>
      </c>
      <c r="D135">
        <v>136</v>
      </c>
      <c r="E135" s="60">
        <v>43101</v>
      </c>
      <c r="F135">
        <f>VLOOKUP(VLOOKUP(B135,SuiteCatSubElem!$G$2:$H$666,2,0),'SA Q1 18 VR'!$A$33:$O$193,1+MATCH(VLOOKUP(A135,Vendors!$A$2:$B$15,2,0),'SA Q1 18 VR'!$B$24:$O$24,0),0)</f>
        <v>2</v>
      </c>
      <c r="G135" t="s">
        <v>50</v>
      </c>
      <c r="H135">
        <f>RFI_Elements!N137</f>
        <v>136</v>
      </c>
      <c r="J135" t="str">
        <f>VLOOKUP(B135,SuiteCatSubElem!$G$2:$H$666,2,0)</f>
        <v>Out-of-the-Box Finance Support</v>
      </c>
    </row>
    <row r="136" spans="1:10">
      <c r="A136">
        <f>RFI_Elements!B138</f>
        <v>2</v>
      </c>
      <c r="B136">
        <f>RFI_Elements!C138</f>
        <v>460</v>
      </c>
      <c r="C136">
        <v>1</v>
      </c>
      <c r="D136">
        <v>137</v>
      </c>
      <c r="E136" s="60">
        <v>43101</v>
      </c>
      <c r="F136">
        <f>VLOOKUP(VLOOKUP(B136,SuiteCatSubElem!$G$2:$H$666,2,0),'SA Q1 18 VR'!$A$33:$O$193,1+MATCH(VLOOKUP(A136,Vendors!$A$2:$B$15,2,0),'SA Q1 18 VR'!$B$24:$O$24,0),0)</f>
        <v>1</v>
      </c>
      <c r="G136" t="s">
        <v>50</v>
      </c>
      <c r="H136">
        <f>RFI_Elements!N138</f>
        <v>137</v>
      </c>
      <c r="J136" t="str">
        <f>VLOOKUP(B136,SuiteCatSubElem!$G$2:$H$666,2,0)</f>
        <v>Out-of-the-Box Product (Lifecycle) Support</v>
      </c>
    </row>
    <row r="137" spans="1:10">
      <c r="A137">
        <f>RFI_Elements!B139</f>
        <v>2</v>
      </c>
      <c r="B137">
        <f>RFI_Elements!C139</f>
        <v>461</v>
      </c>
      <c r="C137">
        <v>1</v>
      </c>
      <c r="D137">
        <v>138</v>
      </c>
      <c r="E137" s="60">
        <v>43101</v>
      </c>
      <c r="F137">
        <f>VLOOKUP(VLOOKUP(B137,SuiteCatSubElem!$G$2:$H$666,2,0),'SA Q1 18 VR'!$A$33:$O$193,1+MATCH(VLOOKUP(A137,Vendors!$A$2:$B$15,2,0),'SA Q1 18 VR'!$B$24:$O$24,0),0)</f>
        <v>1</v>
      </c>
      <c r="G137" t="s">
        <v>50</v>
      </c>
      <c r="H137">
        <f>RFI_Elements!N139</f>
        <v>138</v>
      </c>
      <c r="J137" t="str">
        <f>VLOOKUP(B137,SuiteCatSubElem!$G$2:$H$666,2,0)</f>
        <v>Out-of-the-Box Services Support</v>
      </c>
    </row>
    <row r="138" spans="1:10">
      <c r="A138">
        <f>RFI_Elements!B140</f>
        <v>2</v>
      </c>
      <c r="B138">
        <f>RFI_Elements!C140</f>
        <v>462</v>
      </c>
      <c r="C138">
        <v>1</v>
      </c>
      <c r="D138">
        <v>139</v>
      </c>
      <c r="E138" s="60">
        <v>43101</v>
      </c>
      <c r="F138">
        <f>VLOOKUP(VLOOKUP(B138,SuiteCatSubElem!$G$2:$H$666,2,0),'SA Q1 18 VR'!$A$33:$O$193,1+MATCH(VLOOKUP(A138,Vendors!$A$2:$B$15,2,0),'SA Q1 18 VR'!$B$24:$O$24,0),0)</f>
        <v>1</v>
      </c>
      <c r="G138" t="s">
        <v>50</v>
      </c>
      <c r="H138">
        <f>RFI_Elements!N140</f>
        <v>139</v>
      </c>
      <c r="J138" t="str">
        <f>VLOOKUP(B138,SuiteCatSubElem!$G$2:$H$666,2,0)</f>
        <v>Out-of-the-Box CWM Support</v>
      </c>
    </row>
    <row r="139" spans="1:10">
      <c r="A139">
        <f>RFI_Elements!B141</f>
        <v>2</v>
      </c>
      <c r="B139">
        <f>RFI_Elements!C141</f>
        <v>463</v>
      </c>
      <c r="C139">
        <v>1</v>
      </c>
      <c r="D139">
        <v>140</v>
      </c>
      <c r="E139" s="60">
        <v>43101</v>
      </c>
      <c r="F139">
        <f>VLOOKUP(VLOOKUP(B139,SuiteCatSubElem!$G$2:$H$666,2,0),'SA Q1 18 VR'!$A$33:$O$193,1+MATCH(VLOOKUP(A139,Vendors!$A$2:$B$15,2,0),'SA Q1 18 VR'!$B$24:$O$24,0),0)</f>
        <v>1</v>
      </c>
      <c r="G139" t="s">
        <v>50</v>
      </c>
      <c r="H139">
        <f>RFI_Elements!N141</f>
        <v>140</v>
      </c>
      <c r="J139" t="str">
        <f>VLOOKUP(B139,SuiteCatSubElem!$G$2:$H$666,2,0)</f>
        <v>Out-of-the-Box Logistics Support</v>
      </c>
    </row>
    <row r="140" spans="1:10">
      <c r="A140">
        <f>RFI_Elements!B142</f>
        <v>2</v>
      </c>
      <c r="B140">
        <f>RFI_Elements!C142</f>
        <v>464</v>
      </c>
      <c r="C140">
        <v>1</v>
      </c>
      <c r="D140">
        <v>141</v>
      </c>
      <c r="E140" s="60">
        <v>43101</v>
      </c>
      <c r="F140">
        <f>VLOOKUP(VLOOKUP(B140,SuiteCatSubElem!$G$2:$H$666,2,0),'SA Q1 18 VR'!$A$33:$O$193,1+MATCH(VLOOKUP(A140,Vendors!$A$2:$B$15,2,0),'SA Q1 18 VR'!$B$24:$O$24,0),0)</f>
        <v>1</v>
      </c>
      <c r="G140" t="s">
        <v>50</v>
      </c>
      <c r="H140">
        <f>RFI_Elements!N142</f>
        <v>141</v>
      </c>
      <c r="J140" t="str">
        <f>VLOOKUP(B140,SuiteCatSubElem!$G$2:$H$666,2,0)</f>
        <v>Out-of-the-Box Inventory/MRO Support</v>
      </c>
    </row>
    <row r="141" spans="1:10">
      <c r="A141">
        <f>RFI_Elements!B143</f>
        <v>2</v>
      </c>
      <c r="B141">
        <f>RFI_Elements!C143</f>
        <v>465</v>
      </c>
      <c r="C141">
        <v>1</v>
      </c>
      <c r="D141">
        <v>142</v>
      </c>
      <c r="E141" s="60">
        <v>43101</v>
      </c>
      <c r="F141">
        <f>VLOOKUP(VLOOKUP(B141,SuiteCatSubElem!$G$2:$H$666,2,0),'SA Q1 18 VR'!$A$33:$O$193,1+MATCH(VLOOKUP(A141,Vendors!$A$2:$B$15,2,0),'SA Q1 18 VR'!$B$24:$O$24,0),0)</f>
        <v>3</v>
      </c>
      <c r="G141" t="s">
        <v>50</v>
      </c>
      <c r="H141">
        <f>RFI_Elements!N143</f>
        <v>142</v>
      </c>
      <c r="J141" t="str">
        <f>VLOOKUP(B141,SuiteCatSubElem!$G$2:$H$666,2,0)</f>
        <v>Out-of-the-Box Supplier Analysis Support</v>
      </c>
    </row>
    <row r="142" spans="1:10">
      <c r="A142">
        <f>RFI_Elements!B144</f>
        <v>2</v>
      </c>
      <c r="B142">
        <f>RFI_Elements!C144</f>
        <v>466</v>
      </c>
      <c r="C142">
        <v>1</v>
      </c>
      <c r="D142">
        <v>143</v>
      </c>
      <c r="E142" s="60">
        <v>43101</v>
      </c>
      <c r="F142">
        <f>VLOOKUP(VLOOKUP(B142,SuiteCatSubElem!$G$2:$H$666,2,0),'SA Q1 18 VR'!$A$33:$O$193,1+MATCH(VLOOKUP(A142,Vendors!$A$2:$B$15,2,0),'SA Q1 18 VR'!$B$24:$O$24,0),0)</f>
        <v>1</v>
      </c>
      <c r="G142" t="s">
        <v>50</v>
      </c>
      <c r="H142">
        <f>RFI_Elements!N144</f>
        <v>143</v>
      </c>
      <c r="J142" t="str">
        <f>VLOOKUP(B142,SuiteCatSubElem!$G$2:$H$666,2,0)</f>
        <v>Out-of-the-Box Risk Management Support</v>
      </c>
    </row>
    <row r="143" spans="1:10">
      <c r="A143">
        <f>RFI_Elements!B145</f>
        <v>2</v>
      </c>
      <c r="B143">
        <f>RFI_Elements!C145</f>
        <v>467</v>
      </c>
      <c r="C143">
        <v>1</v>
      </c>
      <c r="D143">
        <v>144</v>
      </c>
      <c r="E143" s="60">
        <v>43101</v>
      </c>
      <c r="F143">
        <f>VLOOKUP(VLOOKUP(B143,SuiteCatSubElem!$G$2:$H$666,2,0),'SA Q1 18 VR'!$A$33:$O$193,1+MATCH(VLOOKUP(A143,Vendors!$A$2:$B$15,2,0),'SA Q1 18 VR'!$B$24:$O$24,0),0)</f>
        <v>3</v>
      </c>
      <c r="G143" t="s">
        <v>50</v>
      </c>
      <c r="H143">
        <f>RFI_Elements!N145</f>
        <v>144</v>
      </c>
      <c r="J143" t="str">
        <f>VLOOKUP(B143,SuiteCatSubElem!$G$2:$H$666,2,0)</f>
        <v>3rd Party BI Integration</v>
      </c>
    </row>
    <row r="144" spans="1:10">
      <c r="A144">
        <f>RFI_Elements!B146</f>
        <v>2</v>
      </c>
      <c r="B144">
        <f>RFI_Elements!C146</f>
        <v>468</v>
      </c>
      <c r="C144">
        <v>1</v>
      </c>
      <c r="D144">
        <v>145</v>
      </c>
      <c r="E144" s="60">
        <v>43101</v>
      </c>
      <c r="F144">
        <f>VLOOKUP(VLOOKUP(B144,SuiteCatSubElem!$G$2:$H$666,2,0),'SA Q1 18 VR'!$A$33:$O$193,1+MATCH(VLOOKUP(A144,Vendors!$A$2:$B$15,2,0),'SA Q1 18 VR'!$B$24:$O$24,0),0)</f>
        <v>4</v>
      </c>
      <c r="G144" t="s">
        <v>50</v>
      </c>
      <c r="H144">
        <f>RFI_Elements!N146</f>
        <v>145</v>
      </c>
      <c r="J144" t="str">
        <f>VLOOKUP(B144,SuiteCatSubElem!$G$2:$H$666,2,0)</f>
        <v>SaaS / Cloud</v>
      </c>
    </row>
    <row r="145" spans="1:10">
      <c r="A145">
        <f>RFI_Elements!B147</f>
        <v>2</v>
      </c>
      <c r="B145">
        <f>RFI_Elements!C147</f>
        <v>469</v>
      </c>
      <c r="C145">
        <v>1</v>
      </c>
      <c r="D145">
        <v>146</v>
      </c>
      <c r="E145" s="60">
        <v>43101</v>
      </c>
      <c r="F145">
        <f>VLOOKUP(VLOOKUP(B145,SuiteCatSubElem!$G$2:$H$666,2,0),'SA Q1 18 VR'!$A$33:$O$193,1+MATCH(VLOOKUP(A145,Vendors!$A$2:$B$15,2,0),'SA Q1 18 VR'!$B$24:$O$24,0),0)</f>
        <v>2</v>
      </c>
      <c r="G145" t="s">
        <v>50</v>
      </c>
      <c r="H145">
        <f>RFI_Elements!N147</f>
        <v>146</v>
      </c>
      <c r="J145" t="str">
        <f>VLOOKUP(B145,SuiteCatSubElem!$G$2:$H$666,2,0)</f>
        <v>On-Premise Software Option</v>
      </c>
    </row>
    <row r="146" spans="1:10">
      <c r="A146">
        <f>RFI_Elements!B148</f>
        <v>2</v>
      </c>
      <c r="B146">
        <f>RFI_Elements!C148</f>
        <v>470</v>
      </c>
      <c r="C146">
        <v>1</v>
      </c>
      <c r="D146">
        <v>147</v>
      </c>
      <c r="E146" s="60">
        <v>43101</v>
      </c>
      <c r="F146">
        <f>VLOOKUP(VLOOKUP(B146,SuiteCatSubElem!$G$2:$H$666,2,0),'SA Q1 18 VR'!$A$33:$O$193,1+MATCH(VLOOKUP(A146,Vendors!$A$2:$B$15,2,0),'SA Q1 18 VR'!$B$24:$O$24,0),0)</f>
        <v>1</v>
      </c>
      <c r="G146" t="s">
        <v>50</v>
      </c>
      <c r="H146">
        <f>RFI_Elements!N148</f>
        <v>147</v>
      </c>
      <c r="J146" t="str">
        <f>VLOOKUP(B146,SuiteCatSubElem!$G$2:$H$666,2,0)</f>
        <v>AI / Machine Learning</v>
      </c>
    </row>
    <row r="147" spans="1:10">
      <c r="A147">
        <f>RFI_Elements!B149</f>
        <v>2</v>
      </c>
      <c r="B147">
        <f>RFI_Elements!C149</f>
        <v>471</v>
      </c>
      <c r="C147">
        <v>1</v>
      </c>
      <c r="D147">
        <v>148</v>
      </c>
      <c r="E147" s="60">
        <v>43101</v>
      </c>
      <c r="F147">
        <f>VLOOKUP(VLOOKUP(B147,SuiteCatSubElem!$G$2:$H$666,2,0),'SA Q1 18 VR'!$A$33:$O$193,1+MATCH(VLOOKUP(A147,Vendors!$A$2:$B$15,2,0),'SA Q1 18 VR'!$B$24:$O$24,0),0)</f>
        <v>2</v>
      </c>
      <c r="G147" t="s">
        <v>50</v>
      </c>
      <c r="H147">
        <f>RFI_Elements!N149</f>
        <v>148</v>
      </c>
      <c r="J147" t="str">
        <f>VLOOKUP(B147,SuiteCatSubElem!$G$2:$H$666,2,0)</f>
        <v>Big Data</v>
      </c>
    </row>
    <row r="148" spans="1:10">
      <c r="A148">
        <f>RFI_Elements!B150</f>
        <v>2</v>
      </c>
      <c r="B148">
        <f>RFI_Elements!C150</f>
        <v>472</v>
      </c>
      <c r="C148">
        <v>1</v>
      </c>
      <c r="D148">
        <v>149</v>
      </c>
      <c r="E148" s="60">
        <v>43101</v>
      </c>
      <c r="F148">
        <f>VLOOKUP(VLOOKUP(B148,SuiteCatSubElem!$G$2:$H$666,2,0),'SA Q1 18 VR'!$A$33:$O$193,1+MATCH(VLOOKUP(A148,Vendors!$A$2:$B$15,2,0),'SA Q1 18 VR'!$B$24:$O$24,0),0)</f>
        <v>0</v>
      </c>
      <c r="G148" t="s">
        <v>50</v>
      </c>
      <c r="H148">
        <f>RFI_Elements!N150</f>
        <v>149</v>
      </c>
      <c r="J148" t="str">
        <f>VLOOKUP(B148,SuiteCatSubElem!$G$2:$H$666,2,0)</f>
        <v>Block Chain</v>
      </c>
    </row>
    <row r="149" spans="1:10">
      <c r="A149">
        <f>RFI_Elements!B151</f>
        <v>2</v>
      </c>
      <c r="B149">
        <f>RFI_Elements!C151</f>
        <v>473</v>
      </c>
      <c r="C149">
        <v>1</v>
      </c>
      <c r="D149">
        <v>150</v>
      </c>
      <c r="E149" s="60">
        <v>43101</v>
      </c>
      <c r="F149">
        <f>VLOOKUP(VLOOKUP(B149,SuiteCatSubElem!$G$2:$H$666,2,0),'SA Q1 18 VR'!$A$33:$O$193,1+MATCH(VLOOKUP(A149,Vendors!$A$2:$B$15,2,0),'SA Q1 18 VR'!$B$24:$O$24,0),0)</f>
        <v>2</v>
      </c>
      <c r="G149" t="s">
        <v>50</v>
      </c>
      <c r="H149">
        <f>RFI_Elements!N151</f>
        <v>150</v>
      </c>
      <c r="J149" t="str">
        <f>VLOOKUP(B149,SuiteCatSubElem!$G$2:$H$666,2,0)</f>
        <v>Mobile</v>
      </c>
    </row>
    <row r="150" spans="1:10">
      <c r="A150">
        <f>RFI_Elements!B152</f>
        <v>2</v>
      </c>
      <c r="B150">
        <f>RFI_Elements!C152</f>
        <v>474</v>
      </c>
      <c r="C150">
        <v>1</v>
      </c>
      <c r="D150">
        <v>151</v>
      </c>
      <c r="E150" s="60">
        <v>43101</v>
      </c>
      <c r="F150">
        <f>VLOOKUP(VLOOKUP(B150,SuiteCatSubElem!$G$2:$H$666,2,0),'SA Q1 18 VR'!$A$33:$O$193,1+MATCH(VLOOKUP(A150,Vendors!$A$2:$B$15,2,0),'SA Q1 18 VR'!$B$24:$O$24,0),0)</f>
        <v>1</v>
      </c>
      <c r="G150" t="s">
        <v>50</v>
      </c>
      <c r="H150">
        <f>RFI_Elements!N152</f>
        <v>151</v>
      </c>
      <c r="J150" t="str">
        <f>VLOOKUP(B150,SuiteCatSubElem!$G$2:$H$666,2,0)</f>
        <v>Semi-Structured / Unstructured Data</v>
      </c>
    </row>
    <row r="151" spans="1:10">
      <c r="A151">
        <f>RFI_Elements!B153</f>
        <v>2</v>
      </c>
      <c r="B151">
        <f>RFI_Elements!C153</f>
        <v>475</v>
      </c>
      <c r="C151">
        <v>1</v>
      </c>
      <c r="D151">
        <v>152</v>
      </c>
      <c r="E151" s="60">
        <v>43101</v>
      </c>
      <c r="F151">
        <f>VLOOKUP(VLOOKUP(B151,SuiteCatSubElem!$G$2:$H$666,2,0),'SA Q1 18 VR'!$A$33:$O$193,1+MATCH(VLOOKUP(A151,Vendors!$A$2:$B$15,2,0),'SA Q1 18 VR'!$B$24:$O$24,0),0)</f>
        <v>3</v>
      </c>
      <c r="G151" t="s">
        <v>50</v>
      </c>
      <c r="H151">
        <f>RFI_Elements!N153</f>
        <v>152</v>
      </c>
      <c r="J151" t="str">
        <f>VLOOKUP(B151,SuiteCatSubElem!$G$2:$H$666,2,0)</f>
        <v>OCR</v>
      </c>
    </row>
    <row r="152" spans="1:10">
      <c r="A152">
        <f>RFI_Elements!B154</f>
        <v>2</v>
      </c>
      <c r="B152">
        <f>RFI_Elements!C154</f>
        <v>476</v>
      </c>
      <c r="C152">
        <v>1</v>
      </c>
      <c r="D152">
        <v>153</v>
      </c>
      <c r="E152" s="60">
        <v>43101</v>
      </c>
      <c r="F152">
        <f>VLOOKUP(VLOOKUP(B152,SuiteCatSubElem!$G$2:$H$666,2,0),'SA Q1 18 VR'!$A$33:$O$193,1+MATCH(VLOOKUP(A152,Vendors!$A$2:$B$15,2,0),'SA Q1 18 VR'!$B$24:$O$24,0),0)</f>
        <v>0</v>
      </c>
      <c r="G152" t="s">
        <v>50</v>
      </c>
      <c r="H152">
        <f>RFI_Elements!N154</f>
        <v>153</v>
      </c>
      <c r="J152" t="str">
        <f>VLOOKUP(B152,SuiteCatSubElem!$G$2:$H$666,2,0)</f>
        <v>Intelligent Apps</v>
      </c>
    </row>
    <row r="153" spans="1:10">
      <c r="A153">
        <f>RFI_Elements!B155</f>
        <v>2</v>
      </c>
      <c r="B153">
        <f>RFI_Elements!C155</f>
        <v>477</v>
      </c>
      <c r="C153">
        <v>1</v>
      </c>
      <c r="D153">
        <v>154</v>
      </c>
      <c r="E153" s="60">
        <v>43101</v>
      </c>
      <c r="F153">
        <f>VLOOKUP(VLOOKUP(B153,SuiteCatSubElem!$G$2:$H$666,2,0),'SA Q1 18 VR'!$A$33:$O$193,1+MATCH(VLOOKUP(A153,Vendors!$A$2:$B$15,2,0),'SA Q1 18 VR'!$B$24:$O$24,0),0)</f>
        <v>1</v>
      </c>
      <c r="G153" t="s">
        <v>50</v>
      </c>
      <c r="H153">
        <f>RFI_Elements!N155</f>
        <v>154</v>
      </c>
      <c r="J153" t="str">
        <f>VLOOKUP(B153,SuiteCatSubElem!$G$2:$H$666,2,0)</f>
        <v>Personalization</v>
      </c>
    </row>
    <row r="154" spans="1:10">
      <c r="A154">
        <f>RFI_Elements!B156</f>
        <v>2</v>
      </c>
      <c r="B154">
        <f>RFI_Elements!C156</f>
        <v>478</v>
      </c>
      <c r="C154">
        <v>1</v>
      </c>
      <c r="D154">
        <v>155</v>
      </c>
      <c r="E154" s="60">
        <v>43101</v>
      </c>
      <c r="F154">
        <f>VLOOKUP(VLOOKUP(B154,SuiteCatSubElem!$G$2:$H$666,2,0),'SA Q1 18 VR'!$A$33:$O$193,1+MATCH(VLOOKUP(A154,Vendors!$A$2:$B$15,2,0),'SA Q1 18 VR'!$B$24:$O$24,0),0)</f>
        <v>3</v>
      </c>
      <c r="G154" t="s">
        <v>50</v>
      </c>
      <c r="H154">
        <f>RFI_Elements!N156</f>
        <v>155</v>
      </c>
      <c r="J154" t="str">
        <f>VLOOKUP(B154,SuiteCatSubElem!$G$2:$H$666,2,0)</f>
        <v>Open Standards</v>
      </c>
    </row>
    <row r="155" spans="1:10">
      <c r="A155">
        <f>RFI_Elements!B157</f>
        <v>2</v>
      </c>
      <c r="B155">
        <f>RFI_Elements!C157</f>
        <v>479</v>
      </c>
      <c r="C155">
        <v>1</v>
      </c>
      <c r="D155">
        <v>156</v>
      </c>
      <c r="E155" s="60">
        <v>43101</v>
      </c>
      <c r="F155">
        <f>VLOOKUP(VLOOKUP(B155,SuiteCatSubElem!$G$2:$H$666,2,0),'SA Q1 18 VR'!$A$33:$O$193,1+MATCH(VLOOKUP(A155,Vendors!$A$2:$B$15,2,0),'SA Q1 18 VR'!$B$24:$O$24,0),0)</f>
        <v>4</v>
      </c>
      <c r="G155" t="s">
        <v>50</v>
      </c>
      <c r="H155">
        <f>RFI_Elements!N157</f>
        <v>156</v>
      </c>
      <c r="J155" t="str">
        <f>VLOOKUP(B155,SuiteCatSubElem!$G$2:$H$666,2,0)</f>
        <v>Integrations</v>
      </c>
    </row>
    <row r="156" spans="1:10">
      <c r="A156">
        <f>RFI_Elements!B158</f>
        <v>2</v>
      </c>
      <c r="B156">
        <f>RFI_Elements!C158</f>
        <v>480</v>
      </c>
      <c r="C156">
        <v>1</v>
      </c>
      <c r="D156">
        <v>157</v>
      </c>
      <c r="E156" s="60">
        <v>43101</v>
      </c>
      <c r="F156">
        <f>VLOOKUP(VLOOKUP(B156,SuiteCatSubElem!$G$2:$H$666,2,0),'SA Q1 18 VR'!$A$33:$O$193,1+MATCH(VLOOKUP(A156,Vendors!$A$2:$B$15,2,0),'SA Q1 18 VR'!$B$24:$O$24,0),0)</f>
        <v>3</v>
      </c>
      <c r="G156" t="s">
        <v>50</v>
      </c>
      <c r="H156">
        <f>RFI_Elements!N158</f>
        <v>157</v>
      </c>
      <c r="J156" t="str">
        <f>VLOOKUP(B156,SuiteCatSubElem!$G$2:$H$666,2,0)</f>
        <v>Fine-Grained Role/Data/Action Based Security</v>
      </c>
    </row>
    <row r="157" spans="1:10">
      <c r="A157">
        <f>RFI_Elements!B159</f>
        <v>2</v>
      </c>
      <c r="B157">
        <f>RFI_Elements!C159</f>
        <v>481</v>
      </c>
      <c r="C157">
        <v>1</v>
      </c>
      <c r="D157">
        <v>158</v>
      </c>
      <c r="E157" s="60">
        <v>43101</v>
      </c>
      <c r="F157">
        <f>VLOOKUP(VLOOKUP(B157,SuiteCatSubElem!$G$2:$H$666,2,0),'SA Q1 18 VR'!$A$33:$O$193,1+MATCH(VLOOKUP(A157,Vendors!$A$2:$B$15,2,0),'SA Q1 18 VR'!$B$24:$O$24,0),0)</f>
        <v>2</v>
      </c>
      <c r="G157" t="s">
        <v>50</v>
      </c>
      <c r="H157">
        <f>RFI_Elements!N159</f>
        <v>158</v>
      </c>
      <c r="J157" t="str">
        <f>VLOOKUP(B157,SuiteCatSubElem!$G$2:$H$666,2,0)</f>
        <v>Company/Function/Group Configuration</v>
      </c>
    </row>
    <row r="158" spans="1:10">
      <c r="A158">
        <f>RFI_Elements!B160</f>
        <v>2</v>
      </c>
      <c r="B158">
        <f>RFI_Elements!C160</f>
        <v>482</v>
      </c>
      <c r="C158">
        <v>1</v>
      </c>
      <c r="D158">
        <v>159</v>
      </c>
      <c r="E158" s="60">
        <v>43101</v>
      </c>
      <c r="F158">
        <f>VLOOKUP(VLOOKUP(B158,SuiteCatSubElem!$G$2:$H$666,2,0),'SA Q1 18 VR'!$A$33:$O$193,1+MATCH(VLOOKUP(A158,Vendors!$A$2:$B$15,2,0),'SA Q1 18 VR'!$B$24:$O$24,0),0)</f>
        <v>2</v>
      </c>
      <c r="G158" t="s">
        <v>50</v>
      </c>
      <c r="H158">
        <f>RFI_Elements!N160</f>
        <v>159</v>
      </c>
      <c r="J158" t="str">
        <f>VLOOKUP(B158,SuiteCatSubElem!$G$2:$H$666,2,0)</f>
        <v>Private vs. Public Workspaces</v>
      </c>
    </row>
    <row r="159" spans="1:10">
      <c r="A159">
        <f>RFI_Elements!B161</f>
        <v>2</v>
      </c>
      <c r="B159">
        <f>RFI_Elements!C161</f>
        <v>483</v>
      </c>
      <c r="C159">
        <v>1</v>
      </c>
      <c r="D159">
        <v>160</v>
      </c>
      <c r="E159" s="60">
        <v>43101</v>
      </c>
      <c r="F159">
        <f>VLOOKUP(VLOOKUP(B159,SuiteCatSubElem!$G$2:$H$666,2,0),'SA Q1 18 VR'!$A$33:$O$193,1+MATCH(VLOOKUP(A159,Vendors!$A$2:$B$15,2,0),'SA Q1 18 VR'!$B$24:$O$24,0),0)</f>
        <v>3</v>
      </c>
      <c r="G159" t="s">
        <v>50</v>
      </c>
      <c r="H159">
        <f>RFI_Elements!N161</f>
        <v>160</v>
      </c>
      <c r="J159" t="str">
        <f>VLOOKUP(B159,SuiteCatSubElem!$G$2:$H$666,2,0)</f>
        <v>Built in vs. External Visualization</v>
      </c>
    </row>
    <row r="160" spans="1:10">
      <c r="A160">
        <f>RFI_Elements!B162</f>
        <v>2</v>
      </c>
      <c r="B160">
        <f>RFI_Elements!C162</f>
        <v>484</v>
      </c>
      <c r="C160">
        <v>1</v>
      </c>
      <c r="D160">
        <v>161</v>
      </c>
      <c r="E160" s="60">
        <v>43101</v>
      </c>
      <c r="F160">
        <f>VLOOKUP(VLOOKUP(B160,SuiteCatSubElem!$G$2:$H$666,2,0),'SA Q1 18 VR'!$A$33:$O$193,1+MATCH(VLOOKUP(A160,Vendors!$A$2:$B$15,2,0),'SA Q1 18 VR'!$B$24:$O$24,0),0)</f>
        <v>1</v>
      </c>
      <c r="G160" t="s">
        <v>50</v>
      </c>
      <c r="H160">
        <f>RFI_Elements!N162</f>
        <v>161</v>
      </c>
      <c r="J160" t="str">
        <f>VLOOKUP(B160,SuiteCatSubElem!$G$2:$H$666,2,0)</f>
        <v>Business Rules / Workflow</v>
      </c>
    </row>
    <row r="161" spans="1:10">
      <c r="A161">
        <f>RFI_Elements!B163</f>
        <v>2</v>
      </c>
      <c r="B161">
        <f>RFI_Elements!C163</f>
        <v>485</v>
      </c>
      <c r="C161">
        <v>1</v>
      </c>
      <c r="D161">
        <v>162</v>
      </c>
      <c r="E161" s="60">
        <v>43101</v>
      </c>
      <c r="F161">
        <f>VLOOKUP(VLOOKUP(B161,SuiteCatSubElem!$G$2:$H$666,2,0),'SA Q1 18 VR'!$A$33:$O$193,1+MATCH(VLOOKUP(A161,Vendors!$A$2:$B$15,2,0),'SA Q1 18 VR'!$B$24:$O$24,0),0)</f>
        <v>3</v>
      </c>
      <c r="G161" t="s">
        <v>50</v>
      </c>
      <c r="H161">
        <f>RFI_Elements!N163</f>
        <v>162</v>
      </c>
      <c r="J161" t="str">
        <f>VLOOKUP(B161,SuiteCatSubElem!$G$2:$H$666,2,0)</f>
        <v>Globalization</v>
      </c>
    </row>
    <row r="162" spans="1:10">
      <c r="A162">
        <f>RFI_Elements!B164</f>
        <v>2</v>
      </c>
      <c r="B162">
        <f>RFI_Elements!C164</f>
        <v>486</v>
      </c>
      <c r="C162">
        <v>1</v>
      </c>
      <c r="D162">
        <v>163</v>
      </c>
      <c r="E162" s="60">
        <v>43101</v>
      </c>
      <c r="F162">
        <f>VLOOKUP(VLOOKUP(B162,SuiteCatSubElem!$G$2:$H$666,2,0),'SA Q1 18 VR'!$A$33:$O$193,1+MATCH(VLOOKUP(A162,Vendors!$A$2:$B$15,2,0),'SA Q1 18 VR'!$B$24:$O$24,0),0)</f>
        <v>3</v>
      </c>
      <c r="G162" t="s">
        <v>50</v>
      </c>
      <c r="H162">
        <f>RFI_Elements!N164</f>
        <v>163</v>
      </c>
      <c r="J162" t="str">
        <f>VLOOKUP(B162,SuiteCatSubElem!$G$2:$H$666,2,0)</f>
        <v>Multi-Currency</v>
      </c>
    </row>
    <row r="163" spans="1:10">
      <c r="A163">
        <f>RFI_Elements!B165</f>
        <v>2</v>
      </c>
      <c r="B163">
        <f>RFI_Elements!C165</f>
        <v>487</v>
      </c>
      <c r="C163">
        <v>1</v>
      </c>
      <c r="D163">
        <v>164</v>
      </c>
      <c r="E163" s="60">
        <v>43101</v>
      </c>
      <c r="F163">
        <f>VLOOKUP(VLOOKUP(B163,SuiteCatSubElem!$G$2:$H$666,2,0),'SA Q1 18 VR'!$A$33:$O$193,1+MATCH(VLOOKUP(A163,Vendors!$A$2:$B$15,2,0),'SA Q1 18 VR'!$B$24:$O$24,0),0)</f>
        <v>3</v>
      </c>
      <c r="G163" t="s">
        <v>50</v>
      </c>
      <c r="H163">
        <f>RFI_Elements!N165</f>
        <v>164</v>
      </c>
      <c r="J163" t="str">
        <f>VLOOKUP(B163,SuiteCatSubElem!$G$2:$H$666,2,0)</f>
        <v>Multi-Lingual</v>
      </c>
    </row>
    <row r="164" spans="1:10">
      <c r="A164">
        <f>RFI_Elements!B166</f>
        <v>2</v>
      </c>
      <c r="B164">
        <f>RFI_Elements!C166</f>
        <v>488</v>
      </c>
      <c r="C164">
        <v>1</v>
      </c>
      <c r="D164">
        <v>165</v>
      </c>
      <c r="E164" s="60">
        <v>43101</v>
      </c>
      <c r="F164">
        <f>VLOOKUP(VLOOKUP(B164,SuiteCatSubElem!$G$2:$H$666,2,0),'SA Q1 18 VR'!$A$33:$O$193,1+MATCH(VLOOKUP(A164,Vendors!$A$2:$B$15,2,0),'SA Q1 18 VR'!$B$24:$O$24,0),0)</f>
        <v>3</v>
      </c>
      <c r="G164" t="s">
        <v>50</v>
      </c>
      <c r="H164">
        <f>RFI_Elements!N166</f>
        <v>165</v>
      </c>
      <c r="J164" t="str">
        <f>VLOOKUP(B164,SuiteCatSubElem!$G$2:$H$666,2,0)</f>
        <v>Implementation / Integration / Maintenance Services</v>
      </c>
    </row>
    <row r="165" spans="1:10">
      <c r="A165">
        <f>RFI_Elements!B167</f>
        <v>2</v>
      </c>
      <c r="B165">
        <f>RFI_Elements!C167</f>
        <v>489</v>
      </c>
      <c r="C165">
        <v>1</v>
      </c>
      <c r="D165">
        <v>166</v>
      </c>
      <c r="E165" s="60">
        <v>43101</v>
      </c>
      <c r="F165">
        <f>VLOOKUP(VLOOKUP(B165,SuiteCatSubElem!$G$2:$H$666,2,0),'SA Q1 18 VR'!$A$33:$O$193,1+MATCH(VLOOKUP(A165,Vendors!$A$2:$B$15,2,0),'SA Q1 18 VR'!$B$24:$O$24,0),0)</f>
        <v>3</v>
      </c>
      <c r="G165" t="s">
        <v>50</v>
      </c>
      <c r="H165">
        <f>RFI_Elements!N167</f>
        <v>166</v>
      </c>
      <c r="J165" t="str">
        <f>VLOOKUP(B165,SuiteCatSubElem!$G$2:$H$666,2,0)</f>
        <v>ETL / Cleansing / Classification / Categorization</v>
      </c>
    </row>
    <row r="166" spans="1:10">
      <c r="A166">
        <f>RFI_Elements!B168</f>
        <v>2</v>
      </c>
      <c r="B166">
        <f>RFI_Elements!C168</f>
        <v>490</v>
      </c>
      <c r="C166">
        <v>1</v>
      </c>
      <c r="D166">
        <v>167</v>
      </c>
      <c r="E166" s="60">
        <v>43101</v>
      </c>
      <c r="F166">
        <f>VLOOKUP(VLOOKUP(B166,SuiteCatSubElem!$G$2:$H$666,2,0),'SA Q1 18 VR'!$A$33:$O$193,1+MATCH(VLOOKUP(A166,Vendors!$A$2:$B$15,2,0),'SA Q1 18 VR'!$B$24:$O$24,0),0)</f>
        <v>3</v>
      </c>
      <c r="G166" t="s">
        <v>50</v>
      </c>
      <c r="H166">
        <f>RFI_Elements!N168</f>
        <v>167</v>
      </c>
      <c r="J166" t="str">
        <f>VLOOKUP(B166,SuiteCatSubElem!$G$2:$H$666,2,0)</f>
        <v>Data Management Services</v>
      </c>
    </row>
    <row r="167" spans="1:10">
      <c r="A167">
        <f>RFI_Elements!B169</f>
        <v>2</v>
      </c>
      <c r="B167">
        <f>RFI_Elements!C169</f>
        <v>491</v>
      </c>
      <c r="C167">
        <v>1</v>
      </c>
      <c r="D167">
        <v>168</v>
      </c>
      <c r="E167" s="60">
        <v>43101</v>
      </c>
      <c r="F167">
        <f>VLOOKUP(VLOOKUP(B167,SuiteCatSubElem!$G$2:$H$666,2,0),'SA Q1 18 VR'!$A$33:$O$193,1+MATCH(VLOOKUP(A167,Vendors!$A$2:$B$15,2,0),'SA Q1 18 VR'!$B$24:$O$24,0),0)</f>
        <v>1</v>
      </c>
      <c r="G167" t="s">
        <v>50</v>
      </c>
      <c r="H167">
        <f>RFI_Elements!N169</f>
        <v>168</v>
      </c>
      <c r="J167" t="str">
        <f>VLOOKUP(B167,SuiteCatSubElem!$G$2:$H$666,2,0)</f>
        <v>Analytics / Data Science</v>
      </c>
    </row>
    <row r="168" spans="1:10">
      <c r="A168">
        <f>RFI_Elements!B170</f>
        <v>2</v>
      </c>
      <c r="B168">
        <f>RFI_Elements!C170</f>
        <v>492</v>
      </c>
      <c r="C168">
        <v>1</v>
      </c>
      <c r="D168">
        <v>169</v>
      </c>
      <c r="E168" s="60">
        <v>43101</v>
      </c>
      <c r="F168">
        <f>VLOOKUP(VLOOKUP(B168,SuiteCatSubElem!$G$2:$H$666,2,0),'SA Q1 18 VR'!$A$33:$O$193,1+MATCH(VLOOKUP(A168,Vendors!$A$2:$B$15,2,0),'SA Q1 18 VR'!$B$24:$O$24,0),0)</f>
        <v>1</v>
      </c>
      <c r="G168" t="s">
        <v>50</v>
      </c>
      <c r="H168">
        <f>RFI_Elements!N170</f>
        <v>169</v>
      </c>
      <c r="J168" t="str">
        <f>VLOOKUP(B168,SuiteCatSubElem!$G$2:$H$666,2,0)</f>
        <v>Category / Project Management</v>
      </c>
    </row>
    <row r="169" spans="1:10">
      <c r="A169">
        <f>RFI_Elements!B171</f>
        <v>2</v>
      </c>
      <c r="B169">
        <f>RFI_Elements!C171</f>
        <v>493</v>
      </c>
      <c r="C169">
        <v>1</v>
      </c>
      <c r="D169">
        <v>170</v>
      </c>
      <c r="E169" s="60">
        <v>43101</v>
      </c>
      <c r="F169">
        <f>VLOOKUP(VLOOKUP(B169,SuiteCatSubElem!$G$2:$H$666,2,0),'SA Q1 18 VR'!$A$33:$O$193,1+MATCH(VLOOKUP(A169,Vendors!$A$2:$B$15,2,0),'SA Q1 18 VR'!$B$24:$O$24,0),0)</f>
        <v>2</v>
      </c>
      <c r="G169" t="s">
        <v>50</v>
      </c>
      <c r="H169">
        <f>RFI_Elements!N171</f>
        <v>170</v>
      </c>
      <c r="J169" t="str">
        <f>VLOOKUP(B169,SuiteCatSubElem!$G$2:$H$666,2,0)</f>
        <v>Consulting / Change Management</v>
      </c>
    </row>
    <row r="170" spans="1:10">
      <c r="A170">
        <f>RFI_Elements!B172</f>
        <v>3</v>
      </c>
      <c r="B170">
        <f>RFI_Elements!C172</f>
        <v>409</v>
      </c>
      <c r="C170">
        <v>1</v>
      </c>
      <c r="D170">
        <v>171</v>
      </c>
      <c r="E170" s="60">
        <v>43101</v>
      </c>
      <c r="F170">
        <f>VLOOKUP(VLOOKUP(B170,SuiteCatSubElem!$G$2:$H$666,2,0),'SA Q1 18 VR'!$A$33:$O$193,1+MATCH(VLOOKUP(A170,Vendors!$A$2:$B$15,2,0),'SA Q1 18 VR'!$B$24:$O$24,0),0)</f>
        <v>4</v>
      </c>
      <c r="G170" t="s">
        <v>50</v>
      </c>
      <c r="H170">
        <f>RFI_Elements!N172</f>
        <v>171</v>
      </c>
      <c r="J170" t="str">
        <f>VLOOKUP(B170,SuiteCatSubElem!$G$2:$H$666,2,0)</f>
        <v>Schema Support (general)</v>
      </c>
    </row>
    <row r="171" spans="1:10">
      <c r="A171">
        <f>RFI_Elements!B173</f>
        <v>3</v>
      </c>
      <c r="B171">
        <f>RFI_Elements!C173</f>
        <v>410</v>
      </c>
      <c r="C171">
        <v>1</v>
      </c>
      <c r="D171">
        <v>172</v>
      </c>
      <c r="E171" s="60">
        <v>43101</v>
      </c>
      <c r="F171">
        <f>VLOOKUP(VLOOKUP(B171,SuiteCatSubElem!$G$2:$H$666,2,0),'SA Q1 18 VR'!$A$33:$O$193,1+MATCH(VLOOKUP(A171,Vendors!$A$2:$B$15,2,0),'SA Q1 18 VR'!$B$24:$O$24,0),0)</f>
        <v>3</v>
      </c>
      <c r="G171" t="s">
        <v>50</v>
      </c>
      <c r="H171">
        <f>RFI_Elements!N173</f>
        <v>172</v>
      </c>
      <c r="J171" t="str">
        <f>VLOOKUP(B171,SuiteCatSubElem!$G$2:$H$666,2,0)</f>
        <v>Schema Support (out-of-the-box)</v>
      </c>
    </row>
    <row r="172" spans="1:10">
      <c r="A172">
        <f>RFI_Elements!B174</f>
        <v>3</v>
      </c>
      <c r="B172">
        <f>RFI_Elements!C174</f>
        <v>411</v>
      </c>
      <c r="C172">
        <v>1</v>
      </c>
      <c r="D172">
        <v>173</v>
      </c>
      <c r="E172" s="60">
        <v>43101</v>
      </c>
      <c r="F172">
        <f>VLOOKUP(VLOOKUP(B172,SuiteCatSubElem!$G$2:$H$666,2,0),'SA Q1 18 VR'!$A$33:$O$193,1+MATCH(VLOOKUP(A172,Vendors!$A$2:$B$15,2,0),'SA Q1 18 VR'!$B$24:$O$24,0),0)</f>
        <v>3</v>
      </c>
      <c r="G172" t="s">
        <v>50</v>
      </c>
      <c r="H172">
        <f>RFI_Elements!N174</f>
        <v>173</v>
      </c>
      <c r="J172" t="str">
        <f>VLOOKUP(B172,SuiteCatSubElem!$G$2:$H$666,2,0)</f>
        <v>Schema Support (custom)</v>
      </c>
    </row>
    <row r="173" spans="1:10">
      <c r="A173">
        <f>RFI_Elements!B175</f>
        <v>3</v>
      </c>
      <c r="B173">
        <f>RFI_Elements!C175</f>
        <v>412</v>
      </c>
      <c r="C173">
        <v>1</v>
      </c>
      <c r="D173">
        <v>174</v>
      </c>
      <c r="E173" s="60">
        <v>43101</v>
      </c>
      <c r="F173">
        <f>VLOOKUP(VLOOKUP(B173,SuiteCatSubElem!$G$2:$H$666,2,0),'SA Q1 18 VR'!$A$33:$O$193,1+MATCH(VLOOKUP(A173,Vendors!$A$2:$B$15,2,0),'SA Q1 18 VR'!$B$24:$O$24,0),0)</f>
        <v>3</v>
      </c>
      <c r="G173" t="s">
        <v>50</v>
      </c>
      <c r="H173">
        <f>RFI_Elements!N175</f>
        <v>174</v>
      </c>
      <c r="J173" t="str">
        <f>VLOOKUP(B173,SuiteCatSubElem!$G$2:$H$666,2,0)</f>
        <v>Schema Support (multi)</v>
      </c>
    </row>
    <row r="174" spans="1:10">
      <c r="A174">
        <f>RFI_Elements!B176</f>
        <v>3</v>
      </c>
      <c r="B174">
        <f>RFI_Elements!C176</f>
        <v>413</v>
      </c>
      <c r="C174">
        <v>1</v>
      </c>
      <c r="D174">
        <v>175</v>
      </c>
      <c r="E174" s="60">
        <v>43101</v>
      </c>
      <c r="F174">
        <f>VLOOKUP(VLOOKUP(B174,SuiteCatSubElem!$G$2:$H$666,2,0),'SA Q1 18 VR'!$A$33:$O$193,1+MATCH(VLOOKUP(A174,Vendors!$A$2:$B$15,2,0),'SA Q1 18 VR'!$B$24:$O$24,0),0)</f>
        <v>3</v>
      </c>
      <c r="G174" t="s">
        <v>50</v>
      </c>
      <c r="H174">
        <f>RFI_Elements!N176</f>
        <v>175</v>
      </c>
      <c r="J174" t="str">
        <f>VLOOKUP(B174,SuiteCatSubElem!$G$2:$H$666,2,0)</f>
        <v>Cube Capability</v>
      </c>
    </row>
    <row r="175" spans="1:10">
      <c r="A175">
        <f>RFI_Elements!B177</f>
        <v>3</v>
      </c>
      <c r="B175">
        <f>RFI_Elements!C177</f>
        <v>414</v>
      </c>
      <c r="C175">
        <v>1</v>
      </c>
      <c r="D175">
        <v>176</v>
      </c>
      <c r="E175" s="60">
        <v>43101</v>
      </c>
      <c r="F175">
        <f>VLOOKUP(VLOOKUP(B175,SuiteCatSubElem!$G$2:$H$666,2,0),'SA Q1 18 VR'!$A$33:$O$193,1+MATCH(VLOOKUP(A175,Vendors!$A$2:$B$15,2,0),'SA Q1 18 VR'!$B$24:$O$24,0),0)</f>
        <v>3</v>
      </c>
      <c r="G175" t="s">
        <v>50</v>
      </c>
      <c r="H175">
        <f>RFI_Elements!N177</f>
        <v>176</v>
      </c>
      <c r="J175" t="str">
        <f>VLOOKUP(B175,SuiteCatSubElem!$G$2:$H$666,2,0)</f>
        <v>Familying/Normalization</v>
      </c>
    </row>
    <row r="176" spans="1:10">
      <c r="A176">
        <f>RFI_Elements!B178</f>
        <v>3</v>
      </c>
      <c r="B176">
        <f>RFI_Elements!C178</f>
        <v>415</v>
      </c>
      <c r="C176">
        <v>1</v>
      </c>
      <c r="D176">
        <v>177</v>
      </c>
      <c r="E176" s="60">
        <v>43101</v>
      </c>
      <c r="F176">
        <f>VLOOKUP(VLOOKUP(B176,SuiteCatSubElem!$G$2:$H$666,2,0),'SA Q1 18 VR'!$A$33:$O$193,1+MATCH(VLOOKUP(A176,Vendors!$A$2:$B$15,2,0),'SA Q1 18 VR'!$B$24:$O$24,0),0)</f>
        <v>3</v>
      </c>
      <c r="G176" t="s">
        <v>50</v>
      </c>
      <c r="H176">
        <f>RFI_Elements!N178</f>
        <v>177</v>
      </c>
      <c r="J176" t="str">
        <f>VLOOKUP(B176,SuiteCatSubElem!$G$2:$H$666,2,0)</f>
        <v>Formula Support</v>
      </c>
    </row>
    <row r="177" spans="1:10">
      <c r="A177">
        <f>RFI_Elements!B179</f>
        <v>3</v>
      </c>
      <c r="B177">
        <f>RFI_Elements!C179</f>
        <v>416</v>
      </c>
      <c r="C177">
        <v>1</v>
      </c>
      <c r="D177">
        <v>178</v>
      </c>
      <c r="E177" s="60">
        <v>43101</v>
      </c>
      <c r="F177">
        <f>VLOOKUP(VLOOKUP(B177,SuiteCatSubElem!$G$2:$H$666,2,0),'SA Q1 18 VR'!$A$33:$O$193,1+MATCH(VLOOKUP(A177,Vendors!$A$2:$B$15,2,0),'SA Q1 18 VR'!$B$24:$O$24,0),0)</f>
        <v>3</v>
      </c>
      <c r="G177" t="s">
        <v>50</v>
      </c>
      <c r="H177">
        <f>RFI_Elements!N179</f>
        <v>178</v>
      </c>
      <c r="J177" t="str">
        <f>VLOOKUP(B177,SuiteCatSubElem!$G$2:$H$666,2,0)</f>
        <v>Rule/Knowledge Model Editor</v>
      </c>
    </row>
    <row r="178" spans="1:10">
      <c r="A178">
        <f>RFI_Elements!B180</f>
        <v>3</v>
      </c>
      <c r="B178">
        <f>RFI_Elements!C180</f>
        <v>417</v>
      </c>
      <c r="C178">
        <v>1</v>
      </c>
      <c r="D178">
        <v>179</v>
      </c>
      <c r="E178" s="60">
        <v>43101</v>
      </c>
      <c r="F178">
        <f>VLOOKUP(VLOOKUP(B178,SuiteCatSubElem!$G$2:$H$666,2,0),'SA Q1 18 VR'!$A$33:$O$193,1+MATCH(VLOOKUP(A178,Vendors!$A$2:$B$15,2,0),'SA Q1 18 VR'!$B$24:$O$24,0),0)</f>
        <v>4</v>
      </c>
      <c r="G178" t="s">
        <v>50</v>
      </c>
      <c r="H178">
        <f>RFI_Elements!N180</f>
        <v>179</v>
      </c>
      <c r="J178" t="str">
        <f>VLOOKUP(B178,SuiteCatSubElem!$G$2:$H$666,2,0)</f>
        <v>ETL (Extract / Transform / Load)</v>
      </c>
    </row>
    <row r="179" spans="1:10">
      <c r="A179">
        <f>RFI_Elements!B181</f>
        <v>3</v>
      </c>
      <c r="B179">
        <f>RFI_Elements!C181</f>
        <v>418</v>
      </c>
      <c r="C179">
        <v>1</v>
      </c>
      <c r="D179">
        <v>180</v>
      </c>
      <c r="E179" s="60">
        <v>43101</v>
      </c>
      <c r="F179">
        <f>VLOOKUP(VLOOKUP(B179,SuiteCatSubElem!$G$2:$H$666,2,0),'SA Q1 18 VR'!$A$33:$O$193,1+MATCH(VLOOKUP(A179,Vendors!$A$2:$B$15,2,0),'SA Q1 18 VR'!$B$24:$O$24,0),0)</f>
        <v>3</v>
      </c>
      <c r="G179" t="s">
        <v>50</v>
      </c>
      <c r="H179">
        <f>RFI_Elements!N181</f>
        <v>180</v>
      </c>
      <c r="J179" t="str">
        <f>VLOOKUP(B179,SuiteCatSubElem!$G$2:$H$666,2,0)</f>
        <v>Out of the box ERP integrations</v>
      </c>
    </row>
    <row r="180" spans="1:10">
      <c r="A180">
        <f>RFI_Elements!B182</f>
        <v>3</v>
      </c>
      <c r="B180">
        <f>RFI_Elements!C182</f>
        <v>419</v>
      </c>
      <c r="C180">
        <v>1</v>
      </c>
      <c r="D180">
        <v>181</v>
      </c>
      <c r="E180" s="60">
        <v>43101</v>
      </c>
      <c r="F180">
        <f>VLOOKUP(VLOOKUP(B180,SuiteCatSubElem!$G$2:$H$666,2,0),'SA Q1 18 VR'!$A$33:$O$193,1+MATCH(VLOOKUP(A180,Vendors!$A$2:$B$15,2,0),'SA Q1 18 VR'!$B$24:$O$24,0),0)</f>
        <v>3</v>
      </c>
      <c r="G180" t="s">
        <v>50</v>
      </c>
      <c r="H180">
        <f>RFI_Elements!N182</f>
        <v>181</v>
      </c>
      <c r="J180" t="str">
        <f>VLOOKUP(B180,SuiteCatSubElem!$G$2:$H$666,2,0)</f>
        <v>Source-to-Pay Integrations (out-of-the-box )</v>
      </c>
    </row>
    <row r="181" spans="1:10">
      <c r="A181">
        <f>RFI_Elements!B183</f>
        <v>3</v>
      </c>
      <c r="B181">
        <f>RFI_Elements!C183</f>
        <v>420</v>
      </c>
      <c r="C181">
        <v>1</v>
      </c>
      <c r="D181">
        <v>182</v>
      </c>
      <c r="E181" s="60">
        <v>43101</v>
      </c>
      <c r="F181">
        <f>VLOOKUP(VLOOKUP(B181,SuiteCatSubElem!$G$2:$H$666,2,0),'SA Q1 18 VR'!$A$33:$O$193,1+MATCH(VLOOKUP(A181,Vendors!$A$2:$B$15,2,0),'SA Q1 18 VR'!$B$24:$O$24,0),0)</f>
        <v>3</v>
      </c>
      <c r="G181" t="s">
        <v>50</v>
      </c>
      <c r="H181">
        <f>RFI_Elements!N183</f>
        <v>182</v>
      </c>
      <c r="J181" t="str">
        <f>VLOOKUP(B181,SuiteCatSubElem!$G$2:$H$666,2,0)</f>
        <v>Rules Set</v>
      </c>
    </row>
    <row r="182" spans="1:10">
      <c r="A182">
        <f>RFI_Elements!B184</f>
        <v>3</v>
      </c>
      <c r="B182">
        <f>RFI_Elements!C184</f>
        <v>421</v>
      </c>
      <c r="C182">
        <v>1</v>
      </c>
      <c r="D182">
        <v>183</v>
      </c>
      <c r="E182" s="60">
        <v>43101</v>
      </c>
      <c r="F182">
        <f>VLOOKUP(VLOOKUP(B182,SuiteCatSubElem!$G$2:$H$666,2,0),'SA Q1 18 VR'!$A$33:$O$193,1+MATCH(VLOOKUP(A182,Vendors!$A$2:$B$15,2,0),'SA Q1 18 VR'!$B$24:$O$24,0),0)</f>
        <v>3</v>
      </c>
      <c r="G182" t="s">
        <v>50</v>
      </c>
      <c r="H182">
        <f>RFI_Elements!N184</f>
        <v>183</v>
      </c>
      <c r="J182" t="str">
        <f>VLOOKUP(B182,SuiteCatSubElem!$G$2:$H$666,2,0)</f>
        <v>Rule Groups (including reg-ex / formula support)</v>
      </c>
    </row>
    <row r="183" spans="1:10">
      <c r="A183">
        <f>RFI_Elements!B185</f>
        <v>3</v>
      </c>
      <c r="B183">
        <f>RFI_Elements!C185</f>
        <v>422</v>
      </c>
      <c r="C183">
        <v>1</v>
      </c>
      <c r="D183">
        <v>184</v>
      </c>
      <c r="E183" s="60">
        <v>43101</v>
      </c>
      <c r="F183">
        <f>VLOOKUP(VLOOKUP(B183,SuiteCatSubElem!$G$2:$H$666,2,0),'SA Q1 18 VR'!$A$33:$O$193,1+MATCH(VLOOKUP(A183,Vendors!$A$2:$B$15,2,0),'SA Q1 18 VR'!$B$24:$O$24,0),0)</f>
        <v>3</v>
      </c>
      <c r="G183" t="s">
        <v>50</v>
      </c>
      <c r="H183">
        <f>RFI_Elements!N185</f>
        <v>184</v>
      </c>
      <c r="J183" t="str">
        <f>VLOOKUP(B183,SuiteCatSubElem!$G$2:$H$666,2,0)</f>
        <v>Enrich</v>
      </c>
    </row>
    <row r="184" spans="1:10">
      <c r="A184">
        <f>RFI_Elements!B186</f>
        <v>3</v>
      </c>
      <c r="B184">
        <f>RFI_Elements!C186</f>
        <v>423</v>
      </c>
      <c r="C184">
        <v>1</v>
      </c>
      <c r="D184">
        <v>185</v>
      </c>
      <c r="E184" s="60">
        <v>43101</v>
      </c>
      <c r="F184">
        <f>VLOOKUP(VLOOKUP(B184,SuiteCatSubElem!$G$2:$H$666,2,0),'SA Q1 18 VR'!$A$33:$O$193,1+MATCH(VLOOKUP(A184,Vendors!$A$2:$B$15,2,0),'SA Q1 18 VR'!$B$24:$O$24,0),0)</f>
        <v>3</v>
      </c>
      <c r="G184" t="s">
        <v>50</v>
      </c>
      <c r="H184">
        <f>RFI_Elements!N186</f>
        <v>185</v>
      </c>
      <c r="J184" t="str">
        <f>VLOOKUP(B184,SuiteCatSubElem!$G$2:$H$666,2,0)</f>
        <v>3rd Party Data Feed Integrations (out-of-the-box)</v>
      </c>
    </row>
    <row r="185" spans="1:10">
      <c r="A185">
        <f>RFI_Elements!B187</f>
        <v>3</v>
      </c>
      <c r="B185">
        <f>RFI_Elements!C187</f>
        <v>424</v>
      </c>
      <c r="C185">
        <v>1</v>
      </c>
      <c r="D185">
        <v>186</v>
      </c>
      <c r="E185" s="60">
        <v>43101</v>
      </c>
      <c r="F185">
        <f>VLOOKUP(VLOOKUP(B185,SuiteCatSubElem!$G$2:$H$666,2,0),'SA Q1 18 VR'!$A$33:$O$193,1+MATCH(VLOOKUP(A185,Vendors!$A$2:$B$15,2,0),'SA Q1 18 VR'!$B$24:$O$24,0),0)</f>
        <v>4</v>
      </c>
      <c r="G185" t="s">
        <v>50</v>
      </c>
      <c r="H185">
        <f>RFI_Elements!N187</f>
        <v>186</v>
      </c>
      <c r="J185" t="str">
        <f>VLOOKUP(B185,SuiteCatSubElem!$G$2:$H$666,2,0)</f>
        <v>Multi-Source Cross-Joins</v>
      </c>
    </row>
    <row r="186" spans="1:10">
      <c r="A186">
        <f>RFI_Elements!B188</f>
        <v>3</v>
      </c>
      <c r="B186">
        <f>RFI_Elements!C188</f>
        <v>425</v>
      </c>
      <c r="C186">
        <v>1</v>
      </c>
      <c r="D186">
        <v>187</v>
      </c>
      <c r="E186" s="60">
        <v>43101</v>
      </c>
      <c r="F186">
        <f>VLOOKUP(VLOOKUP(B186,SuiteCatSubElem!$G$2:$H$666,2,0),'SA Q1 18 VR'!$A$33:$O$193,1+MATCH(VLOOKUP(A186,Vendors!$A$2:$B$15,2,0),'SA Q1 18 VR'!$B$24:$O$24,0),0)</f>
        <v>3</v>
      </c>
      <c r="G186" t="s">
        <v>50</v>
      </c>
      <c r="H186">
        <f>RFI_Elements!N188</f>
        <v>187</v>
      </c>
      <c r="J186" t="str">
        <f>VLOOKUP(B186,SuiteCatSubElem!$G$2:$H$666,2,0)</f>
        <v>Classification / Categorization</v>
      </c>
    </row>
    <row r="187" spans="1:10">
      <c r="A187">
        <f>RFI_Elements!B189</f>
        <v>3</v>
      </c>
      <c r="B187">
        <f>RFI_Elements!C189</f>
        <v>426</v>
      </c>
      <c r="C187">
        <v>1</v>
      </c>
      <c r="D187">
        <v>188</v>
      </c>
      <c r="E187" s="60">
        <v>43101</v>
      </c>
      <c r="F187">
        <f>VLOOKUP(VLOOKUP(B187,SuiteCatSubElem!$G$2:$H$666,2,0),'SA Q1 18 VR'!$A$33:$O$193,1+MATCH(VLOOKUP(A187,Vendors!$A$2:$B$15,2,0),'SA Q1 18 VR'!$B$24:$O$24,0),0)</f>
        <v>2</v>
      </c>
      <c r="G187" t="s">
        <v>50</v>
      </c>
      <c r="H187">
        <f>RFI_Elements!N189</f>
        <v>188</v>
      </c>
      <c r="J187" t="str">
        <f>VLOOKUP(B187,SuiteCatSubElem!$G$2:$H$666,2,0)</f>
        <v>Manual Support</v>
      </c>
    </row>
    <row r="188" spans="1:10">
      <c r="A188">
        <f>RFI_Elements!B190</f>
        <v>3</v>
      </c>
      <c r="B188">
        <f>RFI_Elements!C190</f>
        <v>427</v>
      </c>
      <c r="C188">
        <v>1</v>
      </c>
      <c r="D188">
        <v>189</v>
      </c>
      <c r="E188" s="60">
        <v>43101</v>
      </c>
      <c r="F188">
        <f>VLOOKUP(VLOOKUP(B188,SuiteCatSubElem!$G$2:$H$666,2,0),'SA Q1 18 VR'!$A$33:$O$193,1+MATCH(VLOOKUP(A188,Vendors!$A$2:$B$15,2,0),'SA Q1 18 VR'!$B$24:$O$24,0),0)</f>
        <v>3</v>
      </c>
      <c r="G188" t="s">
        <v>50</v>
      </c>
      <c r="H188">
        <f>RFI_Elements!N190</f>
        <v>189</v>
      </c>
      <c r="J188" t="str">
        <f>VLOOKUP(B188,SuiteCatSubElem!$G$2:$H$666,2,0)</f>
        <v>Arbitrary Dimensions in Rules</v>
      </c>
    </row>
    <row r="189" spans="1:10">
      <c r="A189">
        <f>RFI_Elements!B191</f>
        <v>3</v>
      </c>
      <c r="B189">
        <f>RFI_Elements!C191</f>
        <v>428</v>
      </c>
      <c r="C189">
        <v>1</v>
      </c>
      <c r="D189">
        <v>190</v>
      </c>
      <c r="E189" s="60">
        <v>43101</v>
      </c>
      <c r="F189">
        <f>VLOOKUP(VLOOKUP(B189,SuiteCatSubElem!$G$2:$H$666,2,0),'SA Q1 18 VR'!$A$33:$O$193,1+MATCH(VLOOKUP(A189,Vendors!$A$2:$B$15,2,0),'SA Q1 18 VR'!$B$24:$O$24,0),0)</f>
        <v>2</v>
      </c>
      <c r="G189" t="s">
        <v>50</v>
      </c>
      <c r="H189">
        <f>RFI_Elements!N191</f>
        <v>190</v>
      </c>
      <c r="J189" t="str">
        <f>VLOOKUP(B189,SuiteCatSubElem!$G$2:$H$666,2,0)</f>
        <v>Collaboration</v>
      </c>
    </row>
    <row r="190" spans="1:10">
      <c r="A190">
        <f>RFI_Elements!B192</f>
        <v>3</v>
      </c>
      <c r="B190">
        <f>RFI_Elements!C192</f>
        <v>429</v>
      </c>
      <c r="C190">
        <v>1</v>
      </c>
      <c r="D190">
        <v>191</v>
      </c>
      <c r="E190" s="60">
        <v>43101</v>
      </c>
      <c r="F190">
        <f>VLOOKUP(VLOOKUP(B190,SuiteCatSubElem!$G$2:$H$666,2,0),'SA Q1 18 VR'!$A$33:$O$193,1+MATCH(VLOOKUP(A190,Vendors!$A$2:$B$15,2,0),'SA Q1 18 VR'!$B$24:$O$24,0),0)</f>
        <v>3</v>
      </c>
      <c r="G190" t="s">
        <v>50</v>
      </c>
      <c r="H190">
        <f>RFI_Elements!N192</f>
        <v>191</v>
      </c>
      <c r="J190" t="str">
        <f>VLOOKUP(B190,SuiteCatSubElem!$G$2:$H$666,2,0)</f>
        <v>Query Capability</v>
      </c>
    </row>
    <row r="191" spans="1:10">
      <c r="A191">
        <f>RFI_Elements!B193</f>
        <v>3</v>
      </c>
      <c r="B191">
        <f>RFI_Elements!C193</f>
        <v>430</v>
      </c>
      <c r="C191">
        <v>1</v>
      </c>
      <c r="D191">
        <v>192</v>
      </c>
      <c r="E191" s="60">
        <v>43101</v>
      </c>
      <c r="F191">
        <f>VLOOKUP(VLOOKUP(B191,SuiteCatSubElem!$G$2:$H$666,2,0),'SA Q1 18 VR'!$A$33:$O$193,1+MATCH(VLOOKUP(A191,Vendors!$A$2:$B$15,2,0),'SA Q1 18 VR'!$B$24:$O$24,0),0)</f>
        <v>3</v>
      </c>
      <c r="G191" t="s">
        <v>50</v>
      </c>
      <c r="H191">
        <f>RFI_Elements!N193</f>
        <v>192</v>
      </c>
      <c r="J191" t="str">
        <f>VLOOKUP(B191,SuiteCatSubElem!$G$2:$H$666,2,0)</f>
        <v>AI</v>
      </c>
    </row>
    <row r="192" spans="1:10">
      <c r="A192">
        <f>RFI_Elements!B194</f>
        <v>3</v>
      </c>
      <c r="B192">
        <f>RFI_Elements!C194</f>
        <v>431</v>
      </c>
      <c r="C192">
        <v>1</v>
      </c>
      <c r="D192">
        <v>193</v>
      </c>
      <c r="E192" s="60">
        <v>43101</v>
      </c>
      <c r="F192">
        <f>VLOOKUP(VLOOKUP(B192,SuiteCatSubElem!$G$2:$H$666,2,0),'SA Q1 18 VR'!$A$33:$O$193,1+MATCH(VLOOKUP(A192,Vendors!$A$2:$B$15,2,0),'SA Q1 18 VR'!$B$24:$O$24,0),0)</f>
        <v>2</v>
      </c>
      <c r="G192" t="s">
        <v>50</v>
      </c>
      <c r="H192">
        <f>RFI_Elements!N194</f>
        <v>193</v>
      </c>
      <c r="J192" t="str">
        <f>VLOOKUP(B192,SuiteCatSubElem!$G$2:$H$666,2,0)</f>
        <v>Hybrid</v>
      </c>
    </row>
    <row r="193" spans="1:10">
      <c r="A193">
        <f>RFI_Elements!B195</f>
        <v>3</v>
      </c>
      <c r="B193">
        <f>RFI_Elements!C195</f>
        <v>432</v>
      </c>
      <c r="C193">
        <v>1</v>
      </c>
      <c r="D193">
        <v>194</v>
      </c>
      <c r="E193" s="60">
        <v>43101</v>
      </c>
      <c r="F193">
        <f>VLOOKUP(VLOOKUP(B193,SuiteCatSubElem!$G$2:$H$666,2,0),'SA Q1 18 VR'!$A$33:$O$193,1+MATCH(VLOOKUP(A193,Vendors!$A$2:$B$15,2,0),'SA Q1 18 VR'!$B$24:$O$24,0),0)</f>
        <v>2</v>
      </c>
      <c r="G193" t="s">
        <v>50</v>
      </c>
      <c r="H193">
        <f>RFI_Elements!N195</f>
        <v>194</v>
      </c>
      <c r="J193" t="str">
        <f>VLOOKUP(B193,SuiteCatSubElem!$G$2:$H$666,2,0)</f>
        <v>Data Integrity Analytics</v>
      </c>
    </row>
    <row r="194" spans="1:10">
      <c r="A194">
        <f>RFI_Elements!B196</f>
        <v>3</v>
      </c>
      <c r="B194">
        <f>RFI_Elements!C196</f>
        <v>433</v>
      </c>
      <c r="C194">
        <v>1</v>
      </c>
      <c r="D194">
        <v>195</v>
      </c>
      <c r="E194" s="60">
        <v>43101</v>
      </c>
      <c r="F194">
        <f>VLOOKUP(VLOOKUP(B194,SuiteCatSubElem!$G$2:$H$666,2,0),'SA Q1 18 VR'!$A$33:$O$193,1+MATCH(VLOOKUP(A194,Vendors!$A$2:$B$15,2,0),'SA Q1 18 VR'!$B$24:$O$24,0),0)</f>
        <v>2</v>
      </c>
      <c r="G194" t="s">
        <v>50</v>
      </c>
      <c r="H194">
        <f>RFI_Elements!N196</f>
        <v>195</v>
      </c>
      <c r="J194" t="str">
        <f>VLOOKUP(B194,SuiteCatSubElem!$G$2:$H$666,2,0)</f>
        <v>Outlier Identification</v>
      </c>
    </row>
    <row r="195" spans="1:10">
      <c r="A195">
        <f>RFI_Elements!B197</f>
        <v>3</v>
      </c>
      <c r="B195">
        <f>RFI_Elements!C197</f>
        <v>434</v>
      </c>
      <c r="C195">
        <v>1</v>
      </c>
      <c r="D195">
        <v>196</v>
      </c>
      <c r="E195" s="60">
        <v>43101</v>
      </c>
      <c r="F195">
        <f>VLOOKUP(VLOOKUP(B195,SuiteCatSubElem!$G$2:$H$666,2,0),'SA Q1 18 VR'!$A$33:$O$193,1+MATCH(VLOOKUP(A195,Vendors!$A$2:$B$15,2,0),'SA Q1 18 VR'!$B$24:$O$24,0),0)</f>
        <v>2</v>
      </c>
      <c r="G195" t="s">
        <v>50</v>
      </c>
      <c r="H195">
        <f>RFI_Elements!N197</f>
        <v>196</v>
      </c>
      <c r="J195" t="str">
        <f>VLOOKUP(B195,SuiteCatSubElem!$G$2:$H$666,2,0)</f>
        <v>Statistical Analysis / Frequency Mapping</v>
      </c>
    </row>
    <row r="196" spans="1:10">
      <c r="A196">
        <f>RFI_Elements!B198</f>
        <v>3</v>
      </c>
      <c r="B196">
        <f>RFI_Elements!C198</f>
        <v>435</v>
      </c>
      <c r="C196">
        <v>1</v>
      </c>
      <c r="D196">
        <v>197</v>
      </c>
      <c r="E196" s="60">
        <v>43101</v>
      </c>
      <c r="F196">
        <f>VLOOKUP(VLOOKUP(B196,SuiteCatSubElem!$G$2:$H$666,2,0),'SA Q1 18 VR'!$A$33:$O$193,1+MATCH(VLOOKUP(A196,Vendors!$A$2:$B$15,2,0),'SA Q1 18 VR'!$B$24:$O$24,0),0)</f>
        <v>2</v>
      </c>
      <c r="G196" t="s">
        <v>50</v>
      </c>
      <c r="H196">
        <f>RFI_Elements!N198</f>
        <v>197</v>
      </c>
      <c r="J196" t="str">
        <f>VLOOKUP(B196,SuiteCatSubElem!$G$2:$H$666,2,0)</f>
        <v>Sliding Time-Scale</v>
      </c>
    </row>
    <row r="197" spans="1:10">
      <c r="A197">
        <f>RFI_Elements!B199</f>
        <v>3</v>
      </c>
      <c r="B197">
        <f>RFI_Elements!C199</f>
        <v>436</v>
      </c>
      <c r="C197">
        <v>1</v>
      </c>
      <c r="D197">
        <v>198</v>
      </c>
      <c r="E197" s="60">
        <v>43101</v>
      </c>
      <c r="F197">
        <f>VLOOKUP(VLOOKUP(B197,SuiteCatSubElem!$G$2:$H$666,2,0),'SA Q1 18 VR'!$A$33:$O$193,1+MATCH(VLOOKUP(A197,Vendors!$A$2:$B$15,2,0),'SA Q1 18 VR'!$B$24:$O$24,0),0)</f>
        <v>3</v>
      </c>
      <c r="G197" t="s">
        <v>50</v>
      </c>
      <c r="H197">
        <f>RFI_Elements!N199</f>
        <v>198</v>
      </c>
      <c r="J197" t="str">
        <f>VLOOKUP(B197,SuiteCatSubElem!$G$2:$H$666,2,0)</f>
        <v>VAR: Visualize, Analyze, Report</v>
      </c>
    </row>
    <row r="198" spans="1:10">
      <c r="A198">
        <f>RFI_Elements!B200</f>
        <v>3</v>
      </c>
      <c r="B198">
        <f>RFI_Elements!C200</f>
        <v>437</v>
      </c>
      <c r="C198">
        <v>1</v>
      </c>
      <c r="D198">
        <v>199</v>
      </c>
      <c r="E198" s="60">
        <v>43101</v>
      </c>
      <c r="F198">
        <f>VLOOKUP(VLOOKUP(B198,SuiteCatSubElem!$G$2:$H$666,2,0),'SA Q1 18 VR'!$A$33:$O$193,1+MATCH(VLOOKUP(A198,Vendors!$A$2:$B$15,2,0),'SA Q1 18 VR'!$B$24:$O$24,0),0)</f>
        <v>3</v>
      </c>
      <c r="G198" t="s">
        <v>50</v>
      </c>
      <c r="H198">
        <f>RFI_Elements!N200</f>
        <v>199</v>
      </c>
      <c r="J198" t="str">
        <f>VLOOKUP(B198,SuiteCatSubElem!$G$2:$H$666,2,0)</f>
        <v>Filter Support</v>
      </c>
    </row>
    <row r="199" spans="1:10">
      <c r="A199">
        <f>RFI_Elements!B201</f>
        <v>3</v>
      </c>
      <c r="B199">
        <f>RFI_Elements!C201</f>
        <v>438</v>
      </c>
      <c r="C199">
        <v>1</v>
      </c>
      <c r="D199">
        <v>200</v>
      </c>
      <c r="E199" s="60">
        <v>43101</v>
      </c>
      <c r="F199">
        <f>VLOOKUP(VLOOKUP(B199,SuiteCatSubElem!$G$2:$H$666,2,0),'SA Q1 18 VR'!$A$33:$O$193,1+MATCH(VLOOKUP(A199,Vendors!$A$2:$B$15,2,0),'SA Q1 18 VR'!$B$24:$O$24,0),0)</f>
        <v>3</v>
      </c>
      <c r="G199" t="s">
        <v>50</v>
      </c>
      <c r="H199">
        <f>RFI_Elements!N201</f>
        <v>200</v>
      </c>
      <c r="J199" t="str">
        <f>VLOOKUP(B199,SuiteCatSubElem!$G$2:$H$666,2,0)</f>
        <v>Formula / Derived Dimension Support</v>
      </c>
    </row>
    <row r="200" spans="1:10">
      <c r="A200">
        <f>RFI_Elements!B202</f>
        <v>3</v>
      </c>
      <c r="B200">
        <f>RFI_Elements!C202</f>
        <v>439</v>
      </c>
      <c r="C200">
        <v>1</v>
      </c>
      <c r="D200">
        <v>201</v>
      </c>
      <c r="E200" s="60">
        <v>43101</v>
      </c>
      <c r="F200">
        <f>VLOOKUP(VLOOKUP(B200,SuiteCatSubElem!$G$2:$H$666,2,0),'SA Q1 18 VR'!$A$33:$O$193,1+MATCH(VLOOKUP(A200,Vendors!$A$2:$B$15,2,0),'SA Q1 18 VR'!$B$24:$O$24,0),0)</f>
        <v>3</v>
      </c>
      <c r="G200" t="s">
        <v>50</v>
      </c>
      <c r="H200">
        <f>RFI_Elements!N202</f>
        <v>201</v>
      </c>
      <c r="J200" t="str">
        <f>VLOOKUP(B200,SuiteCatSubElem!$G$2:$H$666,2,0)</f>
        <v>Extent of Charting / Graphing Capability</v>
      </c>
    </row>
    <row r="201" spans="1:10">
      <c r="A201">
        <f>RFI_Elements!B203</f>
        <v>3</v>
      </c>
      <c r="B201">
        <f>RFI_Elements!C203</f>
        <v>440</v>
      </c>
      <c r="C201">
        <v>1</v>
      </c>
      <c r="D201">
        <v>202</v>
      </c>
      <c r="E201" s="60">
        <v>43101</v>
      </c>
      <c r="F201">
        <f>VLOOKUP(VLOOKUP(B201,SuiteCatSubElem!$G$2:$H$666,2,0),'SA Q1 18 VR'!$A$33:$O$193,1+MATCH(VLOOKUP(A201,Vendors!$A$2:$B$15,2,0),'SA Q1 18 VR'!$B$24:$O$24,0),0)</f>
        <v>3</v>
      </c>
      <c r="G201" t="s">
        <v>50</v>
      </c>
      <c r="H201">
        <f>RFI_Elements!N203</f>
        <v>202</v>
      </c>
      <c r="J201" t="str">
        <f>VLOOKUP(B201,SuiteCatSubElem!$G$2:$H$666,2,0)</f>
        <v>Extent of Report Definition / Building</v>
      </c>
    </row>
    <row r="202" spans="1:10">
      <c r="A202">
        <f>RFI_Elements!B204</f>
        <v>3</v>
      </c>
      <c r="B202">
        <f>RFI_Elements!C204</f>
        <v>441</v>
      </c>
      <c r="C202">
        <v>1</v>
      </c>
      <c r="D202">
        <v>203</v>
      </c>
      <c r="E202" s="60">
        <v>43101</v>
      </c>
      <c r="F202">
        <f>VLOOKUP(VLOOKUP(B202,SuiteCatSubElem!$G$2:$H$666,2,0),'SA Q1 18 VR'!$A$33:$O$193,1+MATCH(VLOOKUP(A202,Vendors!$A$2:$B$15,2,0),'SA Q1 18 VR'!$B$24:$O$24,0),0)</f>
        <v>3</v>
      </c>
      <c r="G202" t="s">
        <v>50</v>
      </c>
      <c r="H202">
        <f>RFI_Elements!N204</f>
        <v>203</v>
      </c>
      <c r="J202" t="str">
        <f>VLOOKUP(B202,SuiteCatSubElem!$G$2:$H$666,2,0)</f>
        <v>ETD (extract / transform / dump)</v>
      </c>
    </row>
    <row r="203" spans="1:10">
      <c r="A203">
        <f>RFI_Elements!B205</f>
        <v>3</v>
      </c>
      <c r="B203">
        <f>RFI_Elements!C205</f>
        <v>442</v>
      </c>
      <c r="C203">
        <v>1</v>
      </c>
      <c r="D203">
        <v>204</v>
      </c>
      <c r="E203" s="60">
        <v>43101</v>
      </c>
      <c r="F203" t="str">
        <f>VLOOKUP(VLOOKUP(B203,SuiteCatSubElem!$G$2:$H$666,2,0),'SA Q1 18 VR'!$A$33:$O$193,1+MATCH(VLOOKUP(A203,Vendors!$A$2:$B$15,2,0),'SA Q1 18 VR'!$B$24:$O$24,0),0)</f>
        <v/>
      </c>
      <c r="G203" t="s">
        <v>50</v>
      </c>
      <c r="H203">
        <f>RFI_Elements!N205</f>
        <v>204</v>
      </c>
      <c r="J203" t="str">
        <f>VLOOKUP(B203,SuiteCatSubElem!$G$2:$H$666,2,0)</f>
        <v>Flat File / FTP</v>
      </c>
    </row>
    <row r="204" spans="1:10">
      <c r="A204">
        <f>RFI_Elements!B206</f>
        <v>3</v>
      </c>
      <c r="B204">
        <f>RFI_Elements!C206</f>
        <v>443</v>
      </c>
      <c r="C204">
        <v>1</v>
      </c>
      <c r="D204">
        <v>205</v>
      </c>
      <c r="E204" s="60">
        <v>43101</v>
      </c>
      <c r="F204">
        <f>VLOOKUP(VLOOKUP(B204,SuiteCatSubElem!$G$2:$H$666,2,0),'SA Q1 18 VR'!$A$33:$O$193,1+MATCH(VLOOKUP(A204,Vendors!$A$2:$B$15,2,0),'SA Q1 18 VR'!$B$24:$O$24,0),0)</f>
        <v>2</v>
      </c>
      <c r="G204" t="s">
        <v>50</v>
      </c>
      <c r="H204">
        <f>RFI_Elements!N206</f>
        <v>205</v>
      </c>
      <c r="J204" t="str">
        <f>VLOOKUP(B204,SuiteCatSubElem!$G$2:$H$666,2,0)</f>
        <v>Real-Time Integration</v>
      </c>
    </row>
    <row r="205" spans="1:10">
      <c r="A205">
        <f>RFI_Elements!B208</f>
        <v>3</v>
      </c>
      <c r="B205">
        <f>RFI_Elements!C208</f>
        <v>445</v>
      </c>
      <c r="C205">
        <v>1</v>
      </c>
      <c r="D205">
        <v>207</v>
      </c>
      <c r="E205" s="60">
        <v>43101</v>
      </c>
      <c r="F205">
        <f>VLOOKUP(VLOOKUP(B205,SuiteCatSubElem!$G$2:$H$666,2,0),'SA Q1 18 VR'!$A$33:$O$193,1+MATCH(VLOOKUP(A205,Vendors!$A$2:$B$15,2,0),'SA Q1 18 VR'!$B$24:$O$24,0),0)</f>
        <v>2</v>
      </c>
      <c r="G205" t="s">
        <v>50</v>
      </c>
      <c r="H205">
        <f>RFI_Elements!N208</f>
        <v>207</v>
      </c>
      <c r="J205" t="str">
        <f>VLOOKUP(B205,SuiteCatSubElem!$G$2:$H$666,2,0)</f>
        <v>Predictive Analytics</v>
      </c>
    </row>
    <row r="206" spans="1:10">
      <c r="A206">
        <f>RFI_Elements!B209</f>
        <v>3</v>
      </c>
      <c r="B206">
        <f>RFI_Elements!C209</f>
        <v>446</v>
      </c>
      <c r="C206">
        <v>1</v>
      </c>
      <c r="D206">
        <v>208</v>
      </c>
      <c r="E206" s="60">
        <v>43101</v>
      </c>
      <c r="F206">
        <f>VLOOKUP(VLOOKUP(B206,SuiteCatSubElem!$G$2:$H$666,2,0),'SA Q1 18 VR'!$A$33:$O$193,1+MATCH(VLOOKUP(A206,Vendors!$A$2:$B$15,2,0),'SA Q1 18 VR'!$B$24:$O$24,0),0)</f>
        <v>0</v>
      </c>
      <c r="G206" t="s">
        <v>50</v>
      </c>
      <c r="H206">
        <f>RFI_Elements!N209</f>
        <v>208</v>
      </c>
      <c r="J206" t="str">
        <f>VLOOKUP(B206,SuiteCatSubElem!$G$2:$H$666,2,0)</f>
        <v>Prescriptive Analytics</v>
      </c>
    </row>
    <row r="207" spans="1:10">
      <c r="A207">
        <f>RFI_Elements!B210</f>
        <v>3</v>
      </c>
      <c r="B207">
        <f>RFI_Elements!C210</f>
        <v>447</v>
      </c>
      <c r="C207">
        <v>1</v>
      </c>
      <c r="D207">
        <v>209</v>
      </c>
      <c r="E207" s="60">
        <v>43101</v>
      </c>
      <c r="F207">
        <f>VLOOKUP(VLOOKUP(B207,SuiteCatSubElem!$G$2:$H$666,2,0),'SA Q1 18 VR'!$A$33:$O$193,1+MATCH(VLOOKUP(A207,Vendors!$A$2:$B$15,2,0),'SA Q1 18 VR'!$B$24:$O$24,0),0)</f>
        <v>0</v>
      </c>
      <c r="G207" t="s">
        <v>50</v>
      </c>
      <c r="H207">
        <f>RFI_Elements!N210</f>
        <v>209</v>
      </c>
      <c r="J207" t="str">
        <f>VLOOKUP(B207,SuiteCatSubElem!$G$2:$H$666,2,0)</f>
        <v>Permissive Analytics</v>
      </c>
    </row>
    <row r="208" spans="1:10">
      <c r="A208">
        <f>RFI_Elements!B211</f>
        <v>3</v>
      </c>
      <c r="B208">
        <f>RFI_Elements!C211</f>
        <v>448</v>
      </c>
      <c r="C208">
        <v>1</v>
      </c>
      <c r="D208">
        <v>210</v>
      </c>
      <c r="E208" s="60">
        <v>43101</v>
      </c>
      <c r="F208">
        <f>VLOOKUP(VLOOKUP(B208,SuiteCatSubElem!$G$2:$H$666,2,0),'SA Q1 18 VR'!$A$33:$O$193,1+MATCH(VLOOKUP(A208,Vendors!$A$2:$B$15,2,0),'SA Q1 18 VR'!$B$24:$O$24,0),0)</f>
        <v>3</v>
      </c>
      <c r="G208" t="s">
        <v>50</v>
      </c>
      <c r="H208">
        <f>RFI_Elements!N211</f>
        <v>210</v>
      </c>
      <c r="J208" t="str">
        <f>VLOOKUP(B208,SuiteCatSubElem!$G$2:$H$666,2,0)</f>
        <v>Scorecards</v>
      </c>
    </row>
    <row r="209" spans="1:10">
      <c r="A209">
        <f>RFI_Elements!B212</f>
        <v>3</v>
      </c>
      <c r="B209">
        <f>RFI_Elements!C212</f>
        <v>449</v>
      </c>
      <c r="C209">
        <v>1</v>
      </c>
      <c r="D209">
        <v>211</v>
      </c>
      <c r="E209" s="60">
        <v>43101</v>
      </c>
      <c r="F209">
        <f>VLOOKUP(VLOOKUP(B209,SuiteCatSubElem!$G$2:$H$666,2,0),'SA Q1 18 VR'!$A$33:$O$193,1+MATCH(VLOOKUP(A209,Vendors!$A$2:$B$15,2,0),'SA Q1 18 VR'!$B$24:$O$24,0),0)</f>
        <v>3</v>
      </c>
      <c r="G209" t="s">
        <v>50</v>
      </c>
      <c r="H209">
        <f>RFI_Elements!N212</f>
        <v>211</v>
      </c>
      <c r="J209" t="str">
        <f>VLOOKUP(B209,SuiteCatSubElem!$G$2:$H$666,2,0)</f>
        <v>Template Library</v>
      </c>
    </row>
    <row r="210" spans="1:10">
      <c r="A210">
        <f>RFI_Elements!B213</f>
        <v>3</v>
      </c>
      <c r="B210">
        <f>RFI_Elements!C213</f>
        <v>450</v>
      </c>
      <c r="C210">
        <v>1</v>
      </c>
      <c r="D210">
        <v>212</v>
      </c>
      <c r="E210" s="60">
        <v>43101</v>
      </c>
      <c r="F210">
        <f>VLOOKUP(VLOOKUP(B210,SuiteCatSubElem!$G$2:$H$666,2,0),'SA Q1 18 VR'!$A$33:$O$193,1+MATCH(VLOOKUP(A210,Vendors!$A$2:$B$15,2,0),'SA Q1 18 VR'!$B$24:$O$24,0),0)</f>
        <v>3</v>
      </c>
      <c r="G210" t="s">
        <v>50</v>
      </c>
      <c r="H210">
        <f>RFI_Elements!N213</f>
        <v>212</v>
      </c>
      <c r="J210" t="str">
        <f>VLOOKUP(B210,SuiteCatSubElem!$G$2:$H$666,2,0)</f>
        <v>KPIs</v>
      </c>
    </row>
    <row r="211" spans="1:10">
      <c r="A211">
        <f>RFI_Elements!B214</f>
        <v>3</v>
      </c>
      <c r="B211">
        <f>RFI_Elements!C214</f>
        <v>451</v>
      </c>
      <c r="C211">
        <v>1</v>
      </c>
      <c r="D211">
        <v>213</v>
      </c>
      <c r="E211" s="60">
        <v>43101</v>
      </c>
      <c r="F211">
        <f>VLOOKUP(VLOOKUP(B211,SuiteCatSubElem!$G$2:$H$666,2,0),'SA Q1 18 VR'!$A$33:$O$193,1+MATCH(VLOOKUP(A211,Vendors!$A$2:$B$15,2,0),'SA Q1 18 VR'!$B$24:$O$24,0),0)</f>
        <v>3</v>
      </c>
      <c r="G211" t="s">
        <v>50</v>
      </c>
      <c r="H211">
        <f>RFI_Elements!N214</f>
        <v>213</v>
      </c>
      <c r="J211" t="str">
        <f>VLOOKUP(B211,SuiteCatSubElem!$G$2:$H$666,2,0)</f>
        <v>KPI Library</v>
      </c>
    </row>
    <row r="212" spans="1:10">
      <c r="A212">
        <f>RFI_Elements!B215</f>
        <v>3</v>
      </c>
      <c r="B212">
        <f>RFI_Elements!C215</f>
        <v>452</v>
      </c>
      <c r="C212">
        <v>1</v>
      </c>
      <c r="D212">
        <v>214</v>
      </c>
      <c r="E212" s="60">
        <v>43101</v>
      </c>
      <c r="F212">
        <f>VLOOKUP(VLOOKUP(B212,SuiteCatSubElem!$G$2:$H$666,2,0),'SA Q1 18 VR'!$A$33:$O$193,1+MATCH(VLOOKUP(A212,Vendors!$A$2:$B$15,2,0),'SA Q1 18 VR'!$B$24:$O$24,0),0)</f>
        <v>3</v>
      </c>
      <c r="G212" t="s">
        <v>50</v>
      </c>
      <c r="H212">
        <f>RFI_Elements!N215</f>
        <v>214</v>
      </c>
      <c r="J212" t="str">
        <f>VLOOKUP(B212,SuiteCatSubElem!$G$2:$H$666,2,0)</f>
        <v>Benchmarks</v>
      </c>
    </row>
    <row r="213" spans="1:10">
      <c r="A213">
        <f>RFI_Elements!B216</f>
        <v>3</v>
      </c>
      <c r="B213">
        <f>RFI_Elements!C216</f>
        <v>453</v>
      </c>
      <c r="C213">
        <v>1</v>
      </c>
      <c r="D213">
        <v>215</v>
      </c>
      <c r="E213" s="60">
        <v>43101</v>
      </c>
      <c r="F213">
        <f>VLOOKUP(VLOOKUP(B213,SuiteCatSubElem!$G$2:$H$666,2,0),'SA Q1 18 VR'!$A$33:$O$193,1+MATCH(VLOOKUP(A213,Vendors!$A$2:$B$15,2,0),'SA Q1 18 VR'!$B$24:$O$24,0),0)</f>
        <v>2</v>
      </c>
      <c r="G213" t="s">
        <v>50</v>
      </c>
      <c r="H213">
        <f>RFI_Elements!N216</f>
        <v>215</v>
      </c>
      <c r="J213" t="str">
        <f>VLOOKUP(B213,SuiteCatSubElem!$G$2:$H$666,2,0)</f>
        <v>Internal</v>
      </c>
    </row>
    <row r="214" spans="1:10">
      <c r="A214">
        <f>RFI_Elements!B217</f>
        <v>3</v>
      </c>
      <c r="B214">
        <f>RFI_Elements!C217</f>
        <v>454</v>
      </c>
      <c r="C214">
        <v>1</v>
      </c>
      <c r="D214">
        <v>216</v>
      </c>
      <c r="E214" s="60">
        <v>43101</v>
      </c>
      <c r="F214">
        <f>VLOOKUP(VLOOKUP(B214,SuiteCatSubElem!$G$2:$H$666,2,0),'SA Q1 18 VR'!$A$33:$O$193,1+MATCH(VLOOKUP(A214,Vendors!$A$2:$B$15,2,0),'SA Q1 18 VR'!$B$24:$O$24,0),0)</f>
        <v>2</v>
      </c>
      <c r="G214" t="s">
        <v>50</v>
      </c>
      <c r="H214">
        <f>RFI_Elements!N217</f>
        <v>216</v>
      </c>
      <c r="J214" t="str">
        <f>VLOOKUP(B214,SuiteCatSubElem!$G$2:$H$666,2,0)</f>
        <v>External</v>
      </c>
    </row>
    <row r="215" spans="1:10">
      <c r="A215">
        <f>RFI_Elements!B218</f>
        <v>3</v>
      </c>
      <c r="B215">
        <f>RFI_Elements!C218</f>
        <v>455</v>
      </c>
      <c r="C215">
        <v>1</v>
      </c>
      <c r="D215">
        <v>217</v>
      </c>
      <c r="E215" s="60">
        <v>43101</v>
      </c>
      <c r="F215">
        <f>VLOOKUP(VLOOKUP(B215,SuiteCatSubElem!$G$2:$H$666,2,0),'SA Q1 18 VR'!$A$33:$O$193,1+MATCH(VLOOKUP(A215,Vendors!$A$2:$B$15,2,0),'SA Q1 18 VR'!$B$24:$O$24,0),0)</f>
        <v>3</v>
      </c>
      <c r="G215" t="s">
        <v>50</v>
      </c>
      <c r="H215">
        <f>RFI_Elements!N218</f>
        <v>217</v>
      </c>
      <c r="J215" t="str">
        <f>VLOOKUP(B215,SuiteCatSubElem!$G$2:$H$666,2,0)</f>
        <v>Cost Avoidance / Opportunity Program Management</v>
      </c>
    </row>
    <row r="216" spans="1:10">
      <c r="A216">
        <f>RFI_Elements!B219</f>
        <v>3</v>
      </c>
      <c r="B216">
        <f>RFI_Elements!C219</f>
        <v>456</v>
      </c>
      <c r="C216">
        <v>1</v>
      </c>
      <c r="D216">
        <v>218</v>
      </c>
      <c r="E216" s="60">
        <v>43101</v>
      </c>
      <c r="F216">
        <f>VLOOKUP(VLOOKUP(B216,SuiteCatSubElem!$G$2:$H$666,2,0),'SA Q1 18 VR'!$A$33:$O$193,1+MATCH(VLOOKUP(A216,Vendors!$A$2:$B$15,2,0),'SA Q1 18 VR'!$B$24:$O$24,0),0)</f>
        <v>3</v>
      </c>
      <c r="G216" t="s">
        <v>50</v>
      </c>
      <c r="H216">
        <f>RFI_Elements!N219</f>
        <v>218</v>
      </c>
      <c r="J216" t="str">
        <f>VLOOKUP(B216,SuiteCatSubElem!$G$2:$H$666,2,0)</f>
        <v>Out-of-the-Box Sourcing Support</v>
      </c>
    </row>
    <row r="217" spans="1:10">
      <c r="A217">
        <f>RFI_Elements!B220</f>
        <v>3</v>
      </c>
      <c r="B217">
        <f>RFI_Elements!C220</f>
        <v>457</v>
      </c>
      <c r="C217">
        <v>1</v>
      </c>
      <c r="D217">
        <v>219</v>
      </c>
      <c r="E217" s="60">
        <v>43101</v>
      </c>
      <c r="F217">
        <f>VLOOKUP(VLOOKUP(B217,SuiteCatSubElem!$G$2:$H$666,2,0),'SA Q1 18 VR'!$A$33:$O$193,1+MATCH(VLOOKUP(A217,Vendors!$A$2:$B$15,2,0),'SA Q1 18 VR'!$B$24:$O$24,0),0)</f>
        <v>3</v>
      </c>
      <c r="G217" t="s">
        <v>50</v>
      </c>
      <c r="H217">
        <f>RFI_Elements!N220</f>
        <v>219</v>
      </c>
      <c r="J217" t="str">
        <f>VLOOKUP(B217,SuiteCatSubElem!$G$2:$H$666,2,0)</f>
        <v>Out-of-the-Box Procurement Support</v>
      </c>
    </row>
    <row r="218" spans="1:10">
      <c r="A218">
        <f>RFI_Elements!B221</f>
        <v>3</v>
      </c>
      <c r="B218">
        <f>RFI_Elements!C221</f>
        <v>458</v>
      </c>
      <c r="C218">
        <v>1</v>
      </c>
      <c r="D218">
        <v>220</v>
      </c>
      <c r="E218" s="60">
        <v>43101</v>
      </c>
      <c r="F218">
        <f>VLOOKUP(VLOOKUP(B218,SuiteCatSubElem!$G$2:$H$666,2,0),'SA Q1 18 VR'!$A$33:$O$193,1+MATCH(VLOOKUP(A218,Vendors!$A$2:$B$15,2,0),'SA Q1 18 VR'!$B$24:$O$24,0),0)</f>
        <v>3</v>
      </c>
      <c r="G218" t="s">
        <v>50</v>
      </c>
      <c r="H218">
        <f>RFI_Elements!N221</f>
        <v>220</v>
      </c>
      <c r="J218" t="str">
        <f>VLOOKUP(B218,SuiteCatSubElem!$G$2:$H$666,2,0)</f>
        <v>Out-of-the-Box Travel &amp; Expense Support</v>
      </c>
    </row>
    <row r="219" spans="1:10">
      <c r="A219">
        <f>RFI_Elements!B222</f>
        <v>3</v>
      </c>
      <c r="B219">
        <f>RFI_Elements!C222</f>
        <v>459</v>
      </c>
      <c r="C219">
        <v>1</v>
      </c>
      <c r="D219">
        <v>221</v>
      </c>
      <c r="E219" s="60">
        <v>43101</v>
      </c>
      <c r="F219">
        <f>VLOOKUP(VLOOKUP(B219,SuiteCatSubElem!$G$2:$H$666,2,0),'SA Q1 18 VR'!$A$33:$O$193,1+MATCH(VLOOKUP(A219,Vendors!$A$2:$B$15,2,0),'SA Q1 18 VR'!$B$24:$O$24,0),0)</f>
        <v>3</v>
      </c>
      <c r="G219" t="s">
        <v>50</v>
      </c>
      <c r="H219">
        <f>RFI_Elements!N222</f>
        <v>221</v>
      </c>
      <c r="J219" t="str">
        <f>VLOOKUP(B219,SuiteCatSubElem!$G$2:$H$666,2,0)</f>
        <v>Out-of-the-Box Finance Support</v>
      </c>
    </row>
    <row r="220" spans="1:10">
      <c r="A220">
        <f>RFI_Elements!B223</f>
        <v>3</v>
      </c>
      <c r="B220">
        <f>RFI_Elements!C223</f>
        <v>460</v>
      </c>
      <c r="C220">
        <v>1</v>
      </c>
      <c r="D220">
        <v>222</v>
      </c>
      <c r="E220" s="60">
        <v>43101</v>
      </c>
      <c r="F220">
        <f>VLOOKUP(VLOOKUP(B220,SuiteCatSubElem!$G$2:$H$666,2,0),'SA Q1 18 VR'!$A$33:$O$193,1+MATCH(VLOOKUP(A220,Vendors!$A$2:$B$15,2,0),'SA Q1 18 VR'!$B$24:$O$24,0),0)</f>
        <v>2</v>
      </c>
      <c r="G220" t="s">
        <v>50</v>
      </c>
      <c r="H220">
        <f>RFI_Elements!N223</f>
        <v>222</v>
      </c>
      <c r="J220" t="str">
        <f>VLOOKUP(B220,SuiteCatSubElem!$G$2:$H$666,2,0)</f>
        <v>Out-of-the-Box Product (Lifecycle) Support</v>
      </c>
    </row>
    <row r="221" spans="1:10">
      <c r="A221">
        <f>RFI_Elements!B224</f>
        <v>3</v>
      </c>
      <c r="B221">
        <f>RFI_Elements!C224</f>
        <v>461</v>
      </c>
      <c r="C221">
        <v>1</v>
      </c>
      <c r="D221">
        <v>223</v>
      </c>
      <c r="E221" s="60">
        <v>43101</v>
      </c>
      <c r="F221">
        <f>VLOOKUP(VLOOKUP(B221,SuiteCatSubElem!$G$2:$H$666,2,0),'SA Q1 18 VR'!$A$33:$O$193,1+MATCH(VLOOKUP(A221,Vendors!$A$2:$B$15,2,0),'SA Q1 18 VR'!$B$24:$O$24,0),0)</f>
        <v>2</v>
      </c>
      <c r="G221" t="s">
        <v>50</v>
      </c>
      <c r="H221">
        <f>RFI_Elements!N224</f>
        <v>223</v>
      </c>
      <c r="J221" t="str">
        <f>VLOOKUP(B221,SuiteCatSubElem!$G$2:$H$666,2,0)</f>
        <v>Out-of-the-Box Services Support</v>
      </c>
    </row>
    <row r="222" spans="1:10">
      <c r="A222">
        <f>RFI_Elements!B225</f>
        <v>3</v>
      </c>
      <c r="B222">
        <f>RFI_Elements!C225</f>
        <v>462</v>
      </c>
      <c r="C222">
        <v>1</v>
      </c>
      <c r="D222">
        <v>224</v>
      </c>
      <c r="E222" s="60">
        <v>43101</v>
      </c>
      <c r="F222">
        <f>VLOOKUP(VLOOKUP(B222,SuiteCatSubElem!$G$2:$H$666,2,0),'SA Q1 18 VR'!$A$33:$O$193,1+MATCH(VLOOKUP(A222,Vendors!$A$2:$B$15,2,0),'SA Q1 18 VR'!$B$24:$O$24,0),0)</f>
        <v>2</v>
      </c>
      <c r="G222" t="s">
        <v>50</v>
      </c>
      <c r="H222">
        <f>RFI_Elements!N225</f>
        <v>224</v>
      </c>
      <c r="J222" t="str">
        <f>VLOOKUP(B222,SuiteCatSubElem!$G$2:$H$666,2,0)</f>
        <v>Out-of-the-Box CWM Support</v>
      </c>
    </row>
    <row r="223" spans="1:10">
      <c r="A223">
        <f>RFI_Elements!B226</f>
        <v>3</v>
      </c>
      <c r="B223">
        <f>RFI_Elements!C226</f>
        <v>463</v>
      </c>
      <c r="C223">
        <v>1</v>
      </c>
      <c r="D223">
        <v>225</v>
      </c>
      <c r="E223" s="60">
        <v>43101</v>
      </c>
      <c r="F223">
        <f>VLOOKUP(VLOOKUP(B223,SuiteCatSubElem!$G$2:$H$666,2,0),'SA Q1 18 VR'!$A$33:$O$193,1+MATCH(VLOOKUP(A223,Vendors!$A$2:$B$15,2,0),'SA Q1 18 VR'!$B$24:$O$24,0),0)</f>
        <v>1</v>
      </c>
      <c r="G223" t="s">
        <v>50</v>
      </c>
      <c r="H223">
        <f>RFI_Elements!N226</f>
        <v>225</v>
      </c>
      <c r="J223" t="str">
        <f>VLOOKUP(B223,SuiteCatSubElem!$G$2:$H$666,2,0)</f>
        <v>Out-of-the-Box Logistics Support</v>
      </c>
    </row>
    <row r="224" spans="1:10">
      <c r="A224">
        <f>RFI_Elements!B227</f>
        <v>3</v>
      </c>
      <c r="B224">
        <f>RFI_Elements!C227</f>
        <v>464</v>
      </c>
      <c r="C224">
        <v>1</v>
      </c>
      <c r="D224">
        <v>226</v>
      </c>
      <c r="E224" s="60">
        <v>43101</v>
      </c>
      <c r="F224">
        <f>VLOOKUP(VLOOKUP(B224,SuiteCatSubElem!$G$2:$H$666,2,0),'SA Q1 18 VR'!$A$33:$O$193,1+MATCH(VLOOKUP(A224,Vendors!$A$2:$B$15,2,0),'SA Q1 18 VR'!$B$24:$O$24,0),0)</f>
        <v>2</v>
      </c>
      <c r="G224" t="s">
        <v>50</v>
      </c>
      <c r="H224">
        <f>RFI_Elements!N227</f>
        <v>226</v>
      </c>
      <c r="J224" t="str">
        <f>VLOOKUP(B224,SuiteCatSubElem!$G$2:$H$666,2,0)</f>
        <v>Out-of-the-Box Inventory/MRO Support</v>
      </c>
    </row>
    <row r="225" spans="1:10">
      <c r="A225">
        <f>RFI_Elements!B228</f>
        <v>3</v>
      </c>
      <c r="B225">
        <f>RFI_Elements!C228</f>
        <v>465</v>
      </c>
      <c r="C225">
        <v>1</v>
      </c>
      <c r="D225">
        <v>227</v>
      </c>
      <c r="E225" s="60">
        <v>43101</v>
      </c>
      <c r="F225">
        <f>VLOOKUP(VLOOKUP(B225,SuiteCatSubElem!$G$2:$H$666,2,0),'SA Q1 18 VR'!$A$33:$O$193,1+MATCH(VLOOKUP(A225,Vendors!$A$2:$B$15,2,0),'SA Q1 18 VR'!$B$24:$O$24,0),0)</f>
        <v>3</v>
      </c>
      <c r="G225" t="s">
        <v>50</v>
      </c>
      <c r="H225">
        <f>RFI_Elements!N228</f>
        <v>227</v>
      </c>
      <c r="J225" t="str">
        <f>VLOOKUP(B225,SuiteCatSubElem!$G$2:$H$666,2,0)</f>
        <v>Out-of-the-Box Supplier Analysis Support</v>
      </c>
    </row>
    <row r="226" spans="1:10">
      <c r="A226">
        <f>RFI_Elements!B229</f>
        <v>3</v>
      </c>
      <c r="B226">
        <f>RFI_Elements!C229</f>
        <v>466</v>
      </c>
      <c r="C226">
        <v>1</v>
      </c>
      <c r="D226">
        <v>228</v>
      </c>
      <c r="E226" s="60">
        <v>43101</v>
      </c>
      <c r="F226">
        <f>VLOOKUP(VLOOKUP(B226,SuiteCatSubElem!$G$2:$H$666,2,0),'SA Q1 18 VR'!$A$33:$O$193,1+MATCH(VLOOKUP(A226,Vendors!$A$2:$B$15,2,0),'SA Q1 18 VR'!$B$24:$O$24,0),0)</f>
        <v>2</v>
      </c>
      <c r="G226" t="s">
        <v>50</v>
      </c>
      <c r="H226">
        <f>RFI_Elements!N229</f>
        <v>228</v>
      </c>
      <c r="J226" t="str">
        <f>VLOOKUP(B226,SuiteCatSubElem!$G$2:$H$666,2,0)</f>
        <v>Out-of-the-Box Risk Management Support</v>
      </c>
    </row>
    <row r="227" spans="1:10">
      <c r="A227">
        <f>RFI_Elements!B230</f>
        <v>3</v>
      </c>
      <c r="B227">
        <f>RFI_Elements!C230</f>
        <v>467</v>
      </c>
      <c r="C227">
        <v>1</v>
      </c>
      <c r="D227">
        <v>229</v>
      </c>
      <c r="E227" s="60">
        <v>43101</v>
      </c>
      <c r="F227">
        <f>VLOOKUP(VLOOKUP(B227,SuiteCatSubElem!$G$2:$H$666,2,0),'SA Q1 18 VR'!$A$33:$O$193,1+MATCH(VLOOKUP(A227,Vendors!$A$2:$B$15,2,0),'SA Q1 18 VR'!$B$24:$O$24,0),0)</f>
        <v>3</v>
      </c>
      <c r="G227" t="s">
        <v>50</v>
      </c>
      <c r="H227">
        <f>RFI_Elements!N230</f>
        <v>229</v>
      </c>
      <c r="J227" t="str">
        <f>VLOOKUP(B227,SuiteCatSubElem!$G$2:$H$666,2,0)</f>
        <v>3rd Party BI Integration</v>
      </c>
    </row>
    <row r="228" spans="1:10">
      <c r="A228">
        <f>RFI_Elements!B231</f>
        <v>3</v>
      </c>
      <c r="B228">
        <f>RFI_Elements!C231</f>
        <v>468</v>
      </c>
      <c r="C228">
        <v>1</v>
      </c>
      <c r="D228">
        <v>230</v>
      </c>
      <c r="E228" s="60">
        <v>43101</v>
      </c>
      <c r="F228">
        <f>VLOOKUP(VLOOKUP(B228,SuiteCatSubElem!$G$2:$H$666,2,0),'SA Q1 18 VR'!$A$33:$O$193,1+MATCH(VLOOKUP(A228,Vendors!$A$2:$B$15,2,0),'SA Q1 18 VR'!$B$24:$O$24,0),0)</f>
        <v>3</v>
      </c>
      <c r="G228" t="s">
        <v>50</v>
      </c>
      <c r="H228">
        <f>RFI_Elements!N231</f>
        <v>230</v>
      </c>
      <c r="J228" t="str">
        <f>VLOOKUP(B228,SuiteCatSubElem!$G$2:$H$666,2,0)</f>
        <v>SaaS / Cloud</v>
      </c>
    </row>
    <row r="229" spans="1:10">
      <c r="A229">
        <f>RFI_Elements!B232</f>
        <v>3</v>
      </c>
      <c r="B229">
        <f>RFI_Elements!C232</f>
        <v>469</v>
      </c>
      <c r="C229">
        <v>1</v>
      </c>
      <c r="D229">
        <v>231</v>
      </c>
      <c r="E229" s="60">
        <v>43101</v>
      </c>
      <c r="F229">
        <f>VLOOKUP(VLOOKUP(B229,SuiteCatSubElem!$G$2:$H$666,2,0),'SA Q1 18 VR'!$A$33:$O$193,1+MATCH(VLOOKUP(A229,Vendors!$A$2:$B$15,2,0),'SA Q1 18 VR'!$B$24:$O$24,0),0)</f>
        <v>0</v>
      </c>
      <c r="G229" t="s">
        <v>50</v>
      </c>
      <c r="H229">
        <f>RFI_Elements!N232</f>
        <v>231</v>
      </c>
      <c r="J229" t="str">
        <f>VLOOKUP(B229,SuiteCatSubElem!$G$2:$H$666,2,0)</f>
        <v>On-Premise Software Option</v>
      </c>
    </row>
    <row r="230" spans="1:10">
      <c r="A230">
        <f>RFI_Elements!B233</f>
        <v>3</v>
      </c>
      <c r="B230">
        <f>RFI_Elements!C233</f>
        <v>470</v>
      </c>
      <c r="C230">
        <v>1</v>
      </c>
      <c r="D230">
        <v>232</v>
      </c>
      <c r="E230" s="60">
        <v>43101</v>
      </c>
      <c r="F230">
        <f>VLOOKUP(VLOOKUP(B230,SuiteCatSubElem!$G$2:$H$666,2,0),'SA Q1 18 VR'!$A$33:$O$193,1+MATCH(VLOOKUP(A230,Vendors!$A$2:$B$15,2,0),'SA Q1 18 VR'!$B$24:$O$24,0),0)</f>
        <v>3</v>
      </c>
      <c r="G230" t="s">
        <v>50</v>
      </c>
      <c r="H230">
        <f>RFI_Elements!N233</f>
        <v>232</v>
      </c>
      <c r="J230" t="str">
        <f>VLOOKUP(B230,SuiteCatSubElem!$G$2:$H$666,2,0)</f>
        <v>AI / Machine Learning</v>
      </c>
    </row>
    <row r="231" spans="1:10">
      <c r="A231">
        <f>RFI_Elements!B234</f>
        <v>3</v>
      </c>
      <c r="B231">
        <f>RFI_Elements!C234</f>
        <v>471</v>
      </c>
      <c r="C231">
        <v>1</v>
      </c>
      <c r="D231">
        <v>233</v>
      </c>
      <c r="E231" s="60">
        <v>43101</v>
      </c>
      <c r="F231">
        <f>VLOOKUP(VLOOKUP(B231,SuiteCatSubElem!$G$2:$H$666,2,0),'SA Q1 18 VR'!$A$33:$O$193,1+MATCH(VLOOKUP(A231,Vendors!$A$2:$B$15,2,0),'SA Q1 18 VR'!$B$24:$O$24,0),0)</f>
        <v>2</v>
      </c>
      <c r="G231" t="s">
        <v>50</v>
      </c>
      <c r="H231">
        <f>RFI_Elements!N234</f>
        <v>233</v>
      </c>
      <c r="J231" t="str">
        <f>VLOOKUP(B231,SuiteCatSubElem!$G$2:$H$666,2,0)</f>
        <v>Big Data</v>
      </c>
    </row>
    <row r="232" spans="1:10">
      <c r="A232">
        <f>RFI_Elements!B235</f>
        <v>3</v>
      </c>
      <c r="B232">
        <f>RFI_Elements!C235</f>
        <v>472</v>
      </c>
      <c r="C232">
        <v>1</v>
      </c>
      <c r="D232">
        <v>234</v>
      </c>
      <c r="E232" s="60">
        <v>43101</v>
      </c>
      <c r="F232">
        <f>VLOOKUP(VLOOKUP(B232,SuiteCatSubElem!$G$2:$H$666,2,0),'SA Q1 18 VR'!$A$33:$O$193,1+MATCH(VLOOKUP(A232,Vendors!$A$2:$B$15,2,0),'SA Q1 18 VR'!$B$24:$O$24,0),0)</f>
        <v>0</v>
      </c>
      <c r="G232" t="s">
        <v>50</v>
      </c>
      <c r="H232">
        <f>RFI_Elements!N235</f>
        <v>234</v>
      </c>
      <c r="J232" t="str">
        <f>VLOOKUP(B232,SuiteCatSubElem!$G$2:$H$666,2,0)</f>
        <v>Block Chain</v>
      </c>
    </row>
    <row r="233" spans="1:10">
      <c r="A233">
        <f>RFI_Elements!B236</f>
        <v>3</v>
      </c>
      <c r="B233">
        <f>RFI_Elements!C236</f>
        <v>473</v>
      </c>
      <c r="C233">
        <v>1</v>
      </c>
      <c r="D233">
        <v>235</v>
      </c>
      <c r="E233" s="60">
        <v>43101</v>
      </c>
      <c r="F233">
        <f>VLOOKUP(VLOOKUP(B233,SuiteCatSubElem!$G$2:$H$666,2,0),'SA Q1 18 VR'!$A$33:$O$193,1+MATCH(VLOOKUP(A233,Vendors!$A$2:$B$15,2,0),'SA Q1 18 VR'!$B$24:$O$24,0),0)</f>
        <v>3</v>
      </c>
      <c r="G233" t="s">
        <v>50</v>
      </c>
      <c r="H233">
        <f>RFI_Elements!N236</f>
        <v>235</v>
      </c>
      <c r="J233" t="str">
        <f>VLOOKUP(B233,SuiteCatSubElem!$G$2:$H$666,2,0)</f>
        <v>Mobile</v>
      </c>
    </row>
    <row r="234" spans="1:10">
      <c r="A234">
        <f>RFI_Elements!B237</f>
        <v>3</v>
      </c>
      <c r="B234">
        <f>RFI_Elements!C237</f>
        <v>474</v>
      </c>
      <c r="C234">
        <v>1</v>
      </c>
      <c r="D234">
        <v>236</v>
      </c>
      <c r="E234" s="60">
        <v>43101</v>
      </c>
      <c r="F234">
        <f>VLOOKUP(VLOOKUP(B234,SuiteCatSubElem!$G$2:$H$666,2,0),'SA Q1 18 VR'!$A$33:$O$193,1+MATCH(VLOOKUP(A234,Vendors!$A$2:$B$15,2,0),'SA Q1 18 VR'!$B$24:$O$24,0),0)</f>
        <v>1</v>
      </c>
      <c r="G234" t="s">
        <v>50</v>
      </c>
      <c r="H234">
        <f>RFI_Elements!N237</f>
        <v>236</v>
      </c>
      <c r="J234" t="str">
        <f>VLOOKUP(B234,SuiteCatSubElem!$G$2:$H$666,2,0)</f>
        <v>Semi-Structured / Unstructured Data</v>
      </c>
    </row>
    <row r="235" spans="1:10">
      <c r="A235">
        <f>RFI_Elements!B238</f>
        <v>3</v>
      </c>
      <c r="B235">
        <f>RFI_Elements!C238</f>
        <v>475</v>
      </c>
      <c r="C235">
        <v>1</v>
      </c>
      <c r="D235">
        <v>237</v>
      </c>
      <c r="E235" s="60">
        <v>43101</v>
      </c>
      <c r="F235">
        <f>VLOOKUP(VLOOKUP(B235,SuiteCatSubElem!$G$2:$H$666,2,0),'SA Q1 18 VR'!$A$33:$O$193,1+MATCH(VLOOKUP(A235,Vendors!$A$2:$B$15,2,0),'SA Q1 18 VR'!$B$24:$O$24,0),0)</f>
        <v>1</v>
      </c>
      <c r="G235" t="s">
        <v>50</v>
      </c>
      <c r="H235">
        <f>RFI_Elements!N238</f>
        <v>237</v>
      </c>
      <c r="J235" t="str">
        <f>VLOOKUP(B235,SuiteCatSubElem!$G$2:$H$666,2,0)</f>
        <v>OCR</v>
      </c>
    </row>
    <row r="236" spans="1:10">
      <c r="A236">
        <f>RFI_Elements!B239</f>
        <v>3</v>
      </c>
      <c r="B236">
        <f>RFI_Elements!C239</f>
        <v>476</v>
      </c>
      <c r="C236">
        <v>1</v>
      </c>
      <c r="D236">
        <v>238</v>
      </c>
      <c r="E236" s="60">
        <v>43101</v>
      </c>
      <c r="F236">
        <f>VLOOKUP(VLOOKUP(B236,SuiteCatSubElem!$G$2:$H$666,2,0),'SA Q1 18 VR'!$A$33:$O$193,1+MATCH(VLOOKUP(A236,Vendors!$A$2:$B$15,2,0),'SA Q1 18 VR'!$B$24:$O$24,0),0)</f>
        <v>0</v>
      </c>
      <c r="G236" t="s">
        <v>50</v>
      </c>
      <c r="H236">
        <f>RFI_Elements!N239</f>
        <v>238</v>
      </c>
      <c r="J236" t="str">
        <f>VLOOKUP(B236,SuiteCatSubElem!$G$2:$H$666,2,0)</f>
        <v>Intelligent Apps</v>
      </c>
    </row>
    <row r="237" spans="1:10">
      <c r="A237">
        <f>RFI_Elements!B240</f>
        <v>3</v>
      </c>
      <c r="B237">
        <f>RFI_Elements!C240</f>
        <v>477</v>
      </c>
      <c r="C237">
        <v>1</v>
      </c>
      <c r="D237">
        <v>239</v>
      </c>
      <c r="E237" s="60">
        <v>43101</v>
      </c>
      <c r="F237">
        <f>VLOOKUP(VLOOKUP(B237,SuiteCatSubElem!$G$2:$H$666,2,0),'SA Q1 18 VR'!$A$33:$O$193,1+MATCH(VLOOKUP(A237,Vendors!$A$2:$B$15,2,0),'SA Q1 18 VR'!$B$24:$O$24,0),0)</f>
        <v>2</v>
      </c>
      <c r="G237" t="s">
        <v>50</v>
      </c>
      <c r="H237">
        <f>RFI_Elements!N240</f>
        <v>239</v>
      </c>
      <c r="J237" t="str">
        <f>VLOOKUP(B237,SuiteCatSubElem!$G$2:$H$666,2,0)</f>
        <v>Personalization</v>
      </c>
    </row>
    <row r="238" spans="1:10">
      <c r="A238">
        <f>RFI_Elements!B241</f>
        <v>3</v>
      </c>
      <c r="B238">
        <f>RFI_Elements!C241</f>
        <v>478</v>
      </c>
      <c r="C238">
        <v>1</v>
      </c>
      <c r="D238">
        <v>240</v>
      </c>
      <c r="E238" s="60">
        <v>43101</v>
      </c>
      <c r="F238">
        <f>VLOOKUP(VLOOKUP(B238,SuiteCatSubElem!$G$2:$H$666,2,0),'SA Q1 18 VR'!$A$33:$O$193,1+MATCH(VLOOKUP(A238,Vendors!$A$2:$B$15,2,0),'SA Q1 18 VR'!$B$24:$O$24,0),0)</f>
        <v>2</v>
      </c>
      <c r="G238" t="s">
        <v>50</v>
      </c>
      <c r="H238">
        <f>RFI_Elements!N241</f>
        <v>240</v>
      </c>
      <c r="J238" t="str">
        <f>VLOOKUP(B238,SuiteCatSubElem!$G$2:$H$666,2,0)</f>
        <v>Open Standards</v>
      </c>
    </row>
    <row r="239" spans="1:10">
      <c r="A239">
        <f>RFI_Elements!B242</f>
        <v>3</v>
      </c>
      <c r="B239">
        <f>RFI_Elements!C242</f>
        <v>479</v>
      </c>
      <c r="C239">
        <v>1</v>
      </c>
      <c r="D239">
        <v>241</v>
      </c>
      <c r="E239" s="60">
        <v>43101</v>
      </c>
      <c r="F239">
        <f>VLOOKUP(VLOOKUP(B239,SuiteCatSubElem!$G$2:$H$666,2,0),'SA Q1 18 VR'!$A$33:$O$193,1+MATCH(VLOOKUP(A239,Vendors!$A$2:$B$15,2,0),'SA Q1 18 VR'!$B$24:$O$24,0),0)</f>
        <v>3</v>
      </c>
      <c r="G239" t="s">
        <v>50</v>
      </c>
      <c r="H239">
        <f>RFI_Elements!N242</f>
        <v>241</v>
      </c>
      <c r="J239" t="str">
        <f>VLOOKUP(B239,SuiteCatSubElem!$G$2:$H$666,2,0)</f>
        <v>Integrations</v>
      </c>
    </row>
    <row r="240" spans="1:10">
      <c r="A240">
        <f>RFI_Elements!B243</f>
        <v>3</v>
      </c>
      <c r="B240">
        <f>RFI_Elements!C243</f>
        <v>480</v>
      </c>
      <c r="C240">
        <v>1</v>
      </c>
      <c r="D240">
        <v>242</v>
      </c>
      <c r="E240" s="60">
        <v>43101</v>
      </c>
      <c r="F240">
        <f>VLOOKUP(VLOOKUP(B240,SuiteCatSubElem!$G$2:$H$666,2,0),'SA Q1 18 VR'!$A$33:$O$193,1+MATCH(VLOOKUP(A240,Vendors!$A$2:$B$15,2,0),'SA Q1 18 VR'!$B$24:$O$24,0),0)</f>
        <v>3</v>
      </c>
      <c r="G240" t="s">
        <v>50</v>
      </c>
      <c r="H240">
        <f>RFI_Elements!N243</f>
        <v>242</v>
      </c>
      <c r="J240" t="str">
        <f>VLOOKUP(B240,SuiteCatSubElem!$G$2:$H$666,2,0)</f>
        <v>Fine-Grained Role/Data/Action Based Security</v>
      </c>
    </row>
    <row r="241" spans="1:10">
      <c r="A241">
        <f>RFI_Elements!B244</f>
        <v>3</v>
      </c>
      <c r="B241">
        <f>RFI_Elements!C244</f>
        <v>481</v>
      </c>
      <c r="C241">
        <v>1</v>
      </c>
      <c r="D241">
        <v>243</v>
      </c>
      <c r="E241" s="60">
        <v>43101</v>
      </c>
      <c r="F241">
        <f>VLOOKUP(VLOOKUP(B241,SuiteCatSubElem!$G$2:$H$666,2,0),'SA Q1 18 VR'!$A$33:$O$193,1+MATCH(VLOOKUP(A241,Vendors!$A$2:$B$15,2,0),'SA Q1 18 VR'!$B$24:$O$24,0),0)</f>
        <v>3</v>
      </c>
      <c r="G241" t="s">
        <v>50</v>
      </c>
      <c r="H241">
        <f>RFI_Elements!N244</f>
        <v>243</v>
      </c>
      <c r="J241" t="str">
        <f>VLOOKUP(B241,SuiteCatSubElem!$G$2:$H$666,2,0)</f>
        <v>Company/Function/Group Configuration</v>
      </c>
    </row>
    <row r="242" spans="1:10">
      <c r="A242">
        <f>RFI_Elements!B245</f>
        <v>3</v>
      </c>
      <c r="B242">
        <f>RFI_Elements!C245</f>
        <v>482</v>
      </c>
      <c r="C242">
        <v>1</v>
      </c>
      <c r="D242">
        <v>244</v>
      </c>
      <c r="E242" s="60">
        <v>43101</v>
      </c>
      <c r="F242">
        <f>VLOOKUP(VLOOKUP(B242,SuiteCatSubElem!$G$2:$H$666,2,0),'SA Q1 18 VR'!$A$33:$O$193,1+MATCH(VLOOKUP(A242,Vendors!$A$2:$B$15,2,0),'SA Q1 18 VR'!$B$24:$O$24,0),0)</f>
        <v>3</v>
      </c>
      <c r="G242" t="s">
        <v>50</v>
      </c>
      <c r="H242">
        <f>RFI_Elements!N245</f>
        <v>244</v>
      </c>
      <c r="J242" t="str">
        <f>VLOOKUP(B242,SuiteCatSubElem!$G$2:$H$666,2,0)</f>
        <v>Private vs. Public Workspaces</v>
      </c>
    </row>
    <row r="243" spans="1:10">
      <c r="A243">
        <f>RFI_Elements!B246</f>
        <v>3</v>
      </c>
      <c r="B243">
        <f>RFI_Elements!C246</f>
        <v>483</v>
      </c>
      <c r="C243">
        <v>1</v>
      </c>
      <c r="D243">
        <v>245</v>
      </c>
      <c r="E243" s="60">
        <v>43101</v>
      </c>
      <c r="F243">
        <f>VLOOKUP(VLOOKUP(B243,SuiteCatSubElem!$G$2:$H$666,2,0),'SA Q1 18 VR'!$A$33:$O$193,1+MATCH(VLOOKUP(A243,Vendors!$A$2:$B$15,2,0),'SA Q1 18 VR'!$B$24:$O$24,0),0)</f>
        <v>3</v>
      </c>
      <c r="G243" t="s">
        <v>50</v>
      </c>
      <c r="H243">
        <f>RFI_Elements!N246</f>
        <v>245</v>
      </c>
      <c r="J243" t="str">
        <f>VLOOKUP(B243,SuiteCatSubElem!$G$2:$H$666,2,0)</f>
        <v>Built in vs. External Visualization</v>
      </c>
    </row>
    <row r="244" spans="1:10">
      <c r="A244">
        <f>RFI_Elements!B247</f>
        <v>3</v>
      </c>
      <c r="B244">
        <f>RFI_Elements!C247</f>
        <v>484</v>
      </c>
      <c r="C244">
        <v>1</v>
      </c>
      <c r="D244">
        <v>246</v>
      </c>
      <c r="E244" s="60">
        <v>43101</v>
      </c>
      <c r="F244">
        <f>VLOOKUP(VLOOKUP(B244,SuiteCatSubElem!$G$2:$H$666,2,0),'SA Q1 18 VR'!$A$33:$O$193,1+MATCH(VLOOKUP(A244,Vendors!$A$2:$B$15,2,0),'SA Q1 18 VR'!$B$24:$O$24,0),0)</f>
        <v>3</v>
      </c>
      <c r="G244" t="s">
        <v>50</v>
      </c>
      <c r="H244">
        <f>RFI_Elements!N247</f>
        <v>246</v>
      </c>
      <c r="J244" t="str">
        <f>VLOOKUP(B244,SuiteCatSubElem!$G$2:$H$666,2,0)</f>
        <v>Business Rules / Workflow</v>
      </c>
    </row>
    <row r="245" spans="1:10">
      <c r="A245">
        <f>RFI_Elements!B248</f>
        <v>3</v>
      </c>
      <c r="B245">
        <f>RFI_Elements!C248</f>
        <v>485</v>
      </c>
      <c r="C245">
        <v>1</v>
      </c>
      <c r="D245">
        <v>247</v>
      </c>
      <c r="E245" s="60">
        <v>43101</v>
      </c>
      <c r="F245">
        <f>VLOOKUP(VLOOKUP(B245,SuiteCatSubElem!$G$2:$H$666,2,0),'SA Q1 18 VR'!$A$33:$O$193,1+MATCH(VLOOKUP(A245,Vendors!$A$2:$B$15,2,0),'SA Q1 18 VR'!$B$24:$O$24,0),0)</f>
        <v>3</v>
      </c>
      <c r="G245" t="s">
        <v>50</v>
      </c>
      <c r="H245">
        <f>RFI_Elements!N248</f>
        <v>247</v>
      </c>
      <c r="J245" t="str">
        <f>VLOOKUP(B245,SuiteCatSubElem!$G$2:$H$666,2,0)</f>
        <v>Globalization</v>
      </c>
    </row>
    <row r="246" spans="1:10">
      <c r="A246">
        <f>RFI_Elements!B249</f>
        <v>3</v>
      </c>
      <c r="B246">
        <f>RFI_Elements!C249</f>
        <v>486</v>
      </c>
      <c r="C246">
        <v>1</v>
      </c>
      <c r="D246">
        <v>248</v>
      </c>
      <c r="E246" s="60">
        <v>43101</v>
      </c>
      <c r="F246">
        <f>VLOOKUP(VLOOKUP(B246,SuiteCatSubElem!$G$2:$H$666,2,0),'SA Q1 18 VR'!$A$33:$O$193,1+MATCH(VLOOKUP(A246,Vendors!$A$2:$B$15,2,0),'SA Q1 18 VR'!$B$24:$O$24,0),0)</f>
        <v>3</v>
      </c>
      <c r="G246" t="s">
        <v>50</v>
      </c>
      <c r="H246">
        <f>RFI_Elements!N249</f>
        <v>248</v>
      </c>
      <c r="J246" t="str">
        <f>VLOOKUP(B246,SuiteCatSubElem!$G$2:$H$666,2,0)</f>
        <v>Multi-Currency</v>
      </c>
    </row>
    <row r="247" spans="1:10">
      <c r="A247">
        <f>RFI_Elements!B250</f>
        <v>3</v>
      </c>
      <c r="B247">
        <f>RFI_Elements!C250</f>
        <v>487</v>
      </c>
      <c r="C247">
        <v>1</v>
      </c>
      <c r="D247">
        <v>249</v>
      </c>
      <c r="E247" s="60">
        <v>43101</v>
      </c>
      <c r="F247">
        <f>VLOOKUP(VLOOKUP(B247,SuiteCatSubElem!$G$2:$H$666,2,0),'SA Q1 18 VR'!$A$33:$O$193,1+MATCH(VLOOKUP(A247,Vendors!$A$2:$B$15,2,0),'SA Q1 18 VR'!$B$24:$O$24,0),0)</f>
        <v>3</v>
      </c>
      <c r="G247" t="s">
        <v>50</v>
      </c>
      <c r="H247">
        <f>RFI_Elements!N250</f>
        <v>249</v>
      </c>
      <c r="J247" t="str">
        <f>VLOOKUP(B247,SuiteCatSubElem!$G$2:$H$666,2,0)</f>
        <v>Multi-Lingual</v>
      </c>
    </row>
    <row r="248" spans="1:10">
      <c r="A248">
        <f>RFI_Elements!B251</f>
        <v>3</v>
      </c>
      <c r="B248">
        <f>RFI_Elements!C251</f>
        <v>488</v>
      </c>
      <c r="C248">
        <v>1</v>
      </c>
      <c r="D248">
        <v>250</v>
      </c>
      <c r="E248" s="60">
        <v>43101</v>
      </c>
      <c r="F248">
        <f>VLOOKUP(VLOOKUP(B248,SuiteCatSubElem!$G$2:$H$666,2,0),'SA Q1 18 VR'!$A$33:$O$193,1+MATCH(VLOOKUP(A248,Vendors!$A$2:$B$15,2,0),'SA Q1 18 VR'!$B$24:$O$24,0),0)</f>
        <v>4</v>
      </c>
      <c r="G248" t="s">
        <v>50</v>
      </c>
      <c r="H248">
        <f>RFI_Elements!N251</f>
        <v>250</v>
      </c>
      <c r="J248" t="str">
        <f>VLOOKUP(B248,SuiteCatSubElem!$G$2:$H$666,2,0)</f>
        <v>Implementation / Integration / Maintenance Services</v>
      </c>
    </row>
    <row r="249" spans="1:10">
      <c r="A249">
        <f>RFI_Elements!B252</f>
        <v>3</v>
      </c>
      <c r="B249">
        <f>RFI_Elements!C252</f>
        <v>489</v>
      </c>
      <c r="C249">
        <v>1</v>
      </c>
      <c r="D249">
        <v>251</v>
      </c>
      <c r="E249" s="60">
        <v>43101</v>
      </c>
      <c r="F249">
        <f>VLOOKUP(VLOOKUP(B249,SuiteCatSubElem!$G$2:$H$666,2,0),'SA Q1 18 VR'!$A$33:$O$193,1+MATCH(VLOOKUP(A249,Vendors!$A$2:$B$15,2,0),'SA Q1 18 VR'!$B$24:$O$24,0),0)</f>
        <v>4</v>
      </c>
      <c r="G249" t="s">
        <v>50</v>
      </c>
      <c r="H249">
        <f>RFI_Elements!N252</f>
        <v>251</v>
      </c>
      <c r="J249" t="str">
        <f>VLOOKUP(B249,SuiteCatSubElem!$G$2:$H$666,2,0)</f>
        <v>ETL / Cleansing / Classification / Categorization</v>
      </c>
    </row>
    <row r="250" spans="1:10">
      <c r="A250">
        <f>RFI_Elements!B253</f>
        <v>3</v>
      </c>
      <c r="B250">
        <f>RFI_Elements!C253</f>
        <v>490</v>
      </c>
      <c r="C250">
        <v>1</v>
      </c>
      <c r="D250">
        <v>252</v>
      </c>
      <c r="E250" s="60">
        <v>43101</v>
      </c>
      <c r="F250">
        <f>VLOOKUP(VLOOKUP(B250,SuiteCatSubElem!$G$2:$H$666,2,0),'SA Q1 18 VR'!$A$33:$O$193,1+MATCH(VLOOKUP(A250,Vendors!$A$2:$B$15,2,0),'SA Q1 18 VR'!$B$24:$O$24,0),0)</f>
        <v>4</v>
      </c>
      <c r="G250" t="s">
        <v>50</v>
      </c>
      <c r="H250">
        <f>RFI_Elements!N253</f>
        <v>252</v>
      </c>
      <c r="J250" t="str">
        <f>VLOOKUP(B250,SuiteCatSubElem!$G$2:$H$666,2,0)</f>
        <v>Data Management Services</v>
      </c>
    </row>
    <row r="251" spans="1:10">
      <c r="A251">
        <f>RFI_Elements!B254</f>
        <v>3</v>
      </c>
      <c r="B251">
        <f>RFI_Elements!C254</f>
        <v>491</v>
      </c>
      <c r="C251">
        <v>1</v>
      </c>
      <c r="D251">
        <v>253</v>
      </c>
      <c r="E251" s="60">
        <v>43101</v>
      </c>
      <c r="F251">
        <f>VLOOKUP(VLOOKUP(B251,SuiteCatSubElem!$G$2:$H$666,2,0),'SA Q1 18 VR'!$A$33:$O$193,1+MATCH(VLOOKUP(A251,Vendors!$A$2:$B$15,2,0),'SA Q1 18 VR'!$B$24:$O$24,0),0)</f>
        <v>2</v>
      </c>
      <c r="G251" t="s">
        <v>50</v>
      </c>
      <c r="H251">
        <f>RFI_Elements!N254</f>
        <v>253</v>
      </c>
      <c r="J251" t="str">
        <f>VLOOKUP(B251,SuiteCatSubElem!$G$2:$H$666,2,0)</f>
        <v>Analytics / Data Science</v>
      </c>
    </row>
    <row r="252" spans="1:10">
      <c r="A252">
        <f>RFI_Elements!B255</f>
        <v>3</v>
      </c>
      <c r="B252">
        <f>RFI_Elements!C255</f>
        <v>492</v>
      </c>
      <c r="C252">
        <v>1</v>
      </c>
      <c r="D252">
        <v>254</v>
      </c>
      <c r="E252" s="60">
        <v>43101</v>
      </c>
      <c r="F252">
        <f>VLOOKUP(VLOOKUP(B252,SuiteCatSubElem!$G$2:$H$666,2,0),'SA Q1 18 VR'!$A$33:$O$193,1+MATCH(VLOOKUP(A252,Vendors!$A$2:$B$15,2,0),'SA Q1 18 VR'!$B$24:$O$24,0),0)</f>
        <v>5</v>
      </c>
      <c r="G252" t="s">
        <v>50</v>
      </c>
      <c r="H252">
        <f>RFI_Elements!N255</f>
        <v>254</v>
      </c>
      <c r="J252" t="str">
        <f>VLOOKUP(B252,SuiteCatSubElem!$G$2:$H$666,2,0)</f>
        <v>Category / Project Management</v>
      </c>
    </row>
    <row r="253" spans="1:10">
      <c r="A253">
        <f>RFI_Elements!B256</f>
        <v>3</v>
      </c>
      <c r="B253">
        <f>RFI_Elements!C256</f>
        <v>493</v>
      </c>
      <c r="C253">
        <v>1</v>
      </c>
      <c r="D253">
        <v>255</v>
      </c>
      <c r="E253" s="60">
        <v>43101</v>
      </c>
      <c r="F253">
        <f>VLOOKUP(VLOOKUP(B253,SuiteCatSubElem!$G$2:$H$666,2,0),'SA Q1 18 VR'!$A$33:$O$193,1+MATCH(VLOOKUP(A253,Vendors!$A$2:$B$15,2,0),'SA Q1 18 VR'!$B$24:$O$24,0),0)</f>
        <v>4</v>
      </c>
      <c r="G253" t="s">
        <v>50</v>
      </c>
      <c r="H253">
        <f>RFI_Elements!N256</f>
        <v>255</v>
      </c>
      <c r="J253" t="str">
        <f>VLOOKUP(B253,SuiteCatSubElem!$G$2:$H$666,2,0)</f>
        <v>Consulting / Change Management</v>
      </c>
    </row>
    <row r="254" spans="1:10">
      <c r="E254" s="60"/>
    </row>
    <row r="255" spans="1:10">
      <c r="E255" s="60"/>
    </row>
    <row r="256" spans="1:10">
      <c r="E256" s="60"/>
    </row>
    <row r="257" spans="5:5">
      <c r="E257" s="60"/>
    </row>
    <row r="258" spans="5:5">
      <c r="E258" s="60"/>
    </row>
    <row r="259" spans="5:5">
      <c r="E259" s="60"/>
    </row>
    <row r="260" spans="5:5">
      <c r="E260" s="60"/>
    </row>
    <row r="261" spans="5:5">
      <c r="E261" s="60"/>
    </row>
    <row r="262" spans="5:5">
      <c r="E262" s="60"/>
    </row>
    <row r="263" spans="5:5">
      <c r="E263" s="60"/>
    </row>
    <row r="264" spans="5:5">
      <c r="E264" s="60"/>
    </row>
    <row r="265" spans="5:5">
      <c r="E265" s="60"/>
    </row>
    <row r="266" spans="5:5">
      <c r="E266" s="60"/>
    </row>
    <row r="267" spans="5:5">
      <c r="E267" s="60"/>
    </row>
    <row r="268" spans="5:5">
      <c r="E268" s="60"/>
    </row>
    <row r="269" spans="5:5">
      <c r="E269" s="60"/>
    </row>
    <row r="270" spans="5:5">
      <c r="E270" s="60"/>
    </row>
    <row r="271" spans="5:5">
      <c r="E271" s="60"/>
    </row>
    <row r="272" spans="5:5">
      <c r="E272" s="60"/>
    </row>
    <row r="273" spans="5:5">
      <c r="E273" s="60"/>
    </row>
    <row r="274" spans="5:5">
      <c r="E274" s="60"/>
    </row>
    <row r="275" spans="5:5">
      <c r="E275" s="60"/>
    </row>
    <row r="276" spans="5:5">
      <c r="E276" s="60"/>
    </row>
    <row r="277" spans="5:5">
      <c r="E277" s="60"/>
    </row>
    <row r="278" spans="5:5">
      <c r="E278" s="60"/>
    </row>
    <row r="279" spans="5:5">
      <c r="E279" s="60"/>
    </row>
    <row r="280" spans="5:5">
      <c r="E280" s="60"/>
    </row>
    <row r="281" spans="5:5">
      <c r="E281" s="60"/>
    </row>
    <row r="282" spans="5:5">
      <c r="E282" s="60"/>
    </row>
    <row r="283" spans="5:5">
      <c r="E283" s="60"/>
    </row>
    <row r="284" spans="5:5">
      <c r="E284" s="60"/>
    </row>
    <row r="285" spans="5:5">
      <c r="E285" s="60"/>
    </row>
    <row r="286" spans="5:5">
      <c r="E286" s="60"/>
    </row>
    <row r="287" spans="5:5">
      <c r="E287" s="60"/>
    </row>
    <row r="288" spans="5:5">
      <c r="E288" s="60"/>
    </row>
    <row r="289" spans="5:5">
      <c r="E289" s="60"/>
    </row>
    <row r="290" spans="5:5">
      <c r="E290" s="60"/>
    </row>
    <row r="291" spans="5:5">
      <c r="E291" s="60"/>
    </row>
    <row r="292" spans="5:5">
      <c r="E292" s="60"/>
    </row>
    <row r="293" spans="5:5">
      <c r="E293" s="60"/>
    </row>
    <row r="294" spans="5:5">
      <c r="E294" s="60"/>
    </row>
    <row r="295" spans="5:5">
      <c r="E295" s="60"/>
    </row>
    <row r="296" spans="5:5">
      <c r="E296" s="60"/>
    </row>
    <row r="297" spans="5:5">
      <c r="E297" s="60"/>
    </row>
    <row r="298" spans="5:5">
      <c r="E298" s="60"/>
    </row>
    <row r="299" spans="5:5">
      <c r="E299" s="60"/>
    </row>
    <row r="300" spans="5:5">
      <c r="E300" s="60"/>
    </row>
    <row r="301" spans="5:5">
      <c r="E301" s="60"/>
    </row>
    <row r="302" spans="5:5">
      <c r="E302" s="60"/>
    </row>
    <row r="303" spans="5:5">
      <c r="E303" s="60"/>
    </row>
    <row r="304" spans="5:5">
      <c r="E304" s="60"/>
    </row>
    <row r="305" spans="5:5">
      <c r="E305" s="60"/>
    </row>
    <row r="306" spans="5:5">
      <c r="E306" s="60"/>
    </row>
    <row r="307" spans="5:5">
      <c r="E307" s="60"/>
    </row>
    <row r="308" spans="5:5">
      <c r="E308" s="60"/>
    </row>
    <row r="309" spans="5:5">
      <c r="E309" s="60"/>
    </row>
    <row r="310" spans="5:5">
      <c r="E310" s="60"/>
    </row>
    <row r="311" spans="5:5">
      <c r="E311" s="60"/>
    </row>
    <row r="312" spans="5:5">
      <c r="E312" s="60"/>
    </row>
    <row r="313" spans="5:5">
      <c r="E313" s="60"/>
    </row>
    <row r="314" spans="5:5">
      <c r="E314" s="60"/>
    </row>
    <row r="315" spans="5:5">
      <c r="E315" s="60"/>
    </row>
    <row r="316" spans="5:5">
      <c r="E316" s="60"/>
    </row>
    <row r="317" spans="5:5">
      <c r="E317" s="60"/>
    </row>
    <row r="318" spans="5:5">
      <c r="E318" s="60"/>
    </row>
    <row r="319" spans="5:5">
      <c r="E319" s="60"/>
    </row>
    <row r="320" spans="5:5">
      <c r="E320" s="60"/>
    </row>
    <row r="321" spans="5:5">
      <c r="E321" s="60"/>
    </row>
    <row r="322" spans="5:5">
      <c r="E322" s="60"/>
    </row>
    <row r="323" spans="5:5">
      <c r="E323" s="60"/>
    </row>
    <row r="324" spans="5:5">
      <c r="E324" s="60"/>
    </row>
    <row r="325" spans="5:5">
      <c r="E325" s="60"/>
    </row>
    <row r="326" spans="5:5">
      <c r="E326" s="60"/>
    </row>
    <row r="327" spans="5:5">
      <c r="E327" s="6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5D752-A943-5C48-A7C3-6127274EEA23}">
  <sheetPr codeName="Sheet23"/>
  <dimension ref="A1:I421"/>
  <sheetViews>
    <sheetView workbookViewId="0"/>
  </sheetViews>
  <sheetFormatPr baseColWidth="10" defaultRowHeight="16"/>
  <cols>
    <col min="5" max="5" width="11.83203125" bestFit="1" customWidth="1"/>
    <col min="7" max="7" width="15.83203125" bestFit="1" customWidth="1"/>
  </cols>
  <sheetData>
    <row r="1" spans="1:9">
      <c r="A1" t="s">
        <v>1292</v>
      </c>
      <c r="B1" t="s">
        <v>535</v>
      </c>
      <c r="C1" t="s">
        <v>537</v>
      </c>
      <c r="D1" t="s">
        <v>541</v>
      </c>
      <c r="E1" t="s">
        <v>1293</v>
      </c>
      <c r="F1" t="s">
        <v>1294</v>
      </c>
      <c r="G1" t="s">
        <v>1295</v>
      </c>
      <c r="H1" t="s">
        <v>540</v>
      </c>
      <c r="I1" t="s">
        <v>1273</v>
      </c>
    </row>
    <row r="2" spans="1:9">
      <c r="A2">
        <v>1</v>
      </c>
      <c r="B2">
        <v>409</v>
      </c>
      <c r="C2">
        <v>1</v>
      </c>
      <c r="D2" s="60">
        <v>43101</v>
      </c>
      <c r="E2" s="30">
        <f>VLOOKUP(VLOOKUP(B2,SuiteCatSubElem!$G$2:$H$666,2,0),'SA Q1 18 W'!$A$33:$F$193,1+MATCH(VLOOKUP(A2,Personas!$A$2:$B$6,2,0),'SA Q1 18 W'!$B$4:$F$4,0),0)</f>
        <v>0.6</v>
      </c>
      <c r="F2">
        <v>1</v>
      </c>
      <c r="H2" t="s">
        <v>50</v>
      </c>
      <c r="I2">
        <v>8</v>
      </c>
    </row>
    <row r="3" spans="1:9">
      <c r="A3">
        <v>1</v>
      </c>
      <c r="B3">
        <v>410</v>
      </c>
      <c r="C3">
        <v>1</v>
      </c>
      <c r="D3" s="60">
        <v>43101</v>
      </c>
      <c r="E3" s="30">
        <f>VLOOKUP(VLOOKUP(B3,SuiteCatSubElem!$G$2:$H$666,2,0),'SA Q1 18 W'!$A$33:$F$193,1+MATCH(VLOOKUP(A3,Personas!$A$2:$B$6,2,0),'SA Q1 18 W'!$B$4:$F$4,0),0)</f>
        <v>0.6</v>
      </c>
      <c r="F3">
        <v>1</v>
      </c>
      <c r="H3" t="s">
        <v>50</v>
      </c>
      <c r="I3">
        <v>8</v>
      </c>
    </row>
    <row r="4" spans="1:9">
      <c r="A4">
        <v>1</v>
      </c>
      <c r="B4">
        <v>411</v>
      </c>
      <c r="C4">
        <v>1</v>
      </c>
      <c r="D4" s="60">
        <v>43101</v>
      </c>
      <c r="E4" s="30">
        <f>VLOOKUP(VLOOKUP(B4,SuiteCatSubElem!$G$2:$H$666,2,0),'SA Q1 18 W'!$A$33:$F$193,1+MATCH(VLOOKUP(A4,Personas!$A$2:$B$6,2,0),'SA Q1 18 W'!$B$4:$F$4,0),0)</f>
        <v>0</v>
      </c>
      <c r="F4">
        <v>1</v>
      </c>
      <c r="H4" t="s">
        <v>50</v>
      </c>
      <c r="I4">
        <v>8</v>
      </c>
    </row>
    <row r="5" spans="1:9">
      <c r="A5">
        <v>1</v>
      </c>
      <c r="B5">
        <v>412</v>
      </c>
      <c r="C5">
        <v>1</v>
      </c>
      <c r="D5" s="60">
        <v>43101</v>
      </c>
      <c r="E5" s="30">
        <f>VLOOKUP(VLOOKUP(B5,SuiteCatSubElem!$G$2:$H$666,2,0),'SA Q1 18 W'!$A$33:$F$193,1+MATCH(VLOOKUP(A5,Personas!$A$2:$B$6,2,0),'SA Q1 18 W'!$B$4:$F$4,0),0)</f>
        <v>0.1</v>
      </c>
      <c r="F5">
        <v>1</v>
      </c>
      <c r="H5" t="s">
        <v>50</v>
      </c>
      <c r="I5">
        <v>8</v>
      </c>
    </row>
    <row r="6" spans="1:9">
      <c r="A6">
        <v>1</v>
      </c>
      <c r="B6">
        <v>413</v>
      </c>
      <c r="C6">
        <v>1</v>
      </c>
      <c r="D6" s="60">
        <v>43101</v>
      </c>
      <c r="E6" s="30">
        <f>VLOOKUP(VLOOKUP(B6,SuiteCatSubElem!$G$2:$H$666,2,0),'SA Q1 18 W'!$A$33:$F$193,1+MATCH(VLOOKUP(A6,Personas!$A$2:$B$6,2,0),'SA Q1 18 W'!$B$4:$F$4,0),0)</f>
        <v>0.7</v>
      </c>
      <c r="F6">
        <v>1</v>
      </c>
      <c r="H6" t="s">
        <v>50</v>
      </c>
      <c r="I6">
        <v>8</v>
      </c>
    </row>
    <row r="7" spans="1:9">
      <c r="A7">
        <v>1</v>
      </c>
      <c r="B7">
        <v>414</v>
      </c>
      <c r="C7">
        <v>1</v>
      </c>
      <c r="D7" s="60">
        <v>43101</v>
      </c>
      <c r="E7" s="30">
        <f>VLOOKUP(VLOOKUP(B7,SuiteCatSubElem!$G$2:$H$666,2,0),'SA Q1 18 W'!$A$33:$F$193,1+MATCH(VLOOKUP(A7,Personas!$A$2:$B$6,2,0),'SA Q1 18 W'!$B$4:$F$4,0),0)</f>
        <v>0.6</v>
      </c>
      <c r="F7">
        <v>1</v>
      </c>
      <c r="H7" t="s">
        <v>50</v>
      </c>
      <c r="I7">
        <v>8</v>
      </c>
    </row>
    <row r="8" spans="1:9">
      <c r="A8">
        <v>1</v>
      </c>
      <c r="B8">
        <v>415</v>
      </c>
      <c r="C8">
        <v>1</v>
      </c>
      <c r="D8" s="60">
        <v>43101</v>
      </c>
      <c r="E8" s="30">
        <f>VLOOKUP(VLOOKUP(B8,SuiteCatSubElem!$G$2:$H$666,2,0),'SA Q1 18 W'!$A$33:$F$193,1+MATCH(VLOOKUP(A8,Personas!$A$2:$B$6,2,0),'SA Q1 18 W'!$B$4:$F$4,0),0)</f>
        <v>0.2</v>
      </c>
      <c r="F8">
        <v>1</v>
      </c>
      <c r="H8" t="s">
        <v>50</v>
      </c>
      <c r="I8">
        <v>8</v>
      </c>
    </row>
    <row r="9" spans="1:9">
      <c r="A9">
        <v>1</v>
      </c>
      <c r="B9">
        <v>416</v>
      </c>
      <c r="C9">
        <v>1</v>
      </c>
      <c r="D9" s="60">
        <v>43101</v>
      </c>
      <c r="E9" s="30">
        <f>VLOOKUP(VLOOKUP(B9,SuiteCatSubElem!$G$2:$H$666,2,0),'SA Q1 18 W'!$A$33:$F$193,1+MATCH(VLOOKUP(A9,Personas!$A$2:$B$6,2,0),'SA Q1 18 W'!$B$4:$F$4,0),0)</f>
        <v>0.2</v>
      </c>
      <c r="F9">
        <v>1</v>
      </c>
      <c r="H9" t="s">
        <v>50</v>
      </c>
      <c r="I9">
        <v>8</v>
      </c>
    </row>
    <row r="10" spans="1:9">
      <c r="A10">
        <v>1</v>
      </c>
      <c r="B10">
        <v>417</v>
      </c>
      <c r="C10">
        <v>1</v>
      </c>
      <c r="D10" s="60">
        <v>43101</v>
      </c>
      <c r="E10" s="30">
        <f>VLOOKUP(VLOOKUP(B10,SuiteCatSubElem!$G$2:$H$666,2,0),'SA Q1 18 W'!$A$33:$F$193,1+MATCH(VLOOKUP(A10,Personas!$A$2:$B$6,2,0),'SA Q1 18 W'!$B$4:$F$4,0),0)</f>
        <v>0.8</v>
      </c>
      <c r="F10">
        <v>1</v>
      </c>
      <c r="H10" t="s">
        <v>50</v>
      </c>
      <c r="I10">
        <v>8</v>
      </c>
    </row>
    <row r="11" spans="1:9">
      <c r="A11">
        <v>1</v>
      </c>
      <c r="B11">
        <v>418</v>
      </c>
      <c r="C11">
        <v>1</v>
      </c>
      <c r="D11" s="60">
        <v>43101</v>
      </c>
      <c r="E11" s="30">
        <f>VLOOKUP(VLOOKUP(B11,SuiteCatSubElem!$G$2:$H$666,2,0),'SA Q1 18 W'!$A$33:$F$193,1+MATCH(VLOOKUP(A11,Personas!$A$2:$B$6,2,0),'SA Q1 18 W'!$B$4:$F$4,0),0)</f>
        <v>0</v>
      </c>
      <c r="F11">
        <v>1</v>
      </c>
      <c r="H11" t="s">
        <v>50</v>
      </c>
      <c r="I11">
        <v>8</v>
      </c>
    </row>
    <row r="12" spans="1:9">
      <c r="A12">
        <v>1</v>
      </c>
      <c r="B12">
        <v>419</v>
      </c>
      <c r="C12">
        <v>1</v>
      </c>
      <c r="D12" s="60">
        <v>43101</v>
      </c>
      <c r="E12" s="30">
        <f>VLOOKUP(VLOOKUP(B12,SuiteCatSubElem!$G$2:$H$666,2,0),'SA Q1 18 W'!$A$33:$F$193,1+MATCH(VLOOKUP(A12,Personas!$A$2:$B$6,2,0),'SA Q1 18 W'!$B$4:$F$4,0),0)</f>
        <v>0.6</v>
      </c>
      <c r="F12">
        <v>1</v>
      </c>
      <c r="H12" t="s">
        <v>50</v>
      </c>
      <c r="I12">
        <v>8</v>
      </c>
    </row>
    <row r="13" spans="1:9">
      <c r="A13">
        <v>1</v>
      </c>
      <c r="B13">
        <v>420</v>
      </c>
      <c r="C13">
        <v>1</v>
      </c>
      <c r="D13" s="60">
        <v>43101</v>
      </c>
      <c r="E13" s="30">
        <f>VLOOKUP(VLOOKUP(B13,SuiteCatSubElem!$G$2:$H$666,2,0),'SA Q1 18 W'!$A$33:$F$193,1+MATCH(VLOOKUP(A13,Personas!$A$2:$B$6,2,0),'SA Q1 18 W'!$B$4:$F$4,0),0)</f>
        <v>0.5</v>
      </c>
      <c r="F13">
        <v>1</v>
      </c>
      <c r="H13" t="s">
        <v>50</v>
      </c>
      <c r="I13">
        <v>8</v>
      </c>
    </row>
    <row r="14" spans="1:9">
      <c r="A14">
        <v>1</v>
      </c>
      <c r="B14">
        <v>421</v>
      </c>
      <c r="C14">
        <v>1</v>
      </c>
      <c r="D14" s="60">
        <v>43101</v>
      </c>
      <c r="E14" s="30">
        <f>VLOOKUP(VLOOKUP(B14,SuiteCatSubElem!$G$2:$H$666,2,0),'SA Q1 18 W'!$A$33:$F$193,1+MATCH(VLOOKUP(A14,Personas!$A$2:$B$6,2,0),'SA Q1 18 W'!$B$4:$F$4,0),0)</f>
        <v>0.3</v>
      </c>
      <c r="F14">
        <v>1</v>
      </c>
      <c r="H14" t="s">
        <v>50</v>
      </c>
      <c r="I14">
        <v>8</v>
      </c>
    </row>
    <row r="15" spans="1:9">
      <c r="A15">
        <v>1</v>
      </c>
      <c r="B15">
        <v>422</v>
      </c>
      <c r="C15">
        <v>1</v>
      </c>
      <c r="D15" s="60">
        <v>43101</v>
      </c>
      <c r="E15" s="30">
        <f>VLOOKUP(VLOOKUP(B15,SuiteCatSubElem!$G$2:$H$666,2,0),'SA Q1 18 W'!$A$33:$F$193,1+MATCH(VLOOKUP(A15,Personas!$A$2:$B$6,2,0),'SA Q1 18 W'!$B$4:$F$4,0),0)</f>
        <v>0.6</v>
      </c>
      <c r="F15">
        <v>1</v>
      </c>
      <c r="H15" t="s">
        <v>50</v>
      </c>
      <c r="I15">
        <v>8</v>
      </c>
    </row>
    <row r="16" spans="1:9">
      <c r="A16">
        <v>1</v>
      </c>
      <c r="B16">
        <v>423</v>
      </c>
      <c r="C16">
        <v>1</v>
      </c>
      <c r="D16" s="60">
        <v>43101</v>
      </c>
      <c r="E16" s="30">
        <f>VLOOKUP(VLOOKUP(B16,SuiteCatSubElem!$G$2:$H$666,2,0),'SA Q1 18 W'!$A$33:$F$193,1+MATCH(VLOOKUP(A16,Personas!$A$2:$B$6,2,0),'SA Q1 18 W'!$B$4:$F$4,0),0)</f>
        <v>0.7</v>
      </c>
      <c r="F16">
        <v>1</v>
      </c>
      <c r="H16" t="s">
        <v>50</v>
      </c>
      <c r="I16">
        <v>8</v>
      </c>
    </row>
    <row r="17" spans="1:9">
      <c r="A17">
        <v>1</v>
      </c>
      <c r="B17">
        <v>424</v>
      </c>
      <c r="C17">
        <v>1</v>
      </c>
      <c r="D17" s="60">
        <v>43101</v>
      </c>
      <c r="E17" s="30">
        <f>VLOOKUP(VLOOKUP(B17,SuiteCatSubElem!$G$2:$H$666,2,0),'SA Q1 18 W'!$A$33:$F$193,1+MATCH(VLOOKUP(A17,Personas!$A$2:$B$6,2,0),'SA Q1 18 W'!$B$4:$F$4,0),0)</f>
        <v>0.3</v>
      </c>
      <c r="F17">
        <v>1</v>
      </c>
      <c r="H17" t="s">
        <v>50</v>
      </c>
      <c r="I17">
        <v>8</v>
      </c>
    </row>
    <row r="18" spans="1:9">
      <c r="A18">
        <v>1</v>
      </c>
      <c r="B18">
        <v>425</v>
      </c>
      <c r="C18">
        <v>1</v>
      </c>
      <c r="D18" s="60">
        <v>43101</v>
      </c>
      <c r="E18" s="30">
        <f>VLOOKUP(VLOOKUP(B18,SuiteCatSubElem!$G$2:$H$666,2,0),'SA Q1 18 W'!$A$33:$F$193,1+MATCH(VLOOKUP(A18,Personas!$A$2:$B$6,2,0),'SA Q1 18 W'!$B$4:$F$4,0),0)</f>
        <v>0.7</v>
      </c>
      <c r="F18">
        <v>1</v>
      </c>
      <c r="H18" t="s">
        <v>50</v>
      </c>
      <c r="I18">
        <v>8</v>
      </c>
    </row>
    <row r="19" spans="1:9">
      <c r="A19">
        <v>1</v>
      </c>
      <c r="B19">
        <v>426</v>
      </c>
      <c r="C19">
        <v>1</v>
      </c>
      <c r="D19" s="60">
        <v>43101</v>
      </c>
      <c r="E19" s="30">
        <f>VLOOKUP(VLOOKUP(B19,SuiteCatSubElem!$G$2:$H$666,2,0),'SA Q1 18 W'!$A$33:$F$193,1+MATCH(VLOOKUP(A19,Personas!$A$2:$B$6,2,0),'SA Q1 18 W'!$B$4:$F$4,0),0)</f>
        <v>0.5</v>
      </c>
      <c r="F19">
        <v>1</v>
      </c>
      <c r="H19" t="s">
        <v>50</v>
      </c>
      <c r="I19">
        <v>8</v>
      </c>
    </row>
    <row r="20" spans="1:9">
      <c r="A20">
        <v>1</v>
      </c>
      <c r="B20">
        <v>427</v>
      </c>
      <c r="C20">
        <v>1</v>
      </c>
      <c r="D20" s="60">
        <v>43101</v>
      </c>
      <c r="E20" s="30">
        <f>VLOOKUP(VLOOKUP(B20,SuiteCatSubElem!$G$2:$H$666,2,0),'SA Q1 18 W'!$A$33:$F$193,1+MATCH(VLOOKUP(A20,Personas!$A$2:$B$6,2,0),'SA Q1 18 W'!$B$4:$F$4,0),0)</f>
        <v>0.3</v>
      </c>
      <c r="F20">
        <v>1</v>
      </c>
      <c r="H20" t="s">
        <v>50</v>
      </c>
      <c r="I20">
        <v>8</v>
      </c>
    </row>
    <row r="21" spans="1:9">
      <c r="A21">
        <v>1</v>
      </c>
      <c r="B21">
        <v>428</v>
      </c>
      <c r="C21">
        <v>1</v>
      </c>
      <c r="D21" s="60">
        <v>43101</v>
      </c>
      <c r="E21" s="30">
        <f>VLOOKUP(VLOOKUP(B21,SuiteCatSubElem!$G$2:$H$666,2,0),'SA Q1 18 W'!$A$33:$F$193,1+MATCH(VLOOKUP(A21,Personas!$A$2:$B$6,2,0),'SA Q1 18 W'!$B$4:$F$4,0),0)</f>
        <v>0.4</v>
      </c>
      <c r="F21">
        <v>1</v>
      </c>
      <c r="H21" t="s">
        <v>50</v>
      </c>
      <c r="I21">
        <v>8</v>
      </c>
    </row>
    <row r="22" spans="1:9">
      <c r="A22">
        <v>1</v>
      </c>
      <c r="B22">
        <v>429</v>
      </c>
      <c r="C22">
        <v>1</v>
      </c>
      <c r="D22" s="60">
        <v>43101</v>
      </c>
      <c r="E22" s="30">
        <f>VLOOKUP(VLOOKUP(B22,SuiteCatSubElem!$G$2:$H$666,2,0),'SA Q1 18 W'!$A$33:$F$193,1+MATCH(VLOOKUP(A22,Personas!$A$2:$B$6,2,0),'SA Q1 18 W'!$B$4:$F$4,0),0)</f>
        <v>0.6</v>
      </c>
      <c r="F22">
        <v>1</v>
      </c>
      <c r="H22" t="s">
        <v>50</v>
      </c>
      <c r="I22">
        <v>8</v>
      </c>
    </row>
    <row r="23" spans="1:9">
      <c r="A23">
        <v>1</v>
      </c>
      <c r="B23">
        <v>430</v>
      </c>
      <c r="C23">
        <v>1</v>
      </c>
      <c r="D23" s="60">
        <v>43101</v>
      </c>
      <c r="E23" s="30">
        <f>VLOOKUP(VLOOKUP(B23,SuiteCatSubElem!$G$2:$H$666,2,0),'SA Q1 18 W'!$A$33:$F$193,1+MATCH(VLOOKUP(A23,Personas!$A$2:$B$6,2,0),'SA Q1 18 W'!$B$4:$F$4,0),0)</f>
        <v>0.6</v>
      </c>
      <c r="F23">
        <v>1</v>
      </c>
      <c r="H23" t="s">
        <v>50</v>
      </c>
      <c r="I23">
        <v>8</v>
      </c>
    </row>
    <row r="24" spans="1:9">
      <c r="A24">
        <v>1</v>
      </c>
      <c r="B24">
        <v>431</v>
      </c>
      <c r="C24">
        <v>1</v>
      </c>
      <c r="D24" s="60">
        <v>43101</v>
      </c>
      <c r="E24" s="30">
        <f>VLOOKUP(VLOOKUP(B24,SuiteCatSubElem!$G$2:$H$666,2,0),'SA Q1 18 W'!$A$33:$F$193,1+MATCH(VLOOKUP(A24,Personas!$A$2:$B$6,2,0),'SA Q1 18 W'!$B$4:$F$4,0),0)</f>
        <v>0.4</v>
      </c>
      <c r="F24">
        <v>1</v>
      </c>
      <c r="H24" t="s">
        <v>50</v>
      </c>
      <c r="I24">
        <v>8</v>
      </c>
    </row>
    <row r="25" spans="1:9">
      <c r="A25">
        <v>1</v>
      </c>
      <c r="B25">
        <v>432</v>
      </c>
      <c r="C25">
        <v>1</v>
      </c>
      <c r="D25" s="60">
        <v>43101</v>
      </c>
      <c r="E25" s="30">
        <f>VLOOKUP(VLOOKUP(B25,SuiteCatSubElem!$G$2:$H$666,2,0),'SA Q1 18 W'!$A$33:$F$193,1+MATCH(VLOOKUP(A25,Personas!$A$2:$B$6,2,0),'SA Q1 18 W'!$B$4:$F$4,0),0)</f>
        <v>0.5</v>
      </c>
      <c r="F25">
        <v>1</v>
      </c>
      <c r="H25" t="s">
        <v>50</v>
      </c>
      <c r="I25">
        <v>8</v>
      </c>
    </row>
    <row r="26" spans="1:9">
      <c r="A26">
        <v>1</v>
      </c>
      <c r="B26">
        <v>433</v>
      </c>
      <c r="C26">
        <v>1</v>
      </c>
      <c r="D26" s="60">
        <v>43101</v>
      </c>
      <c r="E26" s="30">
        <f>VLOOKUP(VLOOKUP(B26,SuiteCatSubElem!$G$2:$H$666,2,0),'SA Q1 18 W'!$A$33:$F$193,1+MATCH(VLOOKUP(A26,Personas!$A$2:$B$6,2,0),'SA Q1 18 W'!$B$4:$F$4,0),0)</f>
        <v>0.3</v>
      </c>
      <c r="F26">
        <v>1</v>
      </c>
      <c r="H26" t="s">
        <v>50</v>
      </c>
      <c r="I26">
        <v>8</v>
      </c>
    </row>
    <row r="27" spans="1:9">
      <c r="A27">
        <v>1</v>
      </c>
      <c r="B27">
        <v>434</v>
      </c>
      <c r="C27">
        <v>1</v>
      </c>
      <c r="D27" s="60">
        <v>43101</v>
      </c>
      <c r="E27" s="30">
        <f>VLOOKUP(VLOOKUP(B27,SuiteCatSubElem!$G$2:$H$666,2,0),'SA Q1 18 W'!$A$33:$F$193,1+MATCH(VLOOKUP(A27,Personas!$A$2:$B$6,2,0),'SA Q1 18 W'!$B$4:$F$4,0),0)</f>
        <v>0.2</v>
      </c>
      <c r="F27">
        <v>1</v>
      </c>
      <c r="H27" t="s">
        <v>50</v>
      </c>
      <c r="I27">
        <v>8</v>
      </c>
    </row>
    <row r="28" spans="1:9">
      <c r="A28">
        <v>1</v>
      </c>
      <c r="B28">
        <v>435</v>
      </c>
      <c r="C28">
        <v>1</v>
      </c>
      <c r="D28" s="60">
        <v>43101</v>
      </c>
      <c r="E28" s="30">
        <f>VLOOKUP(VLOOKUP(B28,SuiteCatSubElem!$G$2:$H$666,2,0),'SA Q1 18 W'!$A$33:$F$193,1+MATCH(VLOOKUP(A28,Personas!$A$2:$B$6,2,0),'SA Q1 18 W'!$B$4:$F$4,0),0)</f>
        <v>0.2</v>
      </c>
      <c r="F28">
        <v>1</v>
      </c>
      <c r="H28" t="s">
        <v>50</v>
      </c>
      <c r="I28">
        <v>8</v>
      </c>
    </row>
    <row r="29" spans="1:9">
      <c r="A29">
        <v>1</v>
      </c>
      <c r="B29">
        <v>436</v>
      </c>
      <c r="C29">
        <v>1</v>
      </c>
      <c r="D29" s="60">
        <v>43101</v>
      </c>
      <c r="E29" s="30">
        <f>VLOOKUP(VLOOKUP(B29,SuiteCatSubElem!$G$2:$H$666,2,0),'SA Q1 18 W'!$A$33:$F$193,1+MATCH(VLOOKUP(A29,Personas!$A$2:$B$6,2,0),'SA Q1 18 W'!$B$4:$F$4,0),0)</f>
        <v>0.7</v>
      </c>
      <c r="F29">
        <v>1</v>
      </c>
      <c r="H29" t="s">
        <v>50</v>
      </c>
      <c r="I29">
        <v>8</v>
      </c>
    </row>
    <row r="30" spans="1:9">
      <c r="A30">
        <v>1</v>
      </c>
      <c r="B30">
        <v>437</v>
      </c>
      <c r="C30">
        <v>1</v>
      </c>
      <c r="D30" s="60">
        <v>43101</v>
      </c>
      <c r="E30" s="30">
        <f>VLOOKUP(VLOOKUP(B30,SuiteCatSubElem!$G$2:$H$666,2,0),'SA Q1 18 W'!$A$33:$F$193,1+MATCH(VLOOKUP(A30,Personas!$A$2:$B$6,2,0),'SA Q1 18 W'!$B$4:$F$4,0),0)</f>
        <v>0.5</v>
      </c>
      <c r="F30">
        <v>1</v>
      </c>
      <c r="H30" t="s">
        <v>50</v>
      </c>
      <c r="I30">
        <v>8</v>
      </c>
    </row>
    <row r="31" spans="1:9">
      <c r="A31">
        <v>1</v>
      </c>
      <c r="B31">
        <v>438</v>
      </c>
      <c r="C31">
        <v>1</v>
      </c>
      <c r="D31" s="60">
        <v>43101</v>
      </c>
      <c r="E31" s="30">
        <f>VLOOKUP(VLOOKUP(B31,SuiteCatSubElem!$G$2:$H$666,2,0),'SA Q1 18 W'!$A$33:$F$193,1+MATCH(VLOOKUP(A31,Personas!$A$2:$B$6,2,0),'SA Q1 18 W'!$B$4:$F$4,0),0)</f>
        <v>0.2</v>
      </c>
      <c r="F31">
        <v>1</v>
      </c>
      <c r="H31" t="s">
        <v>50</v>
      </c>
      <c r="I31">
        <v>8</v>
      </c>
    </row>
    <row r="32" spans="1:9">
      <c r="A32">
        <v>1</v>
      </c>
      <c r="B32">
        <v>439</v>
      </c>
      <c r="C32">
        <v>1</v>
      </c>
      <c r="D32" s="60">
        <v>43101</v>
      </c>
      <c r="E32" s="30">
        <f>VLOOKUP(VLOOKUP(B32,SuiteCatSubElem!$G$2:$H$666,2,0),'SA Q1 18 W'!$A$33:$F$193,1+MATCH(VLOOKUP(A32,Personas!$A$2:$B$6,2,0),'SA Q1 18 W'!$B$4:$F$4,0),0)</f>
        <v>0.5</v>
      </c>
      <c r="F32">
        <v>1</v>
      </c>
      <c r="H32" t="s">
        <v>50</v>
      </c>
      <c r="I32">
        <v>8</v>
      </c>
    </row>
    <row r="33" spans="1:9">
      <c r="A33">
        <v>1</v>
      </c>
      <c r="B33">
        <v>440</v>
      </c>
      <c r="C33">
        <v>1</v>
      </c>
      <c r="D33" s="60">
        <v>43101</v>
      </c>
      <c r="E33" s="30">
        <f>VLOOKUP(VLOOKUP(B33,SuiteCatSubElem!$G$2:$H$666,2,0),'SA Q1 18 W'!$A$33:$F$193,1+MATCH(VLOOKUP(A33,Personas!$A$2:$B$6,2,0),'SA Q1 18 W'!$B$4:$F$4,0),0)</f>
        <v>0.4</v>
      </c>
      <c r="F33">
        <v>1</v>
      </c>
      <c r="H33" t="s">
        <v>50</v>
      </c>
      <c r="I33">
        <v>8</v>
      </c>
    </row>
    <row r="34" spans="1:9">
      <c r="A34">
        <v>1</v>
      </c>
      <c r="B34">
        <v>441</v>
      </c>
      <c r="C34">
        <v>1</v>
      </c>
      <c r="D34" s="60">
        <v>43101</v>
      </c>
      <c r="E34" s="30">
        <f>VLOOKUP(VLOOKUP(B34,SuiteCatSubElem!$G$2:$H$666,2,0),'SA Q1 18 W'!$A$33:$F$193,1+MATCH(VLOOKUP(A34,Personas!$A$2:$B$6,2,0),'SA Q1 18 W'!$B$4:$F$4,0),0)</f>
        <v>0.4</v>
      </c>
      <c r="F34">
        <v>1</v>
      </c>
      <c r="H34" t="s">
        <v>50</v>
      </c>
      <c r="I34">
        <v>8</v>
      </c>
    </row>
    <row r="35" spans="1:9">
      <c r="A35">
        <v>1</v>
      </c>
      <c r="B35">
        <v>442</v>
      </c>
      <c r="C35">
        <v>1</v>
      </c>
      <c r="D35" s="60">
        <v>43101</v>
      </c>
      <c r="E35" s="30">
        <f>VLOOKUP(VLOOKUP(B35,SuiteCatSubElem!$G$2:$H$666,2,0),'SA Q1 18 W'!$A$33:$F$193,1+MATCH(VLOOKUP(A35,Personas!$A$2:$B$6,2,0),'SA Q1 18 W'!$B$4:$F$4,0),0)</f>
        <v>0.4</v>
      </c>
      <c r="F35">
        <v>1</v>
      </c>
      <c r="H35" t="s">
        <v>50</v>
      </c>
      <c r="I35">
        <v>8</v>
      </c>
    </row>
    <row r="36" spans="1:9">
      <c r="A36">
        <v>1</v>
      </c>
      <c r="B36">
        <v>443</v>
      </c>
      <c r="C36">
        <v>1</v>
      </c>
      <c r="D36" s="60">
        <v>43101</v>
      </c>
      <c r="E36" s="30">
        <f>VLOOKUP(VLOOKUP(B36,SuiteCatSubElem!$G$2:$H$666,2,0),'SA Q1 18 W'!$A$33:$F$193,1+MATCH(VLOOKUP(A36,Personas!$A$2:$B$6,2,0),'SA Q1 18 W'!$B$4:$F$4,0),0)</f>
        <v>0.2</v>
      </c>
      <c r="F36">
        <v>1</v>
      </c>
      <c r="H36" t="s">
        <v>50</v>
      </c>
      <c r="I36">
        <v>8</v>
      </c>
    </row>
    <row r="37" spans="1:9">
      <c r="A37">
        <v>1</v>
      </c>
      <c r="B37">
        <v>445</v>
      </c>
      <c r="C37">
        <v>1</v>
      </c>
      <c r="D37" s="60">
        <v>43101</v>
      </c>
      <c r="E37" s="30">
        <f>VLOOKUP(VLOOKUP(B37,SuiteCatSubElem!$G$2:$H$666,2,0),'SA Q1 18 W'!$A$33:$F$193,1+MATCH(VLOOKUP(A37,Personas!$A$2:$B$6,2,0),'SA Q1 18 W'!$B$4:$F$4,0),0)</f>
        <v>0.2</v>
      </c>
      <c r="F37">
        <v>1</v>
      </c>
      <c r="H37" t="s">
        <v>50</v>
      </c>
      <c r="I37">
        <v>8</v>
      </c>
    </row>
    <row r="38" spans="1:9">
      <c r="A38">
        <v>1</v>
      </c>
      <c r="B38">
        <v>446</v>
      </c>
      <c r="C38">
        <v>1</v>
      </c>
      <c r="D38" s="60">
        <v>43101</v>
      </c>
      <c r="E38" s="30">
        <f>VLOOKUP(VLOOKUP(B38,SuiteCatSubElem!$G$2:$H$666,2,0),'SA Q1 18 W'!$A$33:$F$193,1+MATCH(VLOOKUP(A38,Personas!$A$2:$B$6,2,0),'SA Q1 18 W'!$B$4:$F$4,0),0)</f>
        <v>0</v>
      </c>
      <c r="F38">
        <v>1</v>
      </c>
      <c r="H38" t="s">
        <v>50</v>
      </c>
      <c r="I38">
        <v>8</v>
      </c>
    </row>
    <row r="39" spans="1:9">
      <c r="A39">
        <v>1</v>
      </c>
      <c r="B39">
        <v>447</v>
      </c>
      <c r="C39">
        <v>1</v>
      </c>
      <c r="D39" s="60">
        <v>43101</v>
      </c>
      <c r="E39" s="30">
        <f>VLOOKUP(VLOOKUP(B39,SuiteCatSubElem!$G$2:$H$666,2,0),'SA Q1 18 W'!$A$33:$F$193,1+MATCH(VLOOKUP(A39,Personas!$A$2:$B$6,2,0),'SA Q1 18 W'!$B$4:$F$4,0),0)</f>
        <v>0</v>
      </c>
      <c r="F39">
        <v>1</v>
      </c>
      <c r="H39" t="s">
        <v>50</v>
      </c>
      <c r="I39">
        <v>8</v>
      </c>
    </row>
    <row r="40" spans="1:9">
      <c r="A40">
        <v>1</v>
      </c>
      <c r="B40">
        <v>448</v>
      </c>
      <c r="C40">
        <v>1</v>
      </c>
      <c r="D40" s="60">
        <v>43101</v>
      </c>
      <c r="E40" s="30">
        <f>VLOOKUP(VLOOKUP(B40,SuiteCatSubElem!$G$2:$H$666,2,0),'SA Q1 18 W'!$A$33:$F$193,1+MATCH(VLOOKUP(A40,Personas!$A$2:$B$6,2,0),'SA Q1 18 W'!$B$4:$F$4,0),0)</f>
        <v>0.5</v>
      </c>
      <c r="F40">
        <v>1</v>
      </c>
      <c r="H40" t="s">
        <v>50</v>
      </c>
      <c r="I40">
        <v>8</v>
      </c>
    </row>
    <row r="41" spans="1:9">
      <c r="A41">
        <v>1</v>
      </c>
      <c r="B41">
        <v>449</v>
      </c>
      <c r="C41">
        <v>1</v>
      </c>
      <c r="D41" s="60">
        <v>43101</v>
      </c>
      <c r="E41" s="30">
        <f>VLOOKUP(VLOOKUP(B41,SuiteCatSubElem!$G$2:$H$666,2,0),'SA Q1 18 W'!$A$33:$F$193,1+MATCH(VLOOKUP(A41,Personas!$A$2:$B$6,2,0),'SA Q1 18 W'!$B$4:$F$4,0),0)</f>
        <v>0.6</v>
      </c>
      <c r="F41">
        <v>1</v>
      </c>
      <c r="H41" t="s">
        <v>50</v>
      </c>
      <c r="I41">
        <v>8</v>
      </c>
    </row>
    <row r="42" spans="1:9">
      <c r="A42">
        <v>1</v>
      </c>
      <c r="B42">
        <v>450</v>
      </c>
      <c r="C42">
        <v>1</v>
      </c>
      <c r="D42" s="60">
        <v>43101</v>
      </c>
      <c r="E42" s="30">
        <f>VLOOKUP(VLOOKUP(B42,SuiteCatSubElem!$G$2:$H$666,2,0),'SA Q1 18 W'!$A$33:$F$193,1+MATCH(VLOOKUP(A42,Personas!$A$2:$B$6,2,0),'SA Q1 18 W'!$B$4:$F$4,0),0)</f>
        <v>0.4</v>
      </c>
      <c r="F42">
        <v>1</v>
      </c>
      <c r="H42" t="s">
        <v>50</v>
      </c>
      <c r="I42">
        <v>8</v>
      </c>
    </row>
    <row r="43" spans="1:9">
      <c r="A43">
        <v>1</v>
      </c>
      <c r="B43">
        <v>451</v>
      </c>
      <c r="C43">
        <v>1</v>
      </c>
      <c r="D43" s="60">
        <v>43101</v>
      </c>
      <c r="E43" s="30">
        <f>VLOOKUP(VLOOKUP(B43,SuiteCatSubElem!$G$2:$H$666,2,0),'SA Q1 18 W'!$A$33:$F$193,1+MATCH(VLOOKUP(A43,Personas!$A$2:$B$6,2,0),'SA Q1 18 W'!$B$4:$F$4,0),0)</f>
        <v>0.4</v>
      </c>
      <c r="F43">
        <v>1</v>
      </c>
      <c r="H43" t="s">
        <v>50</v>
      </c>
      <c r="I43">
        <v>8</v>
      </c>
    </row>
    <row r="44" spans="1:9">
      <c r="A44">
        <v>1</v>
      </c>
      <c r="B44">
        <v>452</v>
      </c>
      <c r="C44">
        <v>1</v>
      </c>
      <c r="D44" s="60">
        <v>43101</v>
      </c>
      <c r="E44" s="30">
        <f>VLOOKUP(VLOOKUP(B44,SuiteCatSubElem!$G$2:$H$666,2,0),'SA Q1 18 W'!$A$33:$F$193,1+MATCH(VLOOKUP(A44,Personas!$A$2:$B$6,2,0),'SA Q1 18 W'!$B$4:$F$4,0),0)</f>
        <v>0.5</v>
      </c>
      <c r="F44">
        <v>1</v>
      </c>
      <c r="H44" t="s">
        <v>50</v>
      </c>
      <c r="I44">
        <v>8</v>
      </c>
    </row>
    <row r="45" spans="1:9">
      <c r="A45">
        <v>1</v>
      </c>
      <c r="B45">
        <v>453</v>
      </c>
      <c r="C45">
        <v>1</v>
      </c>
      <c r="D45" s="60">
        <v>43101</v>
      </c>
      <c r="E45" s="30">
        <f>VLOOKUP(VLOOKUP(B45,SuiteCatSubElem!$G$2:$H$666,2,0),'SA Q1 18 W'!$A$33:$F$193,1+MATCH(VLOOKUP(A45,Personas!$A$2:$B$6,2,0),'SA Q1 18 W'!$B$4:$F$4,0),0)</f>
        <v>0.3</v>
      </c>
      <c r="F45">
        <v>1</v>
      </c>
      <c r="H45" t="s">
        <v>50</v>
      </c>
      <c r="I45">
        <v>8</v>
      </c>
    </row>
    <row r="46" spans="1:9">
      <c r="A46">
        <v>1</v>
      </c>
      <c r="B46">
        <v>454</v>
      </c>
      <c r="C46">
        <v>1</v>
      </c>
      <c r="D46" s="60">
        <v>43101</v>
      </c>
      <c r="E46" s="30">
        <f>VLOOKUP(VLOOKUP(B46,SuiteCatSubElem!$G$2:$H$666,2,0),'SA Q1 18 W'!$A$33:$F$193,1+MATCH(VLOOKUP(A46,Personas!$A$2:$B$6,2,0),'SA Q1 18 W'!$B$4:$F$4,0),0)</f>
        <v>0.3</v>
      </c>
      <c r="F46">
        <v>1</v>
      </c>
      <c r="H46" t="s">
        <v>50</v>
      </c>
      <c r="I46">
        <v>8</v>
      </c>
    </row>
    <row r="47" spans="1:9">
      <c r="A47">
        <v>1</v>
      </c>
      <c r="B47">
        <v>455</v>
      </c>
      <c r="C47">
        <v>1</v>
      </c>
      <c r="D47" s="60">
        <v>43101</v>
      </c>
      <c r="E47" s="30">
        <f>VLOOKUP(VLOOKUP(B47,SuiteCatSubElem!$G$2:$H$666,2,0),'SA Q1 18 W'!$A$33:$F$193,1+MATCH(VLOOKUP(A47,Personas!$A$2:$B$6,2,0),'SA Q1 18 W'!$B$4:$F$4,0),0)</f>
        <v>0.3</v>
      </c>
      <c r="F47">
        <v>1</v>
      </c>
      <c r="H47" t="s">
        <v>50</v>
      </c>
      <c r="I47">
        <v>8</v>
      </c>
    </row>
    <row r="48" spans="1:9">
      <c r="A48">
        <v>1</v>
      </c>
      <c r="B48">
        <v>456</v>
      </c>
      <c r="C48">
        <v>1</v>
      </c>
      <c r="D48" s="60">
        <v>43101</v>
      </c>
      <c r="E48" s="30">
        <f>VLOOKUP(VLOOKUP(B48,SuiteCatSubElem!$G$2:$H$666,2,0),'SA Q1 18 W'!$A$33:$F$193,1+MATCH(VLOOKUP(A48,Personas!$A$2:$B$6,2,0),'SA Q1 18 W'!$B$4:$F$4,0),0)</f>
        <v>0.8</v>
      </c>
      <c r="F48">
        <v>1</v>
      </c>
      <c r="H48" t="s">
        <v>50</v>
      </c>
      <c r="I48">
        <v>8</v>
      </c>
    </row>
    <row r="49" spans="1:9">
      <c r="A49">
        <v>1</v>
      </c>
      <c r="B49">
        <v>457</v>
      </c>
      <c r="C49">
        <v>1</v>
      </c>
      <c r="D49" s="60">
        <v>43101</v>
      </c>
      <c r="E49" s="30">
        <f>VLOOKUP(VLOOKUP(B49,SuiteCatSubElem!$G$2:$H$666,2,0),'SA Q1 18 W'!$A$33:$F$193,1+MATCH(VLOOKUP(A49,Personas!$A$2:$B$6,2,0),'SA Q1 18 W'!$B$4:$F$4,0),0)</f>
        <v>0.5</v>
      </c>
      <c r="F49">
        <v>1</v>
      </c>
      <c r="H49" t="s">
        <v>50</v>
      </c>
      <c r="I49">
        <v>8</v>
      </c>
    </row>
    <row r="50" spans="1:9">
      <c r="A50">
        <v>1</v>
      </c>
      <c r="B50">
        <v>458</v>
      </c>
      <c r="C50">
        <v>1</v>
      </c>
      <c r="D50" s="60">
        <v>43101</v>
      </c>
      <c r="E50" s="30">
        <f>VLOOKUP(VLOOKUP(B50,SuiteCatSubElem!$G$2:$H$666,2,0),'SA Q1 18 W'!$A$33:$F$193,1+MATCH(VLOOKUP(A50,Personas!$A$2:$B$6,2,0),'SA Q1 18 W'!$B$4:$F$4,0),0)</f>
        <v>0.3</v>
      </c>
      <c r="F50">
        <v>1</v>
      </c>
      <c r="H50" t="s">
        <v>50</v>
      </c>
      <c r="I50">
        <v>8</v>
      </c>
    </row>
    <row r="51" spans="1:9">
      <c r="A51">
        <v>1</v>
      </c>
      <c r="B51">
        <v>459</v>
      </c>
      <c r="C51">
        <v>1</v>
      </c>
      <c r="D51" s="60">
        <v>43101</v>
      </c>
      <c r="E51" s="30">
        <f>VLOOKUP(VLOOKUP(B51,SuiteCatSubElem!$G$2:$H$666,2,0),'SA Q1 18 W'!$A$33:$F$193,1+MATCH(VLOOKUP(A51,Personas!$A$2:$B$6,2,0),'SA Q1 18 W'!$B$4:$F$4,0),0)</f>
        <v>0.2</v>
      </c>
      <c r="F51">
        <v>1</v>
      </c>
      <c r="H51" t="s">
        <v>50</v>
      </c>
      <c r="I51">
        <v>8</v>
      </c>
    </row>
    <row r="52" spans="1:9">
      <c r="A52">
        <v>1</v>
      </c>
      <c r="B52">
        <v>460</v>
      </c>
      <c r="C52">
        <v>1</v>
      </c>
      <c r="D52" s="60">
        <v>43101</v>
      </c>
      <c r="E52" s="30">
        <f>VLOOKUP(VLOOKUP(B52,SuiteCatSubElem!$G$2:$H$666,2,0),'SA Q1 18 W'!$A$33:$F$193,1+MATCH(VLOOKUP(A52,Personas!$A$2:$B$6,2,0),'SA Q1 18 W'!$B$4:$F$4,0),0)</f>
        <v>0</v>
      </c>
      <c r="F52">
        <v>1</v>
      </c>
      <c r="H52" t="s">
        <v>50</v>
      </c>
      <c r="I52">
        <v>8</v>
      </c>
    </row>
    <row r="53" spans="1:9">
      <c r="A53">
        <v>1</v>
      </c>
      <c r="B53">
        <v>461</v>
      </c>
      <c r="C53">
        <v>1</v>
      </c>
      <c r="D53" s="60">
        <v>43101</v>
      </c>
      <c r="E53" s="30">
        <f>VLOOKUP(VLOOKUP(B53,SuiteCatSubElem!$G$2:$H$666,2,0),'SA Q1 18 W'!$A$33:$F$193,1+MATCH(VLOOKUP(A53,Personas!$A$2:$B$6,2,0),'SA Q1 18 W'!$B$4:$F$4,0),0)</f>
        <v>0</v>
      </c>
      <c r="F53">
        <v>1</v>
      </c>
      <c r="H53" t="s">
        <v>50</v>
      </c>
      <c r="I53">
        <v>8</v>
      </c>
    </row>
    <row r="54" spans="1:9">
      <c r="A54">
        <v>1</v>
      </c>
      <c r="B54">
        <v>462</v>
      </c>
      <c r="C54">
        <v>1</v>
      </c>
      <c r="D54" s="60">
        <v>43101</v>
      </c>
      <c r="E54" s="30">
        <f>VLOOKUP(VLOOKUP(B54,SuiteCatSubElem!$G$2:$H$666,2,0),'SA Q1 18 W'!$A$33:$F$193,1+MATCH(VLOOKUP(A54,Personas!$A$2:$B$6,2,0),'SA Q1 18 W'!$B$4:$F$4,0),0)</f>
        <v>0</v>
      </c>
      <c r="F54">
        <v>1</v>
      </c>
      <c r="H54" t="s">
        <v>50</v>
      </c>
      <c r="I54">
        <v>8</v>
      </c>
    </row>
    <row r="55" spans="1:9">
      <c r="A55">
        <v>1</v>
      </c>
      <c r="B55">
        <v>463</v>
      </c>
      <c r="C55">
        <v>1</v>
      </c>
      <c r="D55" s="60">
        <v>43101</v>
      </c>
      <c r="E55" s="30">
        <f>VLOOKUP(VLOOKUP(B55,SuiteCatSubElem!$G$2:$H$666,2,0),'SA Q1 18 W'!$A$33:$F$193,1+MATCH(VLOOKUP(A55,Personas!$A$2:$B$6,2,0),'SA Q1 18 W'!$B$4:$F$4,0),0)</f>
        <v>0</v>
      </c>
      <c r="F55">
        <v>1</v>
      </c>
      <c r="H55" t="s">
        <v>50</v>
      </c>
      <c r="I55">
        <v>8</v>
      </c>
    </row>
    <row r="56" spans="1:9">
      <c r="A56">
        <v>1</v>
      </c>
      <c r="B56">
        <v>464</v>
      </c>
      <c r="C56">
        <v>1</v>
      </c>
      <c r="D56" s="60">
        <v>43101</v>
      </c>
      <c r="E56" s="30">
        <f>VLOOKUP(VLOOKUP(B56,SuiteCatSubElem!$G$2:$H$666,2,0),'SA Q1 18 W'!$A$33:$F$193,1+MATCH(VLOOKUP(A56,Personas!$A$2:$B$6,2,0),'SA Q1 18 W'!$B$4:$F$4,0),0)</f>
        <v>0</v>
      </c>
      <c r="F56">
        <v>1</v>
      </c>
      <c r="H56" t="s">
        <v>50</v>
      </c>
      <c r="I56">
        <v>8</v>
      </c>
    </row>
    <row r="57" spans="1:9">
      <c r="A57">
        <v>1</v>
      </c>
      <c r="B57">
        <v>465</v>
      </c>
      <c r="C57">
        <v>1</v>
      </c>
      <c r="D57" s="60">
        <v>43101</v>
      </c>
      <c r="E57" s="30">
        <f>VLOOKUP(VLOOKUP(B57,SuiteCatSubElem!$G$2:$H$666,2,0),'SA Q1 18 W'!$A$33:$F$193,1+MATCH(VLOOKUP(A57,Personas!$A$2:$B$6,2,0),'SA Q1 18 W'!$B$4:$F$4,0),0)</f>
        <v>0.3</v>
      </c>
      <c r="F57">
        <v>1</v>
      </c>
      <c r="H57" t="s">
        <v>50</v>
      </c>
      <c r="I57">
        <v>8</v>
      </c>
    </row>
    <row r="58" spans="1:9">
      <c r="A58">
        <v>1</v>
      </c>
      <c r="B58">
        <v>466</v>
      </c>
      <c r="C58">
        <v>1</v>
      </c>
      <c r="D58" s="60">
        <v>43101</v>
      </c>
      <c r="E58" s="30">
        <f>VLOOKUP(VLOOKUP(B58,SuiteCatSubElem!$G$2:$H$666,2,0),'SA Q1 18 W'!$A$33:$F$193,1+MATCH(VLOOKUP(A58,Personas!$A$2:$B$6,2,0),'SA Q1 18 W'!$B$4:$F$4,0),0)</f>
        <v>0</v>
      </c>
      <c r="F58">
        <v>1</v>
      </c>
      <c r="H58" t="s">
        <v>50</v>
      </c>
      <c r="I58">
        <v>8</v>
      </c>
    </row>
    <row r="59" spans="1:9">
      <c r="A59">
        <v>1</v>
      </c>
      <c r="B59">
        <v>467</v>
      </c>
      <c r="C59">
        <v>1</v>
      </c>
      <c r="D59" s="60">
        <v>43101</v>
      </c>
      <c r="E59" s="30">
        <f>VLOOKUP(VLOOKUP(B59,SuiteCatSubElem!$G$2:$H$666,2,0),'SA Q1 18 W'!$A$33:$F$193,1+MATCH(VLOOKUP(A59,Personas!$A$2:$B$6,2,0),'SA Q1 18 W'!$B$4:$F$4,0),0)</f>
        <v>0.5</v>
      </c>
      <c r="F59">
        <v>1</v>
      </c>
      <c r="H59" t="s">
        <v>50</v>
      </c>
      <c r="I59">
        <v>8</v>
      </c>
    </row>
    <row r="60" spans="1:9">
      <c r="A60">
        <v>1</v>
      </c>
      <c r="B60">
        <v>468</v>
      </c>
      <c r="C60">
        <v>1</v>
      </c>
      <c r="D60" s="60">
        <v>43101</v>
      </c>
      <c r="E60" s="30">
        <f>VLOOKUP(VLOOKUP(B60,SuiteCatSubElem!$G$2:$H$666,2,0),'SA Q1 18 W'!$A$33:$F$193,1+MATCH(VLOOKUP(A60,Personas!$A$2:$B$6,2,0),'SA Q1 18 W'!$B$4:$F$4,0),0)</f>
        <v>0.9</v>
      </c>
      <c r="F60">
        <v>1</v>
      </c>
      <c r="H60" t="s">
        <v>50</v>
      </c>
      <c r="I60">
        <v>8</v>
      </c>
    </row>
    <row r="61" spans="1:9">
      <c r="A61">
        <v>1</v>
      </c>
      <c r="B61">
        <v>469</v>
      </c>
      <c r="C61">
        <v>1</v>
      </c>
      <c r="D61" s="60">
        <v>43101</v>
      </c>
      <c r="E61" s="30">
        <f>VLOOKUP(VLOOKUP(B61,SuiteCatSubElem!$G$2:$H$666,2,0),'SA Q1 18 W'!$A$33:$F$193,1+MATCH(VLOOKUP(A61,Personas!$A$2:$B$6,2,0),'SA Q1 18 W'!$B$4:$F$4,0),0)</f>
        <v>0</v>
      </c>
      <c r="F61">
        <v>1</v>
      </c>
      <c r="H61" t="s">
        <v>50</v>
      </c>
      <c r="I61">
        <v>8</v>
      </c>
    </row>
    <row r="62" spans="1:9">
      <c r="A62">
        <v>1</v>
      </c>
      <c r="B62">
        <v>470</v>
      </c>
      <c r="C62">
        <v>1</v>
      </c>
      <c r="D62" s="60">
        <v>43101</v>
      </c>
      <c r="E62" s="30">
        <f>VLOOKUP(VLOOKUP(B62,SuiteCatSubElem!$G$2:$H$666,2,0),'SA Q1 18 W'!$A$33:$F$193,1+MATCH(VLOOKUP(A62,Personas!$A$2:$B$6,2,0),'SA Q1 18 W'!$B$4:$F$4,0),0)</f>
        <v>0.5</v>
      </c>
      <c r="F62">
        <v>1</v>
      </c>
      <c r="H62" t="s">
        <v>50</v>
      </c>
      <c r="I62">
        <v>8</v>
      </c>
    </row>
    <row r="63" spans="1:9">
      <c r="A63">
        <v>1</v>
      </c>
      <c r="B63">
        <v>471</v>
      </c>
      <c r="C63">
        <v>1</v>
      </c>
      <c r="D63" s="60">
        <v>43101</v>
      </c>
      <c r="E63" s="30">
        <f>VLOOKUP(VLOOKUP(B63,SuiteCatSubElem!$G$2:$H$666,2,0),'SA Q1 18 W'!$A$33:$F$193,1+MATCH(VLOOKUP(A63,Personas!$A$2:$B$6,2,0),'SA Q1 18 W'!$B$4:$F$4,0),0)</f>
        <v>0</v>
      </c>
      <c r="F63">
        <v>1</v>
      </c>
      <c r="H63" t="s">
        <v>50</v>
      </c>
      <c r="I63">
        <v>8</v>
      </c>
    </row>
    <row r="64" spans="1:9">
      <c r="A64">
        <v>1</v>
      </c>
      <c r="B64">
        <v>472</v>
      </c>
      <c r="C64">
        <v>1</v>
      </c>
      <c r="D64" s="60">
        <v>43101</v>
      </c>
      <c r="E64" s="30">
        <f>VLOOKUP(VLOOKUP(B64,SuiteCatSubElem!$G$2:$H$666,2,0),'SA Q1 18 W'!$A$33:$F$193,1+MATCH(VLOOKUP(A64,Personas!$A$2:$B$6,2,0),'SA Q1 18 W'!$B$4:$F$4,0),0)</f>
        <v>0</v>
      </c>
      <c r="F64">
        <v>1</v>
      </c>
      <c r="H64" t="s">
        <v>50</v>
      </c>
      <c r="I64">
        <v>8</v>
      </c>
    </row>
    <row r="65" spans="1:9">
      <c r="A65">
        <v>1</v>
      </c>
      <c r="B65">
        <v>473</v>
      </c>
      <c r="C65">
        <v>1</v>
      </c>
      <c r="D65" s="60">
        <v>43101</v>
      </c>
      <c r="E65" s="30">
        <f>VLOOKUP(VLOOKUP(B65,SuiteCatSubElem!$G$2:$H$666,2,0),'SA Q1 18 W'!$A$33:$F$193,1+MATCH(VLOOKUP(A65,Personas!$A$2:$B$6,2,0),'SA Q1 18 W'!$B$4:$F$4,0),0)</f>
        <v>0.2</v>
      </c>
      <c r="F65">
        <v>1</v>
      </c>
      <c r="H65" t="s">
        <v>50</v>
      </c>
      <c r="I65">
        <v>8</v>
      </c>
    </row>
    <row r="66" spans="1:9">
      <c r="A66">
        <v>1</v>
      </c>
      <c r="B66">
        <v>474</v>
      </c>
      <c r="C66">
        <v>1</v>
      </c>
      <c r="D66" s="60">
        <v>43101</v>
      </c>
      <c r="E66" s="30">
        <f>VLOOKUP(VLOOKUP(B66,SuiteCatSubElem!$G$2:$H$666,2,0),'SA Q1 18 W'!$A$33:$F$193,1+MATCH(VLOOKUP(A66,Personas!$A$2:$B$6,2,0),'SA Q1 18 W'!$B$4:$F$4,0),0)</f>
        <v>0.1</v>
      </c>
      <c r="F66">
        <v>1</v>
      </c>
      <c r="H66" t="s">
        <v>50</v>
      </c>
      <c r="I66">
        <v>8</v>
      </c>
    </row>
    <row r="67" spans="1:9">
      <c r="A67">
        <v>1</v>
      </c>
      <c r="B67">
        <v>475</v>
      </c>
      <c r="C67">
        <v>1</v>
      </c>
      <c r="D67" s="60">
        <v>43101</v>
      </c>
      <c r="E67" s="30">
        <f>VLOOKUP(VLOOKUP(B67,SuiteCatSubElem!$G$2:$H$666,2,0),'SA Q1 18 W'!$A$33:$F$193,1+MATCH(VLOOKUP(A67,Personas!$A$2:$B$6,2,0),'SA Q1 18 W'!$B$4:$F$4,0),0)</f>
        <v>0</v>
      </c>
      <c r="F67">
        <v>1</v>
      </c>
      <c r="H67" t="s">
        <v>50</v>
      </c>
      <c r="I67">
        <v>8</v>
      </c>
    </row>
    <row r="68" spans="1:9">
      <c r="A68">
        <v>1</v>
      </c>
      <c r="B68">
        <v>476</v>
      </c>
      <c r="C68">
        <v>1</v>
      </c>
      <c r="D68" s="60">
        <v>43101</v>
      </c>
      <c r="E68" s="30">
        <f>VLOOKUP(VLOOKUP(B68,SuiteCatSubElem!$G$2:$H$666,2,0),'SA Q1 18 W'!$A$33:$F$193,1+MATCH(VLOOKUP(A68,Personas!$A$2:$B$6,2,0),'SA Q1 18 W'!$B$4:$F$4,0),0)</f>
        <v>0.1</v>
      </c>
      <c r="F68">
        <v>1</v>
      </c>
      <c r="H68" t="s">
        <v>50</v>
      </c>
      <c r="I68">
        <v>8</v>
      </c>
    </row>
    <row r="69" spans="1:9">
      <c r="A69">
        <v>1</v>
      </c>
      <c r="B69">
        <v>477</v>
      </c>
      <c r="C69">
        <v>1</v>
      </c>
      <c r="D69" s="60">
        <v>43101</v>
      </c>
      <c r="E69" s="30">
        <f>VLOOKUP(VLOOKUP(B69,SuiteCatSubElem!$G$2:$H$666,2,0),'SA Q1 18 W'!$A$33:$F$193,1+MATCH(VLOOKUP(A69,Personas!$A$2:$B$6,2,0),'SA Q1 18 W'!$B$4:$F$4,0),0)</f>
        <v>0.1</v>
      </c>
      <c r="F69">
        <v>1</v>
      </c>
      <c r="H69" t="s">
        <v>50</v>
      </c>
      <c r="I69">
        <v>8</v>
      </c>
    </row>
    <row r="70" spans="1:9">
      <c r="A70">
        <v>1</v>
      </c>
      <c r="B70">
        <v>478</v>
      </c>
      <c r="C70">
        <v>1</v>
      </c>
      <c r="D70" s="60">
        <v>43101</v>
      </c>
      <c r="E70" s="30">
        <f>VLOOKUP(VLOOKUP(B70,SuiteCatSubElem!$G$2:$H$666,2,0),'SA Q1 18 W'!$A$33:$F$193,1+MATCH(VLOOKUP(A70,Personas!$A$2:$B$6,2,0),'SA Q1 18 W'!$B$4:$F$4,0),0)</f>
        <v>0.1</v>
      </c>
      <c r="F70">
        <v>1</v>
      </c>
      <c r="H70" t="s">
        <v>50</v>
      </c>
      <c r="I70">
        <v>8</v>
      </c>
    </row>
    <row r="71" spans="1:9">
      <c r="A71">
        <v>1</v>
      </c>
      <c r="B71">
        <v>479</v>
      </c>
      <c r="C71">
        <v>1</v>
      </c>
      <c r="D71" s="60">
        <v>43101</v>
      </c>
      <c r="E71" s="30">
        <f>VLOOKUP(VLOOKUP(B71,SuiteCatSubElem!$G$2:$H$666,2,0),'SA Q1 18 W'!$A$33:$F$193,1+MATCH(VLOOKUP(A71,Personas!$A$2:$B$6,2,0),'SA Q1 18 W'!$B$4:$F$4,0),0)</f>
        <v>0.5</v>
      </c>
      <c r="F71">
        <v>1</v>
      </c>
      <c r="H71" t="s">
        <v>50</v>
      </c>
      <c r="I71">
        <v>8</v>
      </c>
    </row>
    <row r="72" spans="1:9">
      <c r="A72">
        <v>1</v>
      </c>
      <c r="B72">
        <v>480</v>
      </c>
      <c r="C72">
        <v>1</v>
      </c>
      <c r="D72" s="60">
        <v>43101</v>
      </c>
      <c r="E72" s="30">
        <f>VLOOKUP(VLOOKUP(B72,SuiteCatSubElem!$G$2:$H$666,2,0),'SA Q1 18 W'!$A$33:$F$193,1+MATCH(VLOOKUP(A72,Personas!$A$2:$B$6,2,0),'SA Q1 18 W'!$B$4:$F$4,0),0)</f>
        <v>0.2</v>
      </c>
      <c r="F72">
        <v>1</v>
      </c>
      <c r="H72" t="s">
        <v>50</v>
      </c>
      <c r="I72">
        <v>8</v>
      </c>
    </row>
    <row r="73" spans="1:9">
      <c r="A73">
        <v>1</v>
      </c>
      <c r="B73">
        <v>481</v>
      </c>
      <c r="C73">
        <v>1</v>
      </c>
      <c r="D73" s="60">
        <v>43101</v>
      </c>
      <c r="E73" s="30">
        <f>VLOOKUP(VLOOKUP(B73,SuiteCatSubElem!$G$2:$H$666,2,0),'SA Q1 18 W'!$A$33:$F$193,1+MATCH(VLOOKUP(A73,Personas!$A$2:$B$6,2,0),'SA Q1 18 W'!$B$4:$F$4,0),0)</f>
        <v>0.3</v>
      </c>
      <c r="F73">
        <v>1</v>
      </c>
      <c r="H73" t="s">
        <v>50</v>
      </c>
      <c r="I73">
        <v>8</v>
      </c>
    </row>
    <row r="74" spans="1:9">
      <c r="A74">
        <v>1</v>
      </c>
      <c r="B74">
        <v>482</v>
      </c>
      <c r="C74">
        <v>1</v>
      </c>
      <c r="D74" s="60">
        <v>43101</v>
      </c>
      <c r="E74" s="30">
        <f>VLOOKUP(VLOOKUP(B74,SuiteCatSubElem!$G$2:$H$666,2,0),'SA Q1 18 W'!$A$33:$F$193,1+MATCH(VLOOKUP(A74,Personas!$A$2:$B$6,2,0),'SA Q1 18 W'!$B$4:$F$4,0),0)</f>
        <v>0.3</v>
      </c>
      <c r="F74">
        <v>1</v>
      </c>
      <c r="H74" t="s">
        <v>50</v>
      </c>
      <c r="I74">
        <v>8</v>
      </c>
    </row>
    <row r="75" spans="1:9">
      <c r="A75">
        <v>1</v>
      </c>
      <c r="B75">
        <v>483</v>
      </c>
      <c r="C75">
        <v>1</v>
      </c>
      <c r="D75" s="60">
        <v>43101</v>
      </c>
      <c r="E75" s="30">
        <f>VLOOKUP(VLOOKUP(B75,SuiteCatSubElem!$G$2:$H$666,2,0),'SA Q1 18 W'!$A$33:$F$193,1+MATCH(VLOOKUP(A75,Personas!$A$2:$B$6,2,0),'SA Q1 18 W'!$B$4:$F$4,0),0)</f>
        <v>0.5</v>
      </c>
      <c r="F75">
        <v>1</v>
      </c>
      <c r="H75" t="s">
        <v>50</v>
      </c>
      <c r="I75">
        <v>8</v>
      </c>
    </row>
    <row r="76" spans="1:9">
      <c r="A76">
        <v>1</v>
      </c>
      <c r="B76">
        <v>484</v>
      </c>
      <c r="C76">
        <v>1</v>
      </c>
      <c r="D76" s="60">
        <v>43101</v>
      </c>
      <c r="E76" s="30">
        <f>VLOOKUP(VLOOKUP(B76,SuiteCatSubElem!$G$2:$H$666,2,0),'SA Q1 18 W'!$A$33:$F$193,1+MATCH(VLOOKUP(A76,Personas!$A$2:$B$6,2,0),'SA Q1 18 W'!$B$4:$F$4,0),0)</f>
        <v>0.3</v>
      </c>
      <c r="F76">
        <v>1</v>
      </c>
      <c r="H76" t="s">
        <v>50</v>
      </c>
      <c r="I76">
        <v>8</v>
      </c>
    </row>
    <row r="77" spans="1:9">
      <c r="A77">
        <v>1</v>
      </c>
      <c r="B77">
        <v>485</v>
      </c>
      <c r="C77">
        <v>1</v>
      </c>
      <c r="D77" s="60">
        <v>43101</v>
      </c>
      <c r="E77" s="30">
        <f>VLOOKUP(VLOOKUP(B77,SuiteCatSubElem!$G$2:$H$666,2,0),'SA Q1 18 W'!$A$33:$F$193,1+MATCH(VLOOKUP(A77,Personas!$A$2:$B$6,2,0),'SA Q1 18 W'!$B$4:$F$4,0),0)</f>
        <v>0.1</v>
      </c>
      <c r="F77">
        <v>1</v>
      </c>
      <c r="H77" t="s">
        <v>50</v>
      </c>
      <c r="I77">
        <v>8</v>
      </c>
    </row>
    <row r="78" spans="1:9">
      <c r="A78">
        <v>1</v>
      </c>
      <c r="B78">
        <v>486</v>
      </c>
      <c r="C78">
        <v>1</v>
      </c>
      <c r="D78" s="60">
        <v>43101</v>
      </c>
      <c r="E78" s="30">
        <f>VLOOKUP(VLOOKUP(B78,SuiteCatSubElem!$G$2:$H$666,2,0),'SA Q1 18 W'!$A$33:$F$193,1+MATCH(VLOOKUP(A78,Personas!$A$2:$B$6,2,0),'SA Q1 18 W'!$B$4:$F$4,0),0)</f>
        <v>0.2</v>
      </c>
      <c r="F78">
        <v>1</v>
      </c>
      <c r="H78" t="s">
        <v>50</v>
      </c>
      <c r="I78">
        <v>8</v>
      </c>
    </row>
    <row r="79" spans="1:9">
      <c r="A79">
        <v>1</v>
      </c>
      <c r="B79">
        <v>487</v>
      </c>
      <c r="C79">
        <v>1</v>
      </c>
      <c r="D79" s="60">
        <v>43101</v>
      </c>
      <c r="E79" s="30">
        <f>VLOOKUP(VLOOKUP(B79,SuiteCatSubElem!$G$2:$H$666,2,0),'SA Q1 18 W'!$A$33:$F$193,1+MATCH(VLOOKUP(A79,Personas!$A$2:$B$6,2,0),'SA Q1 18 W'!$B$4:$F$4,0),0)</f>
        <v>0.1</v>
      </c>
      <c r="F79">
        <v>1</v>
      </c>
      <c r="H79" t="s">
        <v>50</v>
      </c>
      <c r="I79">
        <v>8</v>
      </c>
    </row>
    <row r="80" spans="1:9">
      <c r="A80">
        <v>1</v>
      </c>
      <c r="B80">
        <v>488</v>
      </c>
      <c r="C80">
        <v>1</v>
      </c>
      <c r="D80" s="60">
        <v>43101</v>
      </c>
      <c r="E80" s="30">
        <f>VLOOKUP(VLOOKUP(B80,SuiteCatSubElem!$G$2:$H$666,2,0),'SA Q1 18 W'!$A$33:$F$193,1+MATCH(VLOOKUP(A80,Personas!$A$2:$B$6,2,0),'SA Q1 18 W'!$B$4:$F$4,0),0)</f>
        <v>0.5</v>
      </c>
      <c r="F80">
        <v>1</v>
      </c>
      <c r="H80" t="s">
        <v>50</v>
      </c>
      <c r="I80">
        <v>8</v>
      </c>
    </row>
    <row r="81" spans="1:9">
      <c r="A81">
        <v>1</v>
      </c>
      <c r="B81">
        <v>489</v>
      </c>
      <c r="C81">
        <v>1</v>
      </c>
      <c r="D81" s="60">
        <v>43101</v>
      </c>
      <c r="E81" s="30">
        <f>VLOOKUP(VLOOKUP(B81,SuiteCatSubElem!$G$2:$H$666,2,0),'SA Q1 18 W'!$A$33:$F$193,1+MATCH(VLOOKUP(A81,Personas!$A$2:$B$6,2,0),'SA Q1 18 W'!$B$4:$F$4,0),0)</f>
        <v>0.8</v>
      </c>
      <c r="F81">
        <v>1</v>
      </c>
      <c r="H81" t="s">
        <v>50</v>
      </c>
      <c r="I81">
        <v>8</v>
      </c>
    </row>
    <row r="82" spans="1:9">
      <c r="A82">
        <v>1</v>
      </c>
      <c r="B82">
        <v>490</v>
      </c>
      <c r="C82">
        <v>1</v>
      </c>
      <c r="D82" s="60">
        <v>43101</v>
      </c>
      <c r="E82" s="30">
        <f>VLOOKUP(VLOOKUP(B82,SuiteCatSubElem!$G$2:$H$666,2,0),'SA Q1 18 W'!$A$33:$F$193,1+MATCH(VLOOKUP(A82,Personas!$A$2:$B$6,2,0),'SA Q1 18 W'!$B$4:$F$4,0),0)</f>
        <v>0.4</v>
      </c>
      <c r="F82">
        <v>1</v>
      </c>
      <c r="H82" t="s">
        <v>50</v>
      </c>
      <c r="I82">
        <v>8</v>
      </c>
    </row>
    <row r="83" spans="1:9">
      <c r="A83">
        <v>1</v>
      </c>
      <c r="B83">
        <v>491</v>
      </c>
      <c r="C83">
        <v>1</v>
      </c>
      <c r="D83" s="60">
        <v>43101</v>
      </c>
      <c r="E83" s="30">
        <f>VLOOKUP(VLOOKUP(B83,SuiteCatSubElem!$G$2:$H$666,2,0),'SA Q1 18 W'!$A$33:$F$193,1+MATCH(VLOOKUP(A83,Personas!$A$2:$B$6,2,0),'SA Q1 18 W'!$B$4:$F$4,0),0)</f>
        <v>0</v>
      </c>
      <c r="F83">
        <v>1</v>
      </c>
      <c r="H83" t="s">
        <v>50</v>
      </c>
      <c r="I83">
        <v>8</v>
      </c>
    </row>
    <row r="84" spans="1:9">
      <c r="A84">
        <v>1</v>
      </c>
      <c r="B84">
        <v>492</v>
      </c>
      <c r="C84">
        <v>1</v>
      </c>
      <c r="D84" s="60">
        <v>43101</v>
      </c>
      <c r="E84" s="30">
        <f>VLOOKUP(VLOOKUP(B84,SuiteCatSubElem!$G$2:$H$666,2,0),'SA Q1 18 W'!$A$33:$F$193,1+MATCH(VLOOKUP(A84,Personas!$A$2:$B$6,2,0),'SA Q1 18 W'!$B$4:$F$4,0),0)</f>
        <v>0</v>
      </c>
      <c r="F84">
        <v>1</v>
      </c>
      <c r="H84" t="s">
        <v>50</v>
      </c>
      <c r="I84">
        <v>8</v>
      </c>
    </row>
    <row r="85" spans="1:9">
      <c r="A85">
        <v>1</v>
      </c>
      <c r="B85">
        <v>493</v>
      </c>
      <c r="C85">
        <v>1</v>
      </c>
      <c r="D85" s="60">
        <v>43101</v>
      </c>
      <c r="E85" s="30">
        <f>VLOOKUP(VLOOKUP(B85,SuiteCatSubElem!$G$2:$H$666,2,0),'SA Q1 18 W'!$A$33:$F$193,1+MATCH(VLOOKUP(A85,Personas!$A$2:$B$6,2,0),'SA Q1 18 W'!$B$4:$F$4,0),0)</f>
        <v>0</v>
      </c>
      <c r="F85">
        <v>1</v>
      </c>
      <c r="H85" t="s">
        <v>50</v>
      </c>
      <c r="I85">
        <v>8</v>
      </c>
    </row>
    <row r="86" spans="1:9">
      <c r="A86">
        <f>A2+1</f>
        <v>2</v>
      </c>
      <c r="B86">
        <f>B2</f>
        <v>409</v>
      </c>
      <c r="C86">
        <v>1</v>
      </c>
      <c r="D86" s="60">
        <v>43101</v>
      </c>
      <c r="E86" s="30">
        <f>VLOOKUP(VLOOKUP(B86,SuiteCatSubElem!$G$2:$H$666,2,0),'SA Q1 18 W'!$A$33:$F$193,1+MATCH(VLOOKUP(A86,Personas!$A$2:$B$6,2,0),'SA Q1 18 W'!$B$4:$F$4,0),0)</f>
        <v>1</v>
      </c>
      <c r="F86">
        <v>1</v>
      </c>
      <c r="H86" t="s">
        <v>50</v>
      </c>
      <c r="I86">
        <v>8</v>
      </c>
    </row>
    <row r="87" spans="1:9">
      <c r="A87">
        <f t="shared" ref="A87:A150" si="0">A3+1</f>
        <v>2</v>
      </c>
      <c r="B87">
        <f t="shared" ref="B87:B150" si="1">B3</f>
        <v>410</v>
      </c>
      <c r="C87">
        <v>1</v>
      </c>
      <c r="D87" s="60">
        <v>43101</v>
      </c>
      <c r="E87" s="30">
        <f>VLOOKUP(VLOOKUP(B87,SuiteCatSubElem!$G$2:$H$666,2,0),'SA Q1 18 W'!$A$33:$F$193,1+MATCH(VLOOKUP(A87,Personas!$A$2:$B$6,2,0),'SA Q1 18 W'!$B$4:$F$4,0),0)</f>
        <v>0.7</v>
      </c>
      <c r="F87">
        <v>1</v>
      </c>
      <c r="H87" t="s">
        <v>50</v>
      </c>
      <c r="I87">
        <v>8</v>
      </c>
    </row>
    <row r="88" spans="1:9">
      <c r="A88">
        <f t="shared" si="0"/>
        <v>2</v>
      </c>
      <c r="B88">
        <f t="shared" si="1"/>
        <v>411</v>
      </c>
      <c r="C88">
        <v>1</v>
      </c>
      <c r="D88" s="60">
        <v>43101</v>
      </c>
      <c r="E88" s="30">
        <f>VLOOKUP(VLOOKUP(B88,SuiteCatSubElem!$G$2:$H$666,2,0),'SA Q1 18 W'!$A$33:$F$193,1+MATCH(VLOOKUP(A88,Personas!$A$2:$B$6,2,0),'SA Q1 18 W'!$B$4:$F$4,0),0)</f>
        <v>1</v>
      </c>
      <c r="F88">
        <v>1</v>
      </c>
      <c r="H88" t="s">
        <v>50</v>
      </c>
      <c r="I88">
        <v>8</v>
      </c>
    </row>
    <row r="89" spans="1:9">
      <c r="A89">
        <f t="shared" si="0"/>
        <v>2</v>
      </c>
      <c r="B89">
        <f t="shared" si="1"/>
        <v>412</v>
      </c>
      <c r="C89">
        <v>1</v>
      </c>
      <c r="D89" s="60">
        <v>43101</v>
      </c>
      <c r="E89" s="30">
        <f>VLOOKUP(VLOOKUP(B89,SuiteCatSubElem!$G$2:$H$666,2,0),'SA Q1 18 W'!$A$33:$F$193,1+MATCH(VLOOKUP(A89,Personas!$A$2:$B$6,2,0),'SA Q1 18 W'!$B$4:$F$4,0),0)</f>
        <v>0.8</v>
      </c>
      <c r="F89">
        <v>1</v>
      </c>
      <c r="H89" t="s">
        <v>50</v>
      </c>
      <c r="I89">
        <v>8</v>
      </c>
    </row>
    <row r="90" spans="1:9">
      <c r="A90">
        <f t="shared" si="0"/>
        <v>2</v>
      </c>
      <c r="B90">
        <f t="shared" si="1"/>
        <v>413</v>
      </c>
      <c r="C90">
        <v>1</v>
      </c>
      <c r="D90" s="60">
        <v>43101</v>
      </c>
      <c r="E90" s="30">
        <f>VLOOKUP(VLOOKUP(B90,SuiteCatSubElem!$G$2:$H$666,2,0),'SA Q1 18 W'!$A$33:$F$193,1+MATCH(VLOOKUP(A90,Personas!$A$2:$B$6,2,0),'SA Q1 18 W'!$B$4:$F$4,0),0)</f>
        <v>1</v>
      </c>
      <c r="F90">
        <v>1</v>
      </c>
      <c r="H90" t="s">
        <v>50</v>
      </c>
      <c r="I90">
        <v>8</v>
      </c>
    </row>
    <row r="91" spans="1:9">
      <c r="A91">
        <f t="shared" si="0"/>
        <v>2</v>
      </c>
      <c r="B91">
        <f t="shared" si="1"/>
        <v>414</v>
      </c>
      <c r="C91">
        <v>1</v>
      </c>
      <c r="D91" s="60">
        <v>43101</v>
      </c>
      <c r="E91" s="30">
        <f>VLOOKUP(VLOOKUP(B91,SuiteCatSubElem!$G$2:$H$666,2,0),'SA Q1 18 W'!$A$33:$F$193,1+MATCH(VLOOKUP(A91,Personas!$A$2:$B$6,2,0),'SA Q1 18 W'!$B$4:$F$4,0),0)</f>
        <v>0.9</v>
      </c>
      <c r="F91">
        <v>1</v>
      </c>
      <c r="H91" t="s">
        <v>50</v>
      </c>
      <c r="I91">
        <v>8</v>
      </c>
    </row>
    <row r="92" spans="1:9">
      <c r="A92">
        <f t="shared" si="0"/>
        <v>2</v>
      </c>
      <c r="B92">
        <f t="shared" si="1"/>
        <v>415</v>
      </c>
      <c r="C92">
        <v>1</v>
      </c>
      <c r="D92" s="60">
        <v>43101</v>
      </c>
      <c r="E92" s="30">
        <f>VLOOKUP(VLOOKUP(B92,SuiteCatSubElem!$G$2:$H$666,2,0),'SA Q1 18 W'!$A$33:$F$193,1+MATCH(VLOOKUP(A92,Personas!$A$2:$B$6,2,0),'SA Q1 18 W'!$B$4:$F$4,0),0)</f>
        <v>0.8</v>
      </c>
      <c r="F92">
        <v>1</v>
      </c>
      <c r="H92" t="s">
        <v>50</v>
      </c>
      <c r="I92">
        <v>8</v>
      </c>
    </row>
    <row r="93" spans="1:9">
      <c r="A93">
        <f t="shared" si="0"/>
        <v>2</v>
      </c>
      <c r="B93">
        <f t="shared" si="1"/>
        <v>416</v>
      </c>
      <c r="C93">
        <v>1</v>
      </c>
      <c r="D93" s="60">
        <v>43101</v>
      </c>
      <c r="E93" s="30">
        <f>VLOOKUP(VLOOKUP(B93,SuiteCatSubElem!$G$2:$H$666,2,0),'SA Q1 18 W'!$A$33:$F$193,1+MATCH(VLOOKUP(A93,Personas!$A$2:$B$6,2,0),'SA Q1 18 W'!$B$4:$F$4,0),0)</f>
        <v>0.9</v>
      </c>
      <c r="F93">
        <v>1</v>
      </c>
      <c r="H93" t="s">
        <v>50</v>
      </c>
      <c r="I93">
        <v>8</v>
      </c>
    </row>
    <row r="94" spans="1:9">
      <c r="A94">
        <f t="shared" si="0"/>
        <v>2</v>
      </c>
      <c r="B94">
        <f t="shared" si="1"/>
        <v>417</v>
      </c>
      <c r="C94">
        <v>1</v>
      </c>
      <c r="D94" s="60">
        <v>43101</v>
      </c>
      <c r="E94" s="30">
        <f>VLOOKUP(VLOOKUP(B94,SuiteCatSubElem!$G$2:$H$666,2,0),'SA Q1 18 W'!$A$33:$F$193,1+MATCH(VLOOKUP(A94,Personas!$A$2:$B$6,2,0),'SA Q1 18 W'!$B$4:$F$4,0),0)</f>
        <v>0.9</v>
      </c>
      <c r="F94">
        <v>1</v>
      </c>
      <c r="H94" t="s">
        <v>50</v>
      </c>
      <c r="I94">
        <v>8</v>
      </c>
    </row>
    <row r="95" spans="1:9">
      <c r="A95">
        <f t="shared" si="0"/>
        <v>2</v>
      </c>
      <c r="B95">
        <f t="shared" si="1"/>
        <v>418</v>
      </c>
      <c r="C95">
        <v>1</v>
      </c>
      <c r="D95" s="60">
        <v>43101</v>
      </c>
      <c r="E95" s="30">
        <f>VLOOKUP(VLOOKUP(B95,SuiteCatSubElem!$G$2:$H$666,2,0),'SA Q1 18 W'!$A$33:$F$193,1+MATCH(VLOOKUP(A95,Personas!$A$2:$B$6,2,0),'SA Q1 18 W'!$B$4:$F$4,0),0)</f>
        <v>0</v>
      </c>
      <c r="F95">
        <v>1</v>
      </c>
      <c r="H95" t="s">
        <v>50</v>
      </c>
      <c r="I95">
        <v>8</v>
      </c>
    </row>
    <row r="96" spans="1:9">
      <c r="A96">
        <f t="shared" si="0"/>
        <v>2</v>
      </c>
      <c r="B96">
        <f t="shared" si="1"/>
        <v>419</v>
      </c>
      <c r="C96">
        <v>1</v>
      </c>
      <c r="D96" s="60">
        <v>43101</v>
      </c>
      <c r="E96" s="30">
        <f>VLOOKUP(VLOOKUP(B96,SuiteCatSubElem!$G$2:$H$666,2,0),'SA Q1 18 W'!$A$33:$F$193,1+MATCH(VLOOKUP(A96,Personas!$A$2:$B$6,2,0),'SA Q1 18 W'!$B$4:$F$4,0),0)</f>
        <v>0.8</v>
      </c>
      <c r="F96">
        <v>1</v>
      </c>
      <c r="H96" t="s">
        <v>50</v>
      </c>
      <c r="I96">
        <v>8</v>
      </c>
    </row>
    <row r="97" spans="1:9">
      <c r="A97">
        <f t="shared" si="0"/>
        <v>2</v>
      </c>
      <c r="B97">
        <f t="shared" si="1"/>
        <v>420</v>
      </c>
      <c r="C97">
        <v>1</v>
      </c>
      <c r="D97" s="60">
        <v>43101</v>
      </c>
      <c r="E97" s="30">
        <f>VLOOKUP(VLOOKUP(B97,SuiteCatSubElem!$G$2:$H$666,2,0),'SA Q1 18 W'!$A$33:$F$193,1+MATCH(VLOOKUP(A97,Personas!$A$2:$B$6,2,0),'SA Q1 18 W'!$B$4:$F$4,0),0)</f>
        <v>0.8</v>
      </c>
      <c r="F97">
        <v>1</v>
      </c>
      <c r="H97" t="s">
        <v>50</v>
      </c>
      <c r="I97">
        <v>8</v>
      </c>
    </row>
    <row r="98" spans="1:9">
      <c r="A98">
        <f t="shared" si="0"/>
        <v>2</v>
      </c>
      <c r="B98">
        <f t="shared" si="1"/>
        <v>421</v>
      </c>
      <c r="C98">
        <v>1</v>
      </c>
      <c r="D98" s="60">
        <v>43101</v>
      </c>
      <c r="E98" s="30">
        <f>VLOOKUP(VLOOKUP(B98,SuiteCatSubElem!$G$2:$H$666,2,0),'SA Q1 18 W'!$A$33:$F$193,1+MATCH(VLOOKUP(A98,Personas!$A$2:$B$6,2,0),'SA Q1 18 W'!$B$4:$F$4,0),0)</f>
        <v>0.8</v>
      </c>
      <c r="F98">
        <v>1</v>
      </c>
      <c r="H98" t="s">
        <v>50</v>
      </c>
      <c r="I98">
        <v>8</v>
      </c>
    </row>
    <row r="99" spans="1:9">
      <c r="A99">
        <f t="shared" si="0"/>
        <v>2</v>
      </c>
      <c r="B99">
        <f t="shared" si="1"/>
        <v>422</v>
      </c>
      <c r="C99">
        <v>1</v>
      </c>
      <c r="D99" s="60">
        <v>43101</v>
      </c>
      <c r="E99" s="30">
        <f>VLOOKUP(VLOOKUP(B99,SuiteCatSubElem!$G$2:$H$666,2,0),'SA Q1 18 W'!$A$33:$F$193,1+MATCH(VLOOKUP(A99,Personas!$A$2:$B$6,2,0),'SA Q1 18 W'!$B$4:$F$4,0),0)</f>
        <v>0.9</v>
      </c>
      <c r="F99">
        <v>1</v>
      </c>
      <c r="H99" t="s">
        <v>50</v>
      </c>
      <c r="I99">
        <v>8</v>
      </c>
    </row>
    <row r="100" spans="1:9">
      <c r="A100">
        <f t="shared" si="0"/>
        <v>2</v>
      </c>
      <c r="B100">
        <f t="shared" si="1"/>
        <v>423</v>
      </c>
      <c r="C100">
        <v>1</v>
      </c>
      <c r="D100" s="60">
        <v>43101</v>
      </c>
      <c r="E100" s="30">
        <f>VLOOKUP(VLOOKUP(B100,SuiteCatSubElem!$G$2:$H$666,2,0),'SA Q1 18 W'!$A$33:$F$193,1+MATCH(VLOOKUP(A100,Personas!$A$2:$B$6,2,0),'SA Q1 18 W'!$B$4:$F$4,0),0)</f>
        <v>0.9</v>
      </c>
      <c r="F100">
        <v>1</v>
      </c>
      <c r="H100" t="s">
        <v>50</v>
      </c>
      <c r="I100">
        <v>8</v>
      </c>
    </row>
    <row r="101" spans="1:9">
      <c r="A101">
        <f t="shared" si="0"/>
        <v>2</v>
      </c>
      <c r="B101">
        <f t="shared" si="1"/>
        <v>424</v>
      </c>
      <c r="C101">
        <v>1</v>
      </c>
      <c r="D101" s="60">
        <v>43101</v>
      </c>
      <c r="E101" s="30">
        <f>VLOOKUP(VLOOKUP(B101,SuiteCatSubElem!$G$2:$H$666,2,0),'SA Q1 18 W'!$A$33:$F$193,1+MATCH(VLOOKUP(A101,Personas!$A$2:$B$6,2,0),'SA Q1 18 W'!$B$4:$F$4,0),0)</f>
        <v>0.8</v>
      </c>
      <c r="F101">
        <v>1</v>
      </c>
      <c r="H101" t="s">
        <v>50</v>
      </c>
      <c r="I101">
        <v>8</v>
      </c>
    </row>
    <row r="102" spans="1:9">
      <c r="A102">
        <f t="shared" si="0"/>
        <v>2</v>
      </c>
      <c r="B102">
        <f t="shared" si="1"/>
        <v>425</v>
      </c>
      <c r="C102">
        <v>1</v>
      </c>
      <c r="D102" s="60">
        <v>43101</v>
      </c>
      <c r="E102" s="30">
        <f>VLOOKUP(VLOOKUP(B102,SuiteCatSubElem!$G$2:$H$666,2,0),'SA Q1 18 W'!$A$33:$F$193,1+MATCH(VLOOKUP(A102,Personas!$A$2:$B$6,2,0),'SA Q1 18 W'!$B$4:$F$4,0),0)</f>
        <v>0.9</v>
      </c>
      <c r="F102">
        <v>1</v>
      </c>
      <c r="H102" t="s">
        <v>50</v>
      </c>
      <c r="I102">
        <v>8</v>
      </c>
    </row>
    <row r="103" spans="1:9">
      <c r="A103">
        <f t="shared" si="0"/>
        <v>2</v>
      </c>
      <c r="B103">
        <f t="shared" si="1"/>
        <v>426</v>
      </c>
      <c r="C103">
        <v>1</v>
      </c>
      <c r="D103" s="60">
        <v>43101</v>
      </c>
      <c r="E103" s="30">
        <f>VLOOKUP(VLOOKUP(B103,SuiteCatSubElem!$G$2:$H$666,2,0),'SA Q1 18 W'!$A$33:$F$193,1+MATCH(VLOOKUP(A103,Personas!$A$2:$B$6,2,0),'SA Q1 18 W'!$B$4:$F$4,0),0)</f>
        <v>0.9</v>
      </c>
      <c r="F103">
        <v>1</v>
      </c>
      <c r="H103" t="s">
        <v>50</v>
      </c>
      <c r="I103">
        <v>8</v>
      </c>
    </row>
    <row r="104" spans="1:9">
      <c r="A104">
        <f t="shared" si="0"/>
        <v>2</v>
      </c>
      <c r="B104">
        <f t="shared" si="1"/>
        <v>427</v>
      </c>
      <c r="C104">
        <v>1</v>
      </c>
      <c r="D104" s="60">
        <v>43101</v>
      </c>
      <c r="E104" s="30">
        <f>VLOOKUP(VLOOKUP(B104,SuiteCatSubElem!$G$2:$H$666,2,0),'SA Q1 18 W'!$A$33:$F$193,1+MATCH(VLOOKUP(A104,Personas!$A$2:$B$6,2,0),'SA Q1 18 W'!$B$4:$F$4,0),0)</f>
        <v>0.9</v>
      </c>
      <c r="F104">
        <v>1</v>
      </c>
      <c r="H104" t="s">
        <v>50</v>
      </c>
      <c r="I104">
        <v>8</v>
      </c>
    </row>
    <row r="105" spans="1:9">
      <c r="A105">
        <f t="shared" si="0"/>
        <v>2</v>
      </c>
      <c r="B105">
        <f t="shared" si="1"/>
        <v>428</v>
      </c>
      <c r="C105">
        <v>1</v>
      </c>
      <c r="D105" s="60">
        <v>43101</v>
      </c>
      <c r="E105" s="30">
        <f>VLOOKUP(VLOOKUP(B105,SuiteCatSubElem!$G$2:$H$666,2,0),'SA Q1 18 W'!$A$33:$F$193,1+MATCH(VLOOKUP(A105,Personas!$A$2:$B$6,2,0),'SA Q1 18 W'!$B$4:$F$4,0),0)</f>
        <v>0.8</v>
      </c>
      <c r="F105">
        <v>1</v>
      </c>
      <c r="H105" t="s">
        <v>50</v>
      </c>
      <c r="I105">
        <v>8</v>
      </c>
    </row>
    <row r="106" spans="1:9">
      <c r="A106">
        <f t="shared" si="0"/>
        <v>2</v>
      </c>
      <c r="B106">
        <f t="shared" si="1"/>
        <v>429</v>
      </c>
      <c r="C106">
        <v>1</v>
      </c>
      <c r="D106" s="60">
        <v>43101</v>
      </c>
      <c r="E106" s="30">
        <f>VLOOKUP(VLOOKUP(B106,SuiteCatSubElem!$G$2:$H$666,2,0),'SA Q1 18 W'!$A$33:$F$193,1+MATCH(VLOOKUP(A106,Personas!$A$2:$B$6,2,0),'SA Q1 18 W'!$B$4:$F$4,0),0)</f>
        <v>0.9</v>
      </c>
      <c r="F106">
        <v>1</v>
      </c>
      <c r="H106" t="s">
        <v>50</v>
      </c>
      <c r="I106">
        <v>8</v>
      </c>
    </row>
    <row r="107" spans="1:9">
      <c r="A107">
        <f t="shared" si="0"/>
        <v>2</v>
      </c>
      <c r="B107">
        <f t="shared" si="1"/>
        <v>430</v>
      </c>
      <c r="C107">
        <v>1</v>
      </c>
      <c r="D107" s="60">
        <v>43101</v>
      </c>
      <c r="E107" s="30">
        <f>VLOOKUP(VLOOKUP(B107,SuiteCatSubElem!$G$2:$H$666,2,0),'SA Q1 18 W'!$A$33:$F$193,1+MATCH(VLOOKUP(A107,Personas!$A$2:$B$6,2,0),'SA Q1 18 W'!$B$4:$F$4,0),0)</f>
        <v>0.6</v>
      </c>
      <c r="F107">
        <v>1</v>
      </c>
      <c r="H107" t="s">
        <v>50</v>
      </c>
      <c r="I107">
        <v>8</v>
      </c>
    </row>
    <row r="108" spans="1:9">
      <c r="A108">
        <f t="shared" si="0"/>
        <v>2</v>
      </c>
      <c r="B108">
        <f t="shared" si="1"/>
        <v>431</v>
      </c>
      <c r="C108">
        <v>1</v>
      </c>
      <c r="D108" s="60">
        <v>43101</v>
      </c>
      <c r="E108" s="30">
        <f>VLOOKUP(VLOOKUP(B108,SuiteCatSubElem!$G$2:$H$666,2,0),'SA Q1 18 W'!$A$33:$F$193,1+MATCH(VLOOKUP(A108,Personas!$A$2:$B$6,2,0),'SA Q1 18 W'!$B$4:$F$4,0),0)</f>
        <v>0.4</v>
      </c>
      <c r="F108">
        <v>1</v>
      </c>
      <c r="H108" t="s">
        <v>50</v>
      </c>
      <c r="I108">
        <v>8</v>
      </c>
    </row>
    <row r="109" spans="1:9">
      <c r="A109">
        <f t="shared" si="0"/>
        <v>2</v>
      </c>
      <c r="B109">
        <f t="shared" si="1"/>
        <v>432</v>
      </c>
      <c r="C109">
        <v>1</v>
      </c>
      <c r="D109" s="60">
        <v>43101</v>
      </c>
      <c r="E109" s="30">
        <f>VLOOKUP(VLOOKUP(B109,SuiteCatSubElem!$G$2:$H$666,2,0),'SA Q1 18 W'!$A$33:$F$193,1+MATCH(VLOOKUP(A109,Personas!$A$2:$B$6,2,0),'SA Q1 18 W'!$B$4:$F$4,0),0)</f>
        <v>0.9</v>
      </c>
      <c r="F109">
        <v>1</v>
      </c>
      <c r="H109" t="s">
        <v>50</v>
      </c>
      <c r="I109">
        <v>8</v>
      </c>
    </row>
    <row r="110" spans="1:9">
      <c r="A110">
        <f t="shared" si="0"/>
        <v>2</v>
      </c>
      <c r="B110">
        <f t="shared" si="1"/>
        <v>433</v>
      </c>
      <c r="C110">
        <v>1</v>
      </c>
      <c r="D110" s="60">
        <v>43101</v>
      </c>
      <c r="E110" s="30">
        <f>VLOOKUP(VLOOKUP(B110,SuiteCatSubElem!$G$2:$H$666,2,0),'SA Q1 18 W'!$A$33:$F$193,1+MATCH(VLOOKUP(A110,Personas!$A$2:$B$6,2,0),'SA Q1 18 W'!$B$4:$F$4,0),0)</f>
        <v>0.9</v>
      </c>
      <c r="F110">
        <v>1</v>
      </c>
      <c r="H110" t="s">
        <v>50</v>
      </c>
      <c r="I110">
        <v>8</v>
      </c>
    </row>
    <row r="111" spans="1:9">
      <c r="A111">
        <f t="shared" si="0"/>
        <v>2</v>
      </c>
      <c r="B111">
        <f t="shared" si="1"/>
        <v>434</v>
      </c>
      <c r="C111">
        <v>1</v>
      </c>
      <c r="D111" s="60">
        <v>43101</v>
      </c>
      <c r="E111" s="30">
        <f>VLOOKUP(VLOOKUP(B111,SuiteCatSubElem!$G$2:$H$666,2,0),'SA Q1 18 W'!$A$33:$F$193,1+MATCH(VLOOKUP(A111,Personas!$A$2:$B$6,2,0),'SA Q1 18 W'!$B$4:$F$4,0),0)</f>
        <v>0.7</v>
      </c>
      <c r="F111">
        <v>1</v>
      </c>
      <c r="H111" t="s">
        <v>50</v>
      </c>
      <c r="I111">
        <v>8</v>
      </c>
    </row>
    <row r="112" spans="1:9">
      <c r="A112">
        <f t="shared" si="0"/>
        <v>2</v>
      </c>
      <c r="B112">
        <f t="shared" si="1"/>
        <v>435</v>
      </c>
      <c r="C112">
        <v>1</v>
      </c>
      <c r="D112" s="60">
        <v>43101</v>
      </c>
      <c r="E112" s="30">
        <f>VLOOKUP(VLOOKUP(B112,SuiteCatSubElem!$G$2:$H$666,2,0),'SA Q1 18 W'!$A$33:$F$193,1+MATCH(VLOOKUP(A112,Personas!$A$2:$B$6,2,0),'SA Q1 18 W'!$B$4:$F$4,0),0)</f>
        <v>0.7</v>
      </c>
      <c r="F112">
        <v>1</v>
      </c>
      <c r="H112" t="s">
        <v>50</v>
      </c>
      <c r="I112">
        <v>8</v>
      </c>
    </row>
    <row r="113" spans="1:9">
      <c r="A113">
        <f t="shared" si="0"/>
        <v>2</v>
      </c>
      <c r="B113">
        <f t="shared" si="1"/>
        <v>436</v>
      </c>
      <c r="C113">
        <v>1</v>
      </c>
      <c r="D113" s="60">
        <v>43101</v>
      </c>
      <c r="E113" s="30">
        <f>VLOOKUP(VLOOKUP(B113,SuiteCatSubElem!$G$2:$H$666,2,0),'SA Q1 18 W'!$A$33:$F$193,1+MATCH(VLOOKUP(A113,Personas!$A$2:$B$6,2,0),'SA Q1 18 W'!$B$4:$F$4,0),0)</f>
        <v>0.9</v>
      </c>
      <c r="F113">
        <v>1</v>
      </c>
      <c r="H113" t="s">
        <v>50</v>
      </c>
      <c r="I113">
        <v>8</v>
      </c>
    </row>
    <row r="114" spans="1:9">
      <c r="A114">
        <f t="shared" si="0"/>
        <v>2</v>
      </c>
      <c r="B114">
        <f t="shared" si="1"/>
        <v>437</v>
      </c>
      <c r="C114">
        <v>1</v>
      </c>
      <c r="D114" s="60">
        <v>43101</v>
      </c>
      <c r="E114" s="30">
        <f>VLOOKUP(VLOOKUP(B114,SuiteCatSubElem!$G$2:$H$666,2,0),'SA Q1 18 W'!$A$33:$F$193,1+MATCH(VLOOKUP(A114,Personas!$A$2:$B$6,2,0),'SA Q1 18 W'!$B$4:$F$4,0),0)</f>
        <v>0.8</v>
      </c>
      <c r="F114">
        <v>1</v>
      </c>
      <c r="H114" t="s">
        <v>50</v>
      </c>
      <c r="I114">
        <v>8</v>
      </c>
    </row>
    <row r="115" spans="1:9">
      <c r="A115">
        <f t="shared" si="0"/>
        <v>2</v>
      </c>
      <c r="B115">
        <f t="shared" si="1"/>
        <v>438</v>
      </c>
      <c r="C115">
        <v>1</v>
      </c>
      <c r="D115" s="60">
        <v>43101</v>
      </c>
      <c r="E115" s="30">
        <f>VLOOKUP(VLOOKUP(B115,SuiteCatSubElem!$G$2:$H$666,2,0),'SA Q1 18 W'!$A$33:$F$193,1+MATCH(VLOOKUP(A115,Personas!$A$2:$B$6,2,0),'SA Q1 18 W'!$B$4:$F$4,0),0)</f>
        <v>0.8</v>
      </c>
      <c r="F115">
        <v>1</v>
      </c>
      <c r="H115" t="s">
        <v>50</v>
      </c>
      <c r="I115">
        <v>8</v>
      </c>
    </row>
    <row r="116" spans="1:9">
      <c r="A116">
        <f t="shared" si="0"/>
        <v>2</v>
      </c>
      <c r="B116">
        <f t="shared" si="1"/>
        <v>439</v>
      </c>
      <c r="C116">
        <v>1</v>
      </c>
      <c r="D116" s="60">
        <v>43101</v>
      </c>
      <c r="E116" s="30">
        <f>VLOOKUP(VLOOKUP(B116,SuiteCatSubElem!$G$2:$H$666,2,0),'SA Q1 18 W'!$A$33:$F$193,1+MATCH(VLOOKUP(A116,Personas!$A$2:$B$6,2,0),'SA Q1 18 W'!$B$4:$F$4,0),0)</f>
        <v>0.9</v>
      </c>
      <c r="F116">
        <v>1</v>
      </c>
      <c r="H116" t="s">
        <v>50</v>
      </c>
      <c r="I116">
        <v>8</v>
      </c>
    </row>
    <row r="117" spans="1:9">
      <c r="A117">
        <f t="shared" si="0"/>
        <v>2</v>
      </c>
      <c r="B117">
        <f t="shared" si="1"/>
        <v>440</v>
      </c>
      <c r="C117">
        <v>1</v>
      </c>
      <c r="D117" s="60">
        <v>43101</v>
      </c>
      <c r="E117" s="30">
        <f>VLOOKUP(VLOOKUP(B117,SuiteCatSubElem!$G$2:$H$666,2,0),'SA Q1 18 W'!$A$33:$F$193,1+MATCH(VLOOKUP(A117,Personas!$A$2:$B$6,2,0),'SA Q1 18 W'!$B$4:$F$4,0),0)</f>
        <v>0.9</v>
      </c>
      <c r="F117">
        <v>1</v>
      </c>
      <c r="H117" t="s">
        <v>50</v>
      </c>
      <c r="I117">
        <v>8</v>
      </c>
    </row>
    <row r="118" spans="1:9">
      <c r="A118">
        <f t="shared" si="0"/>
        <v>2</v>
      </c>
      <c r="B118">
        <f t="shared" si="1"/>
        <v>441</v>
      </c>
      <c r="C118">
        <v>1</v>
      </c>
      <c r="D118" s="60">
        <v>43101</v>
      </c>
      <c r="E118" s="30">
        <f>VLOOKUP(VLOOKUP(B118,SuiteCatSubElem!$G$2:$H$666,2,0),'SA Q1 18 W'!$A$33:$F$193,1+MATCH(VLOOKUP(A118,Personas!$A$2:$B$6,2,0),'SA Q1 18 W'!$B$4:$F$4,0),0)</f>
        <v>0.9</v>
      </c>
      <c r="F118">
        <v>1</v>
      </c>
      <c r="H118" t="s">
        <v>50</v>
      </c>
      <c r="I118">
        <v>8</v>
      </c>
    </row>
    <row r="119" spans="1:9">
      <c r="A119">
        <f t="shared" si="0"/>
        <v>2</v>
      </c>
      <c r="B119">
        <f t="shared" si="1"/>
        <v>442</v>
      </c>
      <c r="C119">
        <v>1</v>
      </c>
      <c r="D119" s="60">
        <v>43101</v>
      </c>
      <c r="E119" s="30">
        <f>VLOOKUP(VLOOKUP(B119,SuiteCatSubElem!$G$2:$H$666,2,0),'SA Q1 18 W'!$A$33:$F$193,1+MATCH(VLOOKUP(A119,Personas!$A$2:$B$6,2,0),'SA Q1 18 W'!$B$4:$F$4,0),0)</f>
        <v>0.8</v>
      </c>
      <c r="F119">
        <v>1</v>
      </c>
      <c r="H119" t="s">
        <v>50</v>
      </c>
      <c r="I119">
        <v>8</v>
      </c>
    </row>
    <row r="120" spans="1:9">
      <c r="A120">
        <f t="shared" si="0"/>
        <v>2</v>
      </c>
      <c r="B120">
        <f t="shared" si="1"/>
        <v>443</v>
      </c>
      <c r="C120">
        <v>1</v>
      </c>
      <c r="D120" s="60">
        <v>43101</v>
      </c>
      <c r="E120" s="30">
        <f>VLOOKUP(VLOOKUP(B120,SuiteCatSubElem!$G$2:$H$666,2,0),'SA Q1 18 W'!$A$33:$F$193,1+MATCH(VLOOKUP(A120,Personas!$A$2:$B$6,2,0),'SA Q1 18 W'!$B$4:$F$4,0),0)</f>
        <v>0.6</v>
      </c>
      <c r="F120">
        <v>1</v>
      </c>
      <c r="H120" t="s">
        <v>50</v>
      </c>
      <c r="I120">
        <v>8</v>
      </c>
    </row>
    <row r="121" spans="1:9">
      <c r="A121">
        <f t="shared" si="0"/>
        <v>2</v>
      </c>
      <c r="B121">
        <f t="shared" si="1"/>
        <v>445</v>
      </c>
      <c r="C121">
        <v>1</v>
      </c>
      <c r="D121" s="60">
        <v>43101</v>
      </c>
      <c r="E121" s="30">
        <f>VLOOKUP(VLOOKUP(B121,SuiteCatSubElem!$G$2:$H$666,2,0),'SA Q1 18 W'!$A$33:$F$193,1+MATCH(VLOOKUP(A121,Personas!$A$2:$B$6,2,0),'SA Q1 18 W'!$B$4:$F$4,0),0)</f>
        <v>1</v>
      </c>
      <c r="F121">
        <v>1</v>
      </c>
      <c r="H121" t="s">
        <v>50</v>
      </c>
      <c r="I121">
        <v>8</v>
      </c>
    </row>
    <row r="122" spans="1:9">
      <c r="A122">
        <f t="shared" si="0"/>
        <v>2</v>
      </c>
      <c r="B122">
        <f t="shared" si="1"/>
        <v>446</v>
      </c>
      <c r="C122">
        <v>1</v>
      </c>
      <c r="D122" s="60">
        <v>43101</v>
      </c>
      <c r="E122" s="30">
        <f>VLOOKUP(VLOOKUP(B122,SuiteCatSubElem!$G$2:$H$666,2,0),'SA Q1 18 W'!$A$33:$F$193,1+MATCH(VLOOKUP(A122,Personas!$A$2:$B$6,2,0),'SA Q1 18 W'!$B$4:$F$4,0),0)</f>
        <v>0.7</v>
      </c>
      <c r="F122">
        <v>1</v>
      </c>
      <c r="H122" t="s">
        <v>50</v>
      </c>
      <c r="I122">
        <v>8</v>
      </c>
    </row>
    <row r="123" spans="1:9">
      <c r="A123">
        <f t="shared" si="0"/>
        <v>2</v>
      </c>
      <c r="B123">
        <f t="shared" si="1"/>
        <v>447</v>
      </c>
      <c r="C123">
        <v>1</v>
      </c>
      <c r="D123" s="60">
        <v>43101</v>
      </c>
      <c r="E123" s="30">
        <f>VLOOKUP(VLOOKUP(B123,SuiteCatSubElem!$G$2:$H$666,2,0),'SA Q1 18 W'!$A$33:$F$193,1+MATCH(VLOOKUP(A123,Personas!$A$2:$B$6,2,0),'SA Q1 18 W'!$B$4:$F$4,0),0)</f>
        <v>0.5</v>
      </c>
      <c r="F123">
        <v>1</v>
      </c>
      <c r="H123" t="s">
        <v>50</v>
      </c>
      <c r="I123">
        <v>8</v>
      </c>
    </row>
    <row r="124" spans="1:9">
      <c r="A124">
        <f t="shared" si="0"/>
        <v>2</v>
      </c>
      <c r="B124">
        <f t="shared" si="1"/>
        <v>448</v>
      </c>
      <c r="C124">
        <v>1</v>
      </c>
      <c r="D124" s="60">
        <v>43101</v>
      </c>
      <c r="E124" s="30">
        <f>VLOOKUP(VLOOKUP(B124,SuiteCatSubElem!$G$2:$H$666,2,0),'SA Q1 18 W'!$A$33:$F$193,1+MATCH(VLOOKUP(A124,Personas!$A$2:$B$6,2,0),'SA Q1 18 W'!$B$4:$F$4,0),0)</f>
        <v>1</v>
      </c>
      <c r="F124">
        <v>1</v>
      </c>
      <c r="H124" t="s">
        <v>50</v>
      </c>
      <c r="I124">
        <v>8</v>
      </c>
    </row>
    <row r="125" spans="1:9">
      <c r="A125">
        <f t="shared" si="0"/>
        <v>2</v>
      </c>
      <c r="B125">
        <f t="shared" si="1"/>
        <v>449</v>
      </c>
      <c r="C125">
        <v>1</v>
      </c>
      <c r="D125" s="60">
        <v>43101</v>
      </c>
      <c r="E125" s="30">
        <f>VLOOKUP(VLOOKUP(B125,SuiteCatSubElem!$G$2:$H$666,2,0),'SA Q1 18 W'!$A$33:$F$193,1+MATCH(VLOOKUP(A125,Personas!$A$2:$B$6,2,0),'SA Q1 18 W'!$B$4:$F$4,0),0)</f>
        <v>0.6</v>
      </c>
      <c r="F125">
        <v>1</v>
      </c>
      <c r="H125" t="s">
        <v>50</v>
      </c>
      <c r="I125">
        <v>8</v>
      </c>
    </row>
    <row r="126" spans="1:9">
      <c r="A126">
        <f t="shared" si="0"/>
        <v>2</v>
      </c>
      <c r="B126">
        <f t="shared" si="1"/>
        <v>450</v>
      </c>
      <c r="C126">
        <v>1</v>
      </c>
      <c r="D126" s="60">
        <v>43101</v>
      </c>
      <c r="E126" s="30">
        <f>VLOOKUP(VLOOKUP(B126,SuiteCatSubElem!$G$2:$H$666,2,0),'SA Q1 18 W'!$A$33:$F$193,1+MATCH(VLOOKUP(A126,Personas!$A$2:$B$6,2,0),'SA Q1 18 W'!$B$4:$F$4,0),0)</f>
        <v>1</v>
      </c>
      <c r="F126">
        <v>1</v>
      </c>
      <c r="H126" t="s">
        <v>50</v>
      </c>
      <c r="I126">
        <v>8</v>
      </c>
    </row>
    <row r="127" spans="1:9">
      <c r="A127">
        <f t="shared" si="0"/>
        <v>2</v>
      </c>
      <c r="B127">
        <f t="shared" si="1"/>
        <v>451</v>
      </c>
      <c r="C127">
        <v>1</v>
      </c>
      <c r="D127" s="60">
        <v>43101</v>
      </c>
      <c r="E127" s="30">
        <f>VLOOKUP(VLOOKUP(B127,SuiteCatSubElem!$G$2:$H$666,2,0),'SA Q1 18 W'!$A$33:$F$193,1+MATCH(VLOOKUP(A127,Personas!$A$2:$B$6,2,0),'SA Q1 18 W'!$B$4:$F$4,0),0)</f>
        <v>0.6</v>
      </c>
      <c r="F127">
        <v>1</v>
      </c>
      <c r="H127" t="s">
        <v>50</v>
      </c>
      <c r="I127">
        <v>8</v>
      </c>
    </row>
    <row r="128" spans="1:9">
      <c r="A128">
        <f t="shared" si="0"/>
        <v>2</v>
      </c>
      <c r="B128">
        <f t="shared" si="1"/>
        <v>452</v>
      </c>
      <c r="C128">
        <v>1</v>
      </c>
      <c r="D128" s="60">
        <v>43101</v>
      </c>
      <c r="E128" s="30">
        <f>VLOOKUP(VLOOKUP(B128,SuiteCatSubElem!$G$2:$H$666,2,0),'SA Q1 18 W'!$A$33:$F$193,1+MATCH(VLOOKUP(A128,Personas!$A$2:$B$6,2,0),'SA Q1 18 W'!$B$4:$F$4,0),0)</f>
        <v>0.6</v>
      </c>
      <c r="F128">
        <v>1</v>
      </c>
      <c r="H128" t="s">
        <v>50</v>
      </c>
      <c r="I128">
        <v>8</v>
      </c>
    </row>
    <row r="129" spans="1:9">
      <c r="A129">
        <f t="shared" si="0"/>
        <v>2</v>
      </c>
      <c r="B129">
        <f t="shared" si="1"/>
        <v>453</v>
      </c>
      <c r="C129">
        <v>1</v>
      </c>
      <c r="D129" s="60">
        <v>43101</v>
      </c>
      <c r="E129" s="30">
        <f>VLOOKUP(VLOOKUP(B129,SuiteCatSubElem!$G$2:$H$666,2,0),'SA Q1 18 W'!$A$33:$F$193,1+MATCH(VLOOKUP(A129,Personas!$A$2:$B$6,2,0),'SA Q1 18 W'!$B$4:$F$4,0),0)</f>
        <v>0.5</v>
      </c>
      <c r="F129">
        <v>1</v>
      </c>
      <c r="H129" t="s">
        <v>50</v>
      </c>
      <c r="I129">
        <v>8</v>
      </c>
    </row>
    <row r="130" spans="1:9">
      <c r="A130">
        <f t="shared" si="0"/>
        <v>2</v>
      </c>
      <c r="B130">
        <f t="shared" si="1"/>
        <v>454</v>
      </c>
      <c r="C130">
        <v>1</v>
      </c>
      <c r="D130" s="60">
        <v>43101</v>
      </c>
      <c r="E130" s="30">
        <f>VLOOKUP(VLOOKUP(B130,SuiteCatSubElem!$G$2:$H$666,2,0),'SA Q1 18 W'!$A$33:$F$193,1+MATCH(VLOOKUP(A130,Personas!$A$2:$B$6,2,0),'SA Q1 18 W'!$B$4:$F$4,0),0)</f>
        <v>0.5</v>
      </c>
      <c r="F130">
        <v>1</v>
      </c>
      <c r="H130" t="s">
        <v>50</v>
      </c>
      <c r="I130">
        <v>8</v>
      </c>
    </row>
    <row r="131" spans="1:9">
      <c r="A131">
        <f t="shared" si="0"/>
        <v>2</v>
      </c>
      <c r="B131">
        <f t="shared" si="1"/>
        <v>455</v>
      </c>
      <c r="C131">
        <v>1</v>
      </c>
      <c r="D131" s="60">
        <v>43101</v>
      </c>
      <c r="E131" s="30">
        <f>VLOOKUP(VLOOKUP(B131,SuiteCatSubElem!$G$2:$H$666,2,0),'SA Q1 18 W'!$A$33:$F$193,1+MATCH(VLOOKUP(A131,Personas!$A$2:$B$6,2,0),'SA Q1 18 W'!$B$4:$F$4,0),0)</f>
        <v>0.8</v>
      </c>
      <c r="F131">
        <v>1</v>
      </c>
      <c r="H131" t="s">
        <v>50</v>
      </c>
      <c r="I131">
        <v>8</v>
      </c>
    </row>
    <row r="132" spans="1:9">
      <c r="A132">
        <f t="shared" si="0"/>
        <v>2</v>
      </c>
      <c r="B132">
        <f t="shared" si="1"/>
        <v>456</v>
      </c>
      <c r="C132">
        <v>1</v>
      </c>
      <c r="D132" s="60">
        <v>43101</v>
      </c>
      <c r="E132" s="30">
        <f>VLOOKUP(VLOOKUP(B132,SuiteCatSubElem!$G$2:$H$666,2,0),'SA Q1 18 W'!$A$33:$F$193,1+MATCH(VLOOKUP(A132,Personas!$A$2:$B$6,2,0),'SA Q1 18 W'!$B$4:$F$4,0),0)</f>
        <v>1</v>
      </c>
      <c r="F132">
        <v>1</v>
      </c>
      <c r="H132" t="s">
        <v>50</v>
      </c>
      <c r="I132">
        <v>8</v>
      </c>
    </row>
    <row r="133" spans="1:9">
      <c r="A133">
        <f t="shared" si="0"/>
        <v>2</v>
      </c>
      <c r="B133">
        <f t="shared" si="1"/>
        <v>457</v>
      </c>
      <c r="C133">
        <v>1</v>
      </c>
      <c r="D133" s="60">
        <v>43101</v>
      </c>
      <c r="E133" s="30">
        <f>VLOOKUP(VLOOKUP(B133,SuiteCatSubElem!$G$2:$H$666,2,0),'SA Q1 18 W'!$A$33:$F$193,1+MATCH(VLOOKUP(A133,Personas!$A$2:$B$6,2,0),'SA Q1 18 W'!$B$4:$F$4,0),0)</f>
        <v>1</v>
      </c>
      <c r="F133">
        <v>1</v>
      </c>
      <c r="H133" t="s">
        <v>50</v>
      </c>
      <c r="I133">
        <v>8</v>
      </c>
    </row>
    <row r="134" spans="1:9">
      <c r="A134">
        <f t="shared" si="0"/>
        <v>2</v>
      </c>
      <c r="B134">
        <f t="shared" si="1"/>
        <v>458</v>
      </c>
      <c r="C134">
        <v>1</v>
      </c>
      <c r="D134" s="60">
        <v>43101</v>
      </c>
      <c r="E134" s="30">
        <f>VLOOKUP(VLOOKUP(B134,SuiteCatSubElem!$G$2:$H$666,2,0),'SA Q1 18 W'!$A$33:$F$193,1+MATCH(VLOOKUP(A134,Personas!$A$2:$B$6,2,0),'SA Q1 18 W'!$B$4:$F$4,0),0)</f>
        <v>0.8</v>
      </c>
      <c r="F134">
        <v>1</v>
      </c>
      <c r="H134" t="s">
        <v>50</v>
      </c>
      <c r="I134">
        <v>8</v>
      </c>
    </row>
    <row r="135" spans="1:9">
      <c r="A135">
        <f t="shared" si="0"/>
        <v>2</v>
      </c>
      <c r="B135">
        <f t="shared" si="1"/>
        <v>459</v>
      </c>
      <c r="C135">
        <v>1</v>
      </c>
      <c r="D135" s="60">
        <v>43101</v>
      </c>
      <c r="E135" s="30">
        <f>VLOOKUP(VLOOKUP(B135,SuiteCatSubElem!$G$2:$H$666,2,0),'SA Q1 18 W'!$A$33:$F$193,1+MATCH(VLOOKUP(A135,Personas!$A$2:$B$6,2,0),'SA Q1 18 W'!$B$4:$F$4,0),0)</f>
        <v>0.9</v>
      </c>
      <c r="F135">
        <v>1</v>
      </c>
      <c r="H135" t="s">
        <v>50</v>
      </c>
      <c r="I135">
        <v>8</v>
      </c>
    </row>
    <row r="136" spans="1:9">
      <c r="A136">
        <f t="shared" si="0"/>
        <v>2</v>
      </c>
      <c r="B136">
        <f t="shared" si="1"/>
        <v>460</v>
      </c>
      <c r="C136">
        <v>1</v>
      </c>
      <c r="D136" s="60">
        <v>43101</v>
      </c>
      <c r="E136" s="30">
        <f>VLOOKUP(VLOOKUP(B136,SuiteCatSubElem!$G$2:$H$666,2,0),'SA Q1 18 W'!$A$33:$F$193,1+MATCH(VLOOKUP(A136,Personas!$A$2:$B$6,2,0),'SA Q1 18 W'!$B$4:$F$4,0),0)</f>
        <v>0.5</v>
      </c>
      <c r="F136">
        <v>1</v>
      </c>
      <c r="H136" t="s">
        <v>50</v>
      </c>
      <c r="I136">
        <v>8</v>
      </c>
    </row>
    <row r="137" spans="1:9">
      <c r="A137">
        <f t="shared" si="0"/>
        <v>2</v>
      </c>
      <c r="B137">
        <f t="shared" si="1"/>
        <v>461</v>
      </c>
      <c r="C137">
        <v>1</v>
      </c>
      <c r="D137" s="60">
        <v>43101</v>
      </c>
      <c r="E137" s="30">
        <f>VLOOKUP(VLOOKUP(B137,SuiteCatSubElem!$G$2:$H$666,2,0),'SA Q1 18 W'!$A$33:$F$193,1+MATCH(VLOOKUP(A137,Personas!$A$2:$B$6,2,0),'SA Q1 18 W'!$B$4:$F$4,0),0)</f>
        <v>0.6</v>
      </c>
      <c r="F137">
        <v>1</v>
      </c>
      <c r="H137" t="s">
        <v>50</v>
      </c>
      <c r="I137">
        <v>8</v>
      </c>
    </row>
    <row r="138" spans="1:9">
      <c r="A138">
        <f t="shared" si="0"/>
        <v>2</v>
      </c>
      <c r="B138">
        <f t="shared" si="1"/>
        <v>462</v>
      </c>
      <c r="C138">
        <v>1</v>
      </c>
      <c r="D138" s="60">
        <v>43101</v>
      </c>
      <c r="E138" s="30">
        <f>VLOOKUP(VLOOKUP(B138,SuiteCatSubElem!$G$2:$H$666,2,0),'SA Q1 18 W'!$A$33:$F$193,1+MATCH(VLOOKUP(A138,Personas!$A$2:$B$6,2,0),'SA Q1 18 W'!$B$4:$F$4,0),0)</f>
        <v>0.6</v>
      </c>
      <c r="F138">
        <v>1</v>
      </c>
      <c r="H138" t="s">
        <v>50</v>
      </c>
      <c r="I138">
        <v>8</v>
      </c>
    </row>
    <row r="139" spans="1:9">
      <c r="A139">
        <f t="shared" si="0"/>
        <v>2</v>
      </c>
      <c r="B139">
        <f t="shared" si="1"/>
        <v>463</v>
      </c>
      <c r="C139">
        <v>1</v>
      </c>
      <c r="D139" s="60">
        <v>43101</v>
      </c>
      <c r="E139" s="30">
        <f>VLOOKUP(VLOOKUP(B139,SuiteCatSubElem!$G$2:$H$666,2,0),'SA Q1 18 W'!$A$33:$F$193,1+MATCH(VLOOKUP(A139,Personas!$A$2:$B$6,2,0),'SA Q1 18 W'!$B$4:$F$4,0),0)</f>
        <v>0.5</v>
      </c>
      <c r="F139">
        <v>1</v>
      </c>
      <c r="H139" t="s">
        <v>50</v>
      </c>
      <c r="I139">
        <v>8</v>
      </c>
    </row>
    <row r="140" spans="1:9">
      <c r="A140">
        <f t="shared" si="0"/>
        <v>2</v>
      </c>
      <c r="B140">
        <f t="shared" si="1"/>
        <v>464</v>
      </c>
      <c r="C140">
        <v>1</v>
      </c>
      <c r="D140" s="60">
        <v>43101</v>
      </c>
      <c r="E140" s="30">
        <f>VLOOKUP(VLOOKUP(B140,SuiteCatSubElem!$G$2:$H$666,2,0),'SA Q1 18 W'!$A$33:$F$193,1+MATCH(VLOOKUP(A140,Personas!$A$2:$B$6,2,0),'SA Q1 18 W'!$B$4:$F$4,0),0)</f>
        <v>0.4</v>
      </c>
      <c r="F140">
        <v>1</v>
      </c>
      <c r="H140" t="s">
        <v>50</v>
      </c>
      <c r="I140">
        <v>8</v>
      </c>
    </row>
    <row r="141" spans="1:9">
      <c r="A141">
        <f t="shared" si="0"/>
        <v>2</v>
      </c>
      <c r="B141">
        <f t="shared" si="1"/>
        <v>465</v>
      </c>
      <c r="C141">
        <v>1</v>
      </c>
      <c r="D141" s="60">
        <v>43101</v>
      </c>
      <c r="E141" s="30">
        <f>VLOOKUP(VLOOKUP(B141,SuiteCatSubElem!$G$2:$H$666,2,0),'SA Q1 18 W'!$A$33:$F$193,1+MATCH(VLOOKUP(A141,Personas!$A$2:$B$6,2,0),'SA Q1 18 W'!$B$4:$F$4,0),0)</f>
        <v>0.9</v>
      </c>
      <c r="F141">
        <v>1</v>
      </c>
      <c r="H141" t="s">
        <v>50</v>
      </c>
      <c r="I141">
        <v>8</v>
      </c>
    </row>
    <row r="142" spans="1:9">
      <c r="A142">
        <f t="shared" si="0"/>
        <v>2</v>
      </c>
      <c r="B142">
        <f t="shared" si="1"/>
        <v>466</v>
      </c>
      <c r="C142">
        <v>1</v>
      </c>
      <c r="D142" s="60">
        <v>43101</v>
      </c>
      <c r="E142" s="30">
        <f>VLOOKUP(VLOOKUP(B142,SuiteCatSubElem!$G$2:$H$666,2,0),'SA Q1 18 W'!$A$33:$F$193,1+MATCH(VLOOKUP(A142,Personas!$A$2:$B$6,2,0),'SA Q1 18 W'!$B$4:$F$4,0),0)</f>
        <v>0.4</v>
      </c>
      <c r="F142">
        <v>1</v>
      </c>
      <c r="H142" t="s">
        <v>50</v>
      </c>
      <c r="I142">
        <v>8</v>
      </c>
    </row>
    <row r="143" spans="1:9">
      <c r="A143">
        <f t="shared" si="0"/>
        <v>2</v>
      </c>
      <c r="B143">
        <f t="shared" si="1"/>
        <v>467</v>
      </c>
      <c r="C143">
        <v>1</v>
      </c>
      <c r="D143" s="60">
        <v>43101</v>
      </c>
      <c r="E143" s="30">
        <f>VLOOKUP(VLOOKUP(B143,SuiteCatSubElem!$G$2:$H$666,2,0),'SA Q1 18 W'!$A$33:$F$193,1+MATCH(VLOOKUP(A143,Personas!$A$2:$B$6,2,0),'SA Q1 18 W'!$B$4:$F$4,0),0)</f>
        <v>1</v>
      </c>
      <c r="F143">
        <v>1</v>
      </c>
      <c r="H143" t="s">
        <v>50</v>
      </c>
      <c r="I143">
        <v>8</v>
      </c>
    </row>
    <row r="144" spans="1:9">
      <c r="A144">
        <f t="shared" si="0"/>
        <v>2</v>
      </c>
      <c r="B144">
        <f t="shared" si="1"/>
        <v>468</v>
      </c>
      <c r="C144">
        <v>1</v>
      </c>
      <c r="D144" s="60">
        <v>43101</v>
      </c>
      <c r="E144" s="30">
        <f>VLOOKUP(VLOOKUP(B144,SuiteCatSubElem!$G$2:$H$666,2,0),'SA Q1 18 W'!$A$33:$F$193,1+MATCH(VLOOKUP(A144,Personas!$A$2:$B$6,2,0),'SA Q1 18 W'!$B$4:$F$4,0),0)</f>
        <v>1</v>
      </c>
      <c r="F144">
        <v>1</v>
      </c>
      <c r="H144" t="s">
        <v>50</v>
      </c>
      <c r="I144">
        <v>8</v>
      </c>
    </row>
    <row r="145" spans="1:9">
      <c r="A145">
        <f t="shared" si="0"/>
        <v>2</v>
      </c>
      <c r="B145">
        <f t="shared" si="1"/>
        <v>469</v>
      </c>
      <c r="C145">
        <v>1</v>
      </c>
      <c r="D145" s="60">
        <v>43101</v>
      </c>
      <c r="E145" s="30">
        <f>VLOOKUP(VLOOKUP(B145,SuiteCatSubElem!$G$2:$H$666,2,0),'SA Q1 18 W'!$A$33:$F$193,1+MATCH(VLOOKUP(A145,Personas!$A$2:$B$6,2,0),'SA Q1 18 W'!$B$4:$F$4,0),0)</f>
        <v>0.5</v>
      </c>
      <c r="F145">
        <v>1</v>
      </c>
      <c r="H145" t="s">
        <v>50</v>
      </c>
      <c r="I145">
        <v>8</v>
      </c>
    </row>
    <row r="146" spans="1:9">
      <c r="A146">
        <f t="shared" si="0"/>
        <v>2</v>
      </c>
      <c r="B146">
        <f t="shared" si="1"/>
        <v>470</v>
      </c>
      <c r="C146">
        <v>1</v>
      </c>
      <c r="D146" s="60">
        <v>43101</v>
      </c>
      <c r="E146" s="30">
        <f>VLOOKUP(VLOOKUP(B146,SuiteCatSubElem!$G$2:$H$666,2,0),'SA Q1 18 W'!$A$33:$F$193,1+MATCH(VLOOKUP(A146,Personas!$A$2:$B$6,2,0),'SA Q1 18 W'!$B$4:$F$4,0),0)</f>
        <v>0.6</v>
      </c>
      <c r="F146">
        <v>1</v>
      </c>
      <c r="H146" t="s">
        <v>50</v>
      </c>
      <c r="I146">
        <v>8</v>
      </c>
    </row>
    <row r="147" spans="1:9">
      <c r="A147">
        <f t="shared" si="0"/>
        <v>2</v>
      </c>
      <c r="B147">
        <f t="shared" si="1"/>
        <v>471</v>
      </c>
      <c r="C147">
        <v>1</v>
      </c>
      <c r="D147" s="60">
        <v>43101</v>
      </c>
      <c r="E147" s="30">
        <f>VLOOKUP(VLOOKUP(B147,SuiteCatSubElem!$G$2:$H$666,2,0),'SA Q1 18 W'!$A$33:$F$193,1+MATCH(VLOOKUP(A147,Personas!$A$2:$B$6,2,0),'SA Q1 18 W'!$B$4:$F$4,0),0)</f>
        <v>0.6</v>
      </c>
      <c r="F147">
        <v>1</v>
      </c>
      <c r="H147" t="s">
        <v>50</v>
      </c>
      <c r="I147">
        <v>8</v>
      </c>
    </row>
    <row r="148" spans="1:9">
      <c r="A148">
        <f t="shared" si="0"/>
        <v>2</v>
      </c>
      <c r="B148">
        <f t="shared" si="1"/>
        <v>472</v>
      </c>
      <c r="C148">
        <v>1</v>
      </c>
      <c r="D148" s="60">
        <v>43101</v>
      </c>
      <c r="E148" s="30">
        <f>VLOOKUP(VLOOKUP(B148,SuiteCatSubElem!$G$2:$H$666,2,0),'SA Q1 18 W'!$A$33:$F$193,1+MATCH(VLOOKUP(A148,Personas!$A$2:$B$6,2,0),'SA Q1 18 W'!$B$4:$F$4,0),0)</f>
        <v>0</v>
      </c>
      <c r="F148">
        <v>1</v>
      </c>
      <c r="H148" t="s">
        <v>50</v>
      </c>
      <c r="I148">
        <v>8</v>
      </c>
    </row>
    <row r="149" spans="1:9">
      <c r="A149">
        <f t="shared" si="0"/>
        <v>2</v>
      </c>
      <c r="B149">
        <f t="shared" si="1"/>
        <v>473</v>
      </c>
      <c r="C149">
        <v>1</v>
      </c>
      <c r="D149" s="60">
        <v>43101</v>
      </c>
      <c r="E149" s="30">
        <f>VLOOKUP(VLOOKUP(B149,SuiteCatSubElem!$G$2:$H$666,2,0),'SA Q1 18 W'!$A$33:$F$193,1+MATCH(VLOOKUP(A149,Personas!$A$2:$B$6,2,0),'SA Q1 18 W'!$B$4:$F$4,0),0)</f>
        <v>0.5</v>
      </c>
      <c r="F149">
        <v>1</v>
      </c>
      <c r="H149" t="s">
        <v>50</v>
      </c>
      <c r="I149">
        <v>8</v>
      </c>
    </row>
    <row r="150" spans="1:9">
      <c r="A150">
        <f t="shared" si="0"/>
        <v>2</v>
      </c>
      <c r="B150">
        <f t="shared" si="1"/>
        <v>474</v>
      </c>
      <c r="C150">
        <v>1</v>
      </c>
      <c r="D150" s="60">
        <v>43101</v>
      </c>
      <c r="E150" s="30">
        <f>VLOOKUP(VLOOKUP(B150,SuiteCatSubElem!$G$2:$H$666,2,0),'SA Q1 18 W'!$A$33:$F$193,1+MATCH(VLOOKUP(A150,Personas!$A$2:$B$6,2,0),'SA Q1 18 W'!$B$4:$F$4,0),0)</f>
        <v>0.7</v>
      </c>
      <c r="F150">
        <v>1</v>
      </c>
      <c r="H150" t="s">
        <v>50</v>
      </c>
      <c r="I150">
        <v>8</v>
      </c>
    </row>
    <row r="151" spans="1:9">
      <c r="A151">
        <f t="shared" ref="A151:A214" si="2">A67+1</f>
        <v>2</v>
      </c>
      <c r="B151">
        <f t="shared" ref="B151:B214" si="3">B67</f>
        <v>475</v>
      </c>
      <c r="C151">
        <v>1</v>
      </c>
      <c r="D151" s="60">
        <v>43101</v>
      </c>
      <c r="E151" s="30">
        <f>VLOOKUP(VLOOKUP(B151,SuiteCatSubElem!$G$2:$H$666,2,0),'SA Q1 18 W'!$A$33:$F$193,1+MATCH(VLOOKUP(A151,Personas!$A$2:$B$6,2,0),'SA Q1 18 W'!$B$4:$F$4,0),0)</f>
        <v>0.4</v>
      </c>
      <c r="F151">
        <v>1</v>
      </c>
      <c r="H151" t="s">
        <v>50</v>
      </c>
      <c r="I151">
        <v>8</v>
      </c>
    </row>
    <row r="152" spans="1:9">
      <c r="A152">
        <f t="shared" si="2"/>
        <v>2</v>
      </c>
      <c r="B152">
        <f t="shared" si="3"/>
        <v>476</v>
      </c>
      <c r="C152">
        <v>1</v>
      </c>
      <c r="D152" s="60">
        <v>43101</v>
      </c>
      <c r="E152" s="30">
        <f>VLOOKUP(VLOOKUP(B152,SuiteCatSubElem!$G$2:$H$666,2,0),'SA Q1 18 W'!$A$33:$F$193,1+MATCH(VLOOKUP(A152,Personas!$A$2:$B$6,2,0),'SA Q1 18 W'!$B$4:$F$4,0),0)</f>
        <v>0.3</v>
      </c>
      <c r="F152">
        <v>1</v>
      </c>
      <c r="H152" t="s">
        <v>50</v>
      </c>
      <c r="I152">
        <v>8</v>
      </c>
    </row>
    <row r="153" spans="1:9">
      <c r="A153">
        <f t="shared" si="2"/>
        <v>2</v>
      </c>
      <c r="B153">
        <f t="shared" si="3"/>
        <v>477</v>
      </c>
      <c r="C153">
        <v>1</v>
      </c>
      <c r="D153" s="60">
        <v>43101</v>
      </c>
      <c r="E153" s="30">
        <f>VLOOKUP(VLOOKUP(B153,SuiteCatSubElem!$G$2:$H$666,2,0),'SA Q1 18 W'!$A$33:$F$193,1+MATCH(VLOOKUP(A153,Personas!$A$2:$B$6,2,0),'SA Q1 18 W'!$B$4:$F$4,0),0)</f>
        <v>0.7</v>
      </c>
      <c r="F153">
        <v>1</v>
      </c>
      <c r="H153" t="s">
        <v>50</v>
      </c>
      <c r="I153">
        <v>8</v>
      </c>
    </row>
    <row r="154" spans="1:9">
      <c r="A154">
        <f t="shared" si="2"/>
        <v>2</v>
      </c>
      <c r="B154">
        <f t="shared" si="3"/>
        <v>478</v>
      </c>
      <c r="C154">
        <v>1</v>
      </c>
      <c r="D154" s="60">
        <v>43101</v>
      </c>
      <c r="E154" s="30">
        <f>VLOOKUP(VLOOKUP(B154,SuiteCatSubElem!$G$2:$H$666,2,0),'SA Q1 18 W'!$A$33:$F$193,1+MATCH(VLOOKUP(A154,Personas!$A$2:$B$6,2,0),'SA Q1 18 W'!$B$4:$F$4,0),0)</f>
        <v>0.7</v>
      </c>
      <c r="F154">
        <v>1</v>
      </c>
      <c r="H154" t="s">
        <v>50</v>
      </c>
      <c r="I154">
        <v>8</v>
      </c>
    </row>
    <row r="155" spans="1:9">
      <c r="A155">
        <f t="shared" si="2"/>
        <v>2</v>
      </c>
      <c r="B155">
        <f t="shared" si="3"/>
        <v>479</v>
      </c>
      <c r="C155">
        <v>1</v>
      </c>
      <c r="D155" s="60">
        <v>43101</v>
      </c>
      <c r="E155" s="30">
        <f>VLOOKUP(VLOOKUP(B155,SuiteCatSubElem!$G$2:$H$666,2,0),'SA Q1 18 W'!$A$33:$F$193,1+MATCH(VLOOKUP(A155,Personas!$A$2:$B$6,2,0),'SA Q1 18 W'!$B$4:$F$4,0),0)</f>
        <v>1</v>
      </c>
      <c r="F155">
        <v>1</v>
      </c>
      <c r="H155" t="s">
        <v>50</v>
      </c>
      <c r="I155">
        <v>8</v>
      </c>
    </row>
    <row r="156" spans="1:9">
      <c r="A156">
        <f t="shared" si="2"/>
        <v>2</v>
      </c>
      <c r="B156">
        <f t="shared" si="3"/>
        <v>480</v>
      </c>
      <c r="C156">
        <v>1</v>
      </c>
      <c r="D156" s="60">
        <v>43101</v>
      </c>
      <c r="E156" s="30">
        <f>VLOOKUP(VLOOKUP(B156,SuiteCatSubElem!$G$2:$H$666,2,0),'SA Q1 18 W'!$A$33:$F$193,1+MATCH(VLOOKUP(A156,Personas!$A$2:$B$6,2,0),'SA Q1 18 W'!$B$4:$F$4,0),0)</f>
        <v>0.9</v>
      </c>
      <c r="F156">
        <v>1</v>
      </c>
      <c r="H156" t="s">
        <v>50</v>
      </c>
      <c r="I156">
        <v>8</v>
      </c>
    </row>
    <row r="157" spans="1:9">
      <c r="A157">
        <f t="shared" si="2"/>
        <v>2</v>
      </c>
      <c r="B157">
        <f t="shared" si="3"/>
        <v>481</v>
      </c>
      <c r="C157">
        <v>1</v>
      </c>
      <c r="D157" s="60">
        <v>43101</v>
      </c>
      <c r="E157" s="30">
        <f>VLOOKUP(VLOOKUP(B157,SuiteCatSubElem!$G$2:$H$666,2,0),'SA Q1 18 W'!$A$33:$F$193,1+MATCH(VLOOKUP(A157,Personas!$A$2:$B$6,2,0),'SA Q1 18 W'!$B$4:$F$4,0),0)</f>
        <v>0.9</v>
      </c>
      <c r="F157">
        <v>1</v>
      </c>
      <c r="H157" t="s">
        <v>50</v>
      </c>
      <c r="I157">
        <v>8</v>
      </c>
    </row>
    <row r="158" spans="1:9">
      <c r="A158">
        <f t="shared" si="2"/>
        <v>2</v>
      </c>
      <c r="B158">
        <f t="shared" si="3"/>
        <v>482</v>
      </c>
      <c r="C158">
        <v>1</v>
      </c>
      <c r="D158" s="60">
        <v>43101</v>
      </c>
      <c r="E158" s="30">
        <f>VLOOKUP(VLOOKUP(B158,SuiteCatSubElem!$G$2:$H$666,2,0),'SA Q1 18 W'!$A$33:$F$193,1+MATCH(VLOOKUP(A158,Personas!$A$2:$B$6,2,0),'SA Q1 18 W'!$B$4:$F$4,0),0)</f>
        <v>0.9</v>
      </c>
      <c r="F158">
        <v>1</v>
      </c>
      <c r="H158" t="s">
        <v>50</v>
      </c>
      <c r="I158">
        <v>8</v>
      </c>
    </row>
    <row r="159" spans="1:9">
      <c r="A159">
        <f t="shared" si="2"/>
        <v>2</v>
      </c>
      <c r="B159">
        <f t="shared" si="3"/>
        <v>483</v>
      </c>
      <c r="C159">
        <v>1</v>
      </c>
      <c r="D159" s="60">
        <v>43101</v>
      </c>
      <c r="E159" s="30">
        <f>VLOOKUP(VLOOKUP(B159,SuiteCatSubElem!$G$2:$H$666,2,0),'SA Q1 18 W'!$A$33:$F$193,1+MATCH(VLOOKUP(A159,Personas!$A$2:$B$6,2,0),'SA Q1 18 W'!$B$4:$F$4,0),0)</f>
        <v>0.9</v>
      </c>
      <c r="F159">
        <v>1</v>
      </c>
      <c r="H159" t="s">
        <v>50</v>
      </c>
      <c r="I159">
        <v>8</v>
      </c>
    </row>
    <row r="160" spans="1:9">
      <c r="A160">
        <f t="shared" si="2"/>
        <v>2</v>
      </c>
      <c r="B160">
        <f t="shared" si="3"/>
        <v>484</v>
      </c>
      <c r="C160">
        <v>1</v>
      </c>
      <c r="D160" s="60">
        <v>43101</v>
      </c>
      <c r="E160" s="30">
        <f>VLOOKUP(VLOOKUP(B160,SuiteCatSubElem!$G$2:$H$666,2,0),'SA Q1 18 W'!$A$33:$F$193,1+MATCH(VLOOKUP(A160,Personas!$A$2:$B$6,2,0),'SA Q1 18 W'!$B$4:$F$4,0),0)</f>
        <v>0.9</v>
      </c>
      <c r="F160">
        <v>1</v>
      </c>
      <c r="H160" t="s">
        <v>50</v>
      </c>
      <c r="I160">
        <v>8</v>
      </c>
    </row>
    <row r="161" spans="1:9">
      <c r="A161">
        <f t="shared" si="2"/>
        <v>2</v>
      </c>
      <c r="B161">
        <f t="shared" si="3"/>
        <v>485</v>
      </c>
      <c r="C161">
        <v>1</v>
      </c>
      <c r="D161" s="60">
        <v>43101</v>
      </c>
      <c r="E161" s="30">
        <f>VLOOKUP(VLOOKUP(B161,SuiteCatSubElem!$G$2:$H$666,2,0),'SA Q1 18 W'!$A$33:$F$193,1+MATCH(VLOOKUP(A161,Personas!$A$2:$B$6,2,0),'SA Q1 18 W'!$B$4:$F$4,0),0)</f>
        <v>0.9</v>
      </c>
      <c r="F161">
        <v>1</v>
      </c>
      <c r="H161" t="s">
        <v>50</v>
      </c>
      <c r="I161">
        <v>8</v>
      </c>
    </row>
    <row r="162" spans="1:9">
      <c r="A162">
        <f t="shared" si="2"/>
        <v>2</v>
      </c>
      <c r="B162">
        <f t="shared" si="3"/>
        <v>486</v>
      </c>
      <c r="C162">
        <v>1</v>
      </c>
      <c r="D162" s="60">
        <v>43101</v>
      </c>
      <c r="E162" s="30">
        <f>VLOOKUP(VLOOKUP(B162,SuiteCatSubElem!$G$2:$H$666,2,0),'SA Q1 18 W'!$A$33:$F$193,1+MATCH(VLOOKUP(A162,Personas!$A$2:$B$6,2,0),'SA Q1 18 W'!$B$4:$F$4,0),0)</f>
        <v>0.9</v>
      </c>
      <c r="F162">
        <v>1</v>
      </c>
      <c r="H162" t="s">
        <v>50</v>
      </c>
      <c r="I162">
        <v>8</v>
      </c>
    </row>
    <row r="163" spans="1:9">
      <c r="A163">
        <f t="shared" si="2"/>
        <v>2</v>
      </c>
      <c r="B163">
        <f t="shared" si="3"/>
        <v>487</v>
      </c>
      <c r="C163">
        <v>1</v>
      </c>
      <c r="D163" s="60">
        <v>43101</v>
      </c>
      <c r="E163" s="30">
        <f>VLOOKUP(VLOOKUP(B163,SuiteCatSubElem!$G$2:$H$666,2,0),'SA Q1 18 W'!$A$33:$F$193,1+MATCH(VLOOKUP(A163,Personas!$A$2:$B$6,2,0),'SA Q1 18 W'!$B$4:$F$4,0),0)</f>
        <v>0.9</v>
      </c>
      <c r="F163">
        <v>1</v>
      </c>
      <c r="H163" t="s">
        <v>50</v>
      </c>
      <c r="I163">
        <v>8</v>
      </c>
    </row>
    <row r="164" spans="1:9">
      <c r="A164">
        <f t="shared" si="2"/>
        <v>2</v>
      </c>
      <c r="B164">
        <f t="shared" si="3"/>
        <v>488</v>
      </c>
      <c r="C164">
        <v>1</v>
      </c>
      <c r="D164" s="60">
        <v>43101</v>
      </c>
      <c r="E164" s="30">
        <f>VLOOKUP(VLOOKUP(B164,SuiteCatSubElem!$G$2:$H$666,2,0),'SA Q1 18 W'!$A$33:$F$193,1+MATCH(VLOOKUP(A164,Personas!$A$2:$B$6,2,0),'SA Q1 18 W'!$B$4:$F$4,0),0)</f>
        <v>0.6</v>
      </c>
      <c r="F164">
        <v>1</v>
      </c>
      <c r="H164" t="s">
        <v>50</v>
      </c>
      <c r="I164">
        <v>8</v>
      </c>
    </row>
    <row r="165" spans="1:9">
      <c r="A165">
        <f t="shared" si="2"/>
        <v>2</v>
      </c>
      <c r="B165">
        <f t="shared" si="3"/>
        <v>489</v>
      </c>
      <c r="C165">
        <v>1</v>
      </c>
      <c r="D165" s="60">
        <v>43101</v>
      </c>
      <c r="E165" s="30">
        <f>VLOOKUP(VLOOKUP(B165,SuiteCatSubElem!$G$2:$H$666,2,0),'SA Q1 18 W'!$A$33:$F$193,1+MATCH(VLOOKUP(A165,Personas!$A$2:$B$6,2,0),'SA Q1 18 W'!$B$4:$F$4,0),0)</f>
        <v>0.8</v>
      </c>
      <c r="F165">
        <v>1</v>
      </c>
      <c r="H165" t="s">
        <v>50</v>
      </c>
      <c r="I165">
        <v>8</v>
      </c>
    </row>
    <row r="166" spans="1:9">
      <c r="A166">
        <f t="shared" si="2"/>
        <v>2</v>
      </c>
      <c r="B166">
        <f t="shared" si="3"/>
        <v>490</v>
      </c>
      <c r="C166">
        <v>1</v>
      </c>
      <c r="D166" s="60">
        <v>43101</v>
      </c>
      <c r="E166" s="30">
        <f>VLOOKUP(VLOOKUP(B166,SuiteCatSubElem!$G$2:$H$666,2,0),'SA Q1 18 W'!$A$33:$F$193,1+MATCH(VLOOKUP(A166,Personas!$A$2:$B$6,2,0),'SA Q1 18 W'!$B$4:$F$4,0),0)</f>
        <v>0.7</v>
      </c>
      <c r="F166">
        <v>1</v>
      </c>
      <c r="H166" t="s">
        <v>50</v>
      </c>
      <c r="I166">
        <v>8</v>
      </c>
    </row>
    <row r="167" spans="1:9">
      <c r="A167">
        <f t="shared" si="2"/>
        <v>2</v>
      </c>
      <c r="B167">
        <f t="shared" si="3"/>
        <v>491</v>
      </c>
      <c r="C167">
        <v>1</v>
      </c>
      <c r="D167" s="60">
        <v>43101</v>
      </c>
      <c r="E167" s="30">
        <f>VLOOKUP(VLOOKUP(B167,SuiteCatSubElem!$G$2:$H$666,2,0),'SA Q1 18 W'!$A$33:$F$193,1+MATCH(VLOOKUP(A167,Personas!$A$2:$B$6,2,0),'SA Q1 18 W'!$B$4:$F$4,0),0)</f>
        <v>0.6</v>
      </c>
      <c r="F167">
        <v>1</v>
      </c>
      <c r="H167" t="s">
        <v>50</v>
      </c>
      <c r="I167">
        <v>8</v>
      </c>
    </row>
    <row r="168" spans="1:9">
      <c r="A168">
        <f t="shared" si="2"/>
        <v>2</v>
      </c>
      <c r="B168">
        <f t="shared" si="3"/>
        <v>492</v>
      </c>
      <c r="C168">
        <v>1</v>
      </c>
      <c r="D168" s="60">
        <v>43101</v>
      </c>
      <c r="E168" s="30">
        <f>VLOOKUP(VLOOKUP(B168,SuiteCatSubElem!$G$2:$H$666,2,0),'SA Q1 18 W'!$A$33:$F$193,1+MATCH(VLOOKUP(A168,Personas!$A$2:$B$6,2,0),'SA Q1 18 W'!$B$4:$F$4,0),0)</f>
        <v>0</v>
      </c>
      <c r="F168">
        <v>1</v>
      </c>
      <c r="H168" t="s">
        <v>50</v>
      </c>
      <c r="I168">
        <v>8</v>
      </c>
    </row>
    <row r="169" spans="1:9">
      <c r="A169">
        <f t="shared" si="2"/>
        <v>2</v>
      </c>
      <c r="B169">
        <f t="shared" si="3"/>
        <v>493</v>
      </c>
      <c r="C169">
        <v>1</v>
      </c>
      <c r="D169" s="60">
        <v>43101</v>
      </c>
      <c r="E169" s="30">
        <f>VLOOKUP(VLOOKUP(B169,SuiteCatSubElem!$G$2:$H$666,2,0),'SA Q1 18 W'!$A$33:$F$193,1+MATCH(VLOOKUP(A169,Personas!$A$2:$B$6,2,0),'SA Q1 18 W'!$B$4:$F$4,0),0)</f>
        <v>0</v>
      </c>
      <c r="F169">
        <v>1</v>
      </c>
      <c r="H169" t="s">
        <v>50</v>
      </c>
      <c r="I169">
        <v>8</v>
      </c>
    </row>
    <row r="170" spans="1:9">
      <c r="A170">
        <f t="shared" si="2"/>
        <v>3</v>
      </c>
      <c r="B170">
        <f t="shared" si="3"/>
        <v>409</v>
      </c>
      <c r="C170">
        <v>1</v>
      </c>
      <c r="D170" s="60">
        <v>43101</v>
      </c>
      <c r="E170" s="30">
        <f>VLOOKUP(VLOOKUP(B170,SuiteCatSubElem!$G$2:$H$666,2,0),'SA Q1 18 W'!$A$33:$F$193,1+MATCH(VLOOKUP(A170,Personas!$A$2:$B$6,2,0),'SA Q1 18 W'!$B$4:$F$4,0),0)</f>
        <v>0.7</v>
      </c>
      <c r="F170">
        <v>1</v>
      </c>
      <c r="H170" t="s">
        <v>50</v>
      </c>
      <c r="I170">
        <v>8</v>
      </c>
    </row>
    <row r="171" spans="1:9">
      <c r="A171">
        <f t="shared" si="2"/>
        <v>3</v>
      </c>
      <c r="B171">
        <f t="shared" si="3"/>
        <v>410</v>
      </c>
      <c r="C171">
        <v>1</v>
      </c>
      <c r="D171" s="60">
        <v>43101</v>
      </c>
      <c r="E171" s="30">
        <f>VLOOKUP(VLOOKUP(B171,SuiteCatSubElem!$G$2:$H$666,2,0),'SA Q1 18 W'!$A$33:$F$193,1+MATCH(VLOOKUP(A171,Personas!$A$2:$B$6,2,0),'SA Q1 18 W'!$B$4:$F$4,0),0)</f>
        <v>1</v>
      </c>
      <c r="F171">
        <v>1</v>
      </c>
      <c r="H171" t="s">
        <v>50</v>
      </c>
      <c r="I171">
        <v>8</v>
      </c>
    </row>
    <row r="172" spans="1:9">
      <c r="A172">
        <f t="shared" si="2"/>
        <v>3</v>
      </c>
      <c r="B172">
        <f t="shared" si="3"/>
        <v>411</v>
      </c>
      <c r="C172">
        <v>1</v>
      </c>
      <c r="D172" s="60">
        <v>43101</v>
      </c>
      <c r="E172" s="30">
        <f>VLOOKUP(VLOOKUP(B172,SuiteCatSubElem!$G$2:$H$666,2,0),'SA Q1 18 W'!$A$33:$F$193,1+MATCH(VLOOKUP(A172,Personas!$A$2:$B$6,2,0),'SA Q1 18 W'!$B$4:$F$4,0),0)</f>
        <v>0.4</v>
      </c>
      <c r="F172">
        <v>1</v>
      </c>
      <c r="H172" t="s">
        <v>50</v>
      </c>
      <c r="I172">
        <v>8</v>
      </c>
    </row>
    <row r="173" spans="1:9">
      <c r="A173">
        <f t="shared" si="2"/>
        <v>3</v>
      </c>
      <c r="B173">
        <f t="shared" si="3"/>
        <v>412</v>
      </c>
      <c r="C173">
        <v>1</v>
      </c>
      <c r="D173" s="60">
        <v>43101</v>
      </c>
      <c r="E173" s="30">
        <f>VLOOKUP(VLOOKUP(B173,SuiteCatSubElem!$G$2:$H$666,2,0),'SA Q1 18 W'!$A$33:$F$193,1+MATCH(VLOOKUP(A173,Personas!$A$2:$B$6,2,0),'SA Q1 18 W'!$B$4:$F$4,0),0)</f>
        <v>0.5</v>
      </c>
      <c r="F173">
        <v>1</v>
      </c>
      <c r="H173" t="s">
        <v>50</v>
      </c>
      <c r="I173">
        <v>8</v>
      </c>
    </row>
    <row r="174" spans="1:9">
      <c r="A174">
        <f t="shared" si="2"/>
        <v>3</v>
      </c>
      <c r="B174">
        <f t="shared" si="3"/>
        <v>413</v>
      </c>
      <c r="C174">
        <v>1</v>
      </c>
      <c r="D174" s="60">
        <v>43101</v>
      </c>
      <c r="E174" s="30">
        <f>VLOOKUP(VLOOKUP(B174,SuiteCatSubElem!$G$2:$H$666,2,0),'SA Q1 18 W'!$A$33:$F$193,1+MATCH(VLOOKUP(A174,Personas!$A$2:$B$6,2,0),'SA Q1 18 W'!$B$4:$F$4,0),0)</f>
        <v>0.7</v>
      </c>
      <c r="F174">
        <v>1</v>
      </c>
      <c r="H174" t="s">
        <v>50</v>
      </c>
      <c r="I174">
        <v>8</v>
      </c>
    </row>
    <row r="175" spans="1:9">
      <c r="A175">
        <f t="shared" si="2"/>
        <v>3</v>
      </c>
      <c r="B175">
        <f t="shared" si="3"/>
        <v>414</v>
      </c>
      <c r="C175">
        <v>1</v>
      </c>
      <c r="D175" s="60">
        <v>43101</v>
      </c>
      <c r="E175" s="30">
        <f>VLOOKUP(VLOOKUP(B175,SuiteCatSubElem!$G$2:$H$666,2,0),'SA Q1 18 W'!$A$33:$F$193,1+MATCH(VLOOKUP(A175,Personas!$A$2:$B$6,2,0),'SA Q1 18 W'!$B$4:$F$4,0),0)</f>
        <v>0.8</v>
      </c>
      <c r="F175">
        <v>1</v>
      </c>
      <c r="H175" t="s">
        <v>50</v>
      </c>
      <c r="I175">
        <v>8</v>
      </c>
    </row>
    <row r="176" spans="1:9">
      <c r="A176">
        <f t="shared" si="2"/>
        <v>3</v>
      </c>
      <c r="B176">
        <f t="shared" si="3"/>
        <v>415</v>
      </c>
      <c r="C176">
        <v>1</v>
      </c>
      <c r="D176" s="60">
        <v>43101</v>
      </c>
      <c r="E176" s="30">
        <f>VLOOKUP(VLOOKUP(B176,SuiteCatSubElem!$G$2:$H$666,2,0),'SA Q1 18 W'!$A$33:$F$193,1+MATCH(VLOOKUP(A176,Personas!$A$2:$B$6,2,0),'SA Q1 18 W'!$B$4:$F$4,0),0)</f>
        <v>0.6</v>
      </c>
      <c r="F176">
        <v>1</v>
      </c>
      <c r="H176" t="s">
        <v>50</v>
      </c>
      <c r="I176">
        <v>8</v>
      </c>
    </row>
    <row r="177" spans="1:9">
      <c r="A177">
        <f t="shared" si="2"/>
        <v>3</v>
      </c>
      <c r="B177">
        <f t="shared" si="3"/>
        <v>416</v>
      </c>
      <c r="C177">
        <v>1</v>
      </c>
      <c r="D177" s="60">
        <v>43101</v>
      </c>
      <c r="E177" s="30">
        <f>VLOOKUP(VLOOKUP(B177,SuiteCatSubElem!$G$2:$H$666,2,0),'SA Q1 18 W'!$A$33:$F$193,1+MATCH(VLOOKUP(A177,Personas!$A$2:$B$6,2,0),'SA Q1 18 W'!$B$4:$F$4,0),0)</f>
        <v>0.4</v>
      </c>
      <c r="F177">
        <v>1</v>
      </c>
      <c r="H177" t="s">
        <v>50</v>
      </c>
      <c r="I177">
        <v>8</v>
      </c>
    </row>
    <row r="178" spans="1:9">
      <c r="A178">
        <f t="shared" si="2"/>
        <v>3</v>
      </c>
      <c r="B178">
        <f t="shared" si="3"/>
        <v>417</v>
      </c>
      <c r="C178">
        <v>1</v>
      </c>
      <c r="D178" s="60">
        <v>43101</v>
      </c>
      <c r="E178" s="30">
        <f>VLOOKUP(VLOOKUP(B178,SuiteCatSubElem!$G$2:$H$666,2,0),'SA Q1 18 W'!$A$33:$F$193,1+MATCH(VLOOKUP(A178,Personas!$A$2:$B$6,2,0),'SA Q1 18 W'!$B$4:$F$4,0),0)</f>
        <v>0.9</v>
      </c>
      <c r="F178">
        <v>1</v>
      </c>
      <c r="H178" t="s">
        <v>50</v>
      </c>
      <c r="I178">
        <v>8</v>
      </c>
    </row>
    <row r="179" spans="1:9">
      <c r="A179">
        <f t="shared" si="2"/>
        <v>3</v>
      </c>
      <c r="B179">
        <f t="shared" si="3"/>
        <v>418</v>
      </c>
      <c r="C179">
        <v>1</v>
      </c>
      <c r="D179" s="60">
        <v>43101</v>
      </c>
      <c r="E179" s="30">
        <f>VLOOKUP(VLOOKUP(B179,SuiteCatSubElem!$G$2:$H$666,2,0),'SA Q1 18 W'!$A$33:$F$193,1+MATCH(VLOOKUP(A179,Personas!$A$2:$B$6,2,0),'SA Q1 18 W'!$B$4:$F$4,0),0)</f>
        <v>0</v>
      </c>
      <c r="F179">
        <v>1</v>
      </c>
      <c r="H179" t="s">
        <v>50</v>
      </c>
      <c r="I179">
        <v>8</v>
      </c>
    </row>
    <row r="180" spans="1:9">
      <c r="A180">
        <f t="shared" si="2"/>
        <v>3</v>
      </c>
      <c r="B180">
        <f t="shared" si="3"/>
        <v>419</v>
      </c>
      <c r="C180">
        <v>1</v>
      </c>
      <c r="D180" s="60">
        <v>43101</v>
      </c>
      <c r="E180" s="30">
        <f>VLOOKUP(VLOOKUP(B180,SuiteCatSubElem!$G$2:$H$666,2,0),'SA Q1 18 W'!$A$33:$F$193,1+MATCH(VLOOKUP(A180,Personas!$A$2:$B$6,2,0),'SA Q1 18 W'!$B$4:$F$4,0),0)</f>
        <v>0.8</v>
      </c>
      <c r="F180">
        <v>1</v>
      </c>
      <c r="H180" t="s">
        <v>50</v>
      </c>
      <c r="I180">
        <v>8</v>
      </c>
    </row>
    <row r="181" spans="1:9">
      <c r="A181">
        <f t="shared" si="2"/>
        <v>3</v>
      </c>
      <c r="B181">
        <f t="shared" si="3"/>
        <v>420</v>
      </c>
      <c r="C181">
        <v>1</v>
      </c>
      <c r="D181" s="60">
        <v>43101</v>
      </c>
      <c r="E181" s="30">
        <f>VLOOKUP(VLOOKUP(B181,SuiteCatSubElem!$G$2:$H$666,2,0),'SA Q1 18 W'!$A$33:$F$193,1+MATCH(VLOOKUP(A181,Personas!$A$2:$B$6,2,0),'SA Q1 18 W'!$B$4:$F$4,0),0)</f>
        <v>0.7</v>
      </c>
      <c r="F181">
        <v>1</v>
      </c>
      <c r="H181" t="s">
        <v>50</v>
      </c>
      <c r="I181">
        <v>8</v>
      </c>
    </row>
    <row r="182" spans="1:9">
      <c r="A182">
        <f t="shared" si="2"/>
        <v>3</v>
      </c>
      <c r="B182">
        <f t="shared" si="3"/>
        <v>421</v>
      </c>
      <c r="C182">
        <v>1</v>
      </c>
      <c r="D182" s="60">
        <v>43101</v>
      </c>
      <c r="E182" s="30">
        <f>VLOOKUP(VLOOKUP(B182,SuiteCatSubElem!$G$2:$H$666,2,0),'SA Q1 18 W'!$A$33:$F$193,1+MATCH(VLOOKUP(A182,Personas!$A$2:$B$6,2,0),'SA Q1 18 W'!$B$4:$F$4,0),0)</f>
        <v>0.6</v>
      </c>
      <c r="F182">
        <v>1</v>
      </c>
      <c r="H182" t="s">
        <v>50</v>
      </c>
      <c r="I182">
        <v>8</v>
      </c>
    </row>
    <row r="183" spans="1:9">
      <c r="A183">
        <f t="shared" si="2"/>
        <v>3</v>
      </c>
      <c r="B183">
        <f t="shared" si="3"/>
        <v>422</v>
      </c>
      <c r="C183">
        <v>1</v>
      </c>
      <c r="D183" s="60">
        <v>43101</v>
      </c>
      <c r="E183" s="30">
        <f>VLOOKUP(VLOOKUP(B183,SuiteCatSubElem!$G$2:$H$666,2,0),'SA Q1 18 W'!$A$33:$F$193,1+MATCH(VLOOKUP(A183,Personas!$A$2:$B$6,2,0),'SA Q1 18 W'!$B$4:$F$4,0),0)</f>
        <v>0.9</v>
      </c>
      <c r="F183">
        <v>1</v>
      </c>
      <c r="H183" t="s">
        <v>50</v>
      </c>
      <c r="I183">
        <v>8</v>
      </c>
    </row>
    <row r="184" spans="1:9">
      <c r="A184">
        <f t="shared" si="2"/>
        <v>3</v>
      </c>
      <c r="B184">
        <f t="shared" si="3"/>
        <v>423</v>
      </c>
      <c r="C184">
        <v>1</v>
      </c>
      <c r="D184" s="60">
        <v>43101</v>
      </c>
      <c r="E184" s="30">
        <f>VLOOKUP(VLOOKUP(B184,SuiteCatSubElem!$G$2:$H$666,2,0),'SA Q1 18 W'!$A$33:$F$193,1+MATCH(VLOOKUP(A184,Personas!$A$2:$B$6,2,0),'SA Q1 18 W'!$B$4:$F$4,0),0)</f>
        <v>0.9</v>
      </c>
      <c r="F184">
        <v>1</v>
      </c>
      <c r="H184" t="s">
        <v>50</v>
      </c>
      <c r="I184">
        <v>8</v>
      </c>
    </row>
    <row r="185" spans="1:9">
      <c r="A185">
        <f t="shared" si="2"/>
        <v>3</v>
      </c>
      <c r="B185">
        <f t="shared" si="3"/>
        <v>424</v>
      </c>
      <c r="C185">
        <v>1</v>
      </c>
      <c r="D185" s="60">
        <v>43101</v>
      </c>
      <c r="E185" s="30">
        <f>VLOOKUP(VLOOKUP(B185,SuiteCatSubElem!$G$2:$H$666,2,0),'SA Q1 18 W'!$A$33:$F$193,1+MATCH(VLOOKUP(A185,Personas!$A$2:$B$6,2,0),'SA Q1 18 W'!$B$4:$F$4,0),0)</f>
        <v>0.6</v>
      </c>
      <c r="F185">
        <v>1</v>
      </c>
      <c r="H185" t="s">
        <v>50</v>
      </c>
      <c r="I185">
        <v>8</v>
      </c>
    </row>
    <row r="186" spans="1:9">
      <c r="A186">
        <f t="shared" si="2"/>
        <v>3</v>
      </c>
      <c r="B186">
        <f t="shared" si="3"/>
        <v>425</v>
      </c>
      <c r="C186">
        <v>1</v>
      </c>
      <c r="D186" s="60">
        <v>43101</v>
      </c>
      <c r="E186" s="30">
        <f>VLOOKUP(VLOOKUP(B186,SuiteCatSubElem!$G$2:$H$666,2,0),'SA Q1 18 W'!$A$33:$F$193,1+MATCH(VLOOKUP(A186,Personas!$A$2:$B$6,2,0),'SA Q1 18 W'!$B$4:$F$4,0),0)</f>
        <v>0.9</v>
      </c>
      <c r="F186">
        <v>1</v>
      </c>
      <c r="H186" t="s">
        <v>50</v>
      </c>
      <c r="I186">
        <v>8</v>
      </c>
    </row>
    <row r="187" spans="1:9">
      <c r="A187">
        <f t="shared" si="2"/>
        <v>3</v>
      </c>
      <c r="B187">
        <f t="shared" si="3"/>
        <v>426</v>
      </c>
      <c r="C187">
        <v>1</v>
      </c>
      <c r="D187" s="60">
        <v>43101</v>
      </c>
      <c r="E187" s="30">
        <f>VLOOKUP(VLOOKUP(B187,SuiteCatSubElem!$G$2:$H$666,2,0),'SA Q1 18 W'!$A$33:$F$193,1+MATCH(VLOOKUP(A187,Personas!$A$2:$B$6,2,0),'SA Q1 18 W'!$B$4:$F$4,0),0)</f>
        <v>0.8</v>
      </c>
      <c r="F187">
        <v>1</v>
      </c>
      <c r="H187" t="s">
        <v>50</v>
      </c>
      <c r="I187">
        <v>8</v>
      </c>
    </row>
    <row r="188" spans="1:9">
      <c r="A188">
        <f t="shared" si="2"/>
        <v>3</v>
      </c>
      <c r="B188">
        <f t="shared" si="3"/>
        <v>427</v>
      </c>
      <c r="C188">
        <v>1</v>
      </c>
      <c r="D188" s="60">
        <v>43101</v>
      </c>
      <c r="E188" s="30">
        <f>VLOOKUP(VLOOKUP(B188,SuiteCatSubElem!$G$2:$H$666,2,0),'SA Q1 18 W'!$A$33:$F$193,1+MATCH(VLOOKUP(A188,Personas!$A$2:$B$6,2,0),'SA Q1 18 W'!$B$4:$F$4,0),0)</f>
        <v>0.8</v>
      </c>
      <c r="F188">
        <v>1</v>
      </c>
      <c r="H188" t="s">
        <v>50</v>
      </c>
      <c r="I188">
        <v>8</v>
      </c>
    </row>
    <row r="189" spans="1:9">
      <c r="A189">
        <f t="shared" si="2"/>
        <v>3</v>
      </c>
      <c r="B189">
        <f t="shared" si="3"/>
        <v>428</v>
      </c>
      <c r="C189">
        <v>1</v>
      </c>
      <c r="D189" s="60">
        <v>43101</v>
      </c>
      <c r="E189" s="30">
        <f>VLOOKUP(VLOOKUP(B189,SuiteCatSubElem!$G$2:$H$666,2,0),'SA Q1 18 W'!$A$33:$F$193,1+MATCH(VLOOKUP(A189,Personas!$A$2:$B$6,2,0),'SA Q1 18 W'!$B$4:$F$4,0),0)</f>
        <v>0.9</v>
      </c>
      <c r="F189">
        <v>1</v>
      </c>
      <c r="H189" t="s">
        <v>50</v>
      </c>
      <c r="I189">
        <v>8</v>
      </c>
    </row>
    <row r="190" spans="1:9">
      <c r="A190">
        <f t="shared" si="2"/>
        <v>3</v>
      </c>
      <c r="B190">
        <f t="shared" si="3"/>
        <v>429</v>
      </c>
      <c r="C190">
        <v>1</v>
      </c>
      <c r="D190" s="60">
        <v>43101</v>
      </c>
      <c r="E190" s="30">
        <f>VLOOKUP(VLOOKUP(B190,SuiteCatSubElem!$G$2:$H$666,2,0),'SA Q1 18 W'!$A$33:$F$193,1+MATCH(VLOOKUP(A190,Personas!$A$2:$B$6,2,0),'SA Q1 18 W'!$B$4:$F$4,0),0)</f>
        <v>0.8</v>
      </c>
      <c r="F190">
        <v>1</v>
      </c>
      <c r="H190" t="s">
        <v>50</v>
      </c>
      <c r="I190">
        <v>8</v>
      </c>
    </row>
    <row r="191" spans="1:9">
      <c r="A191">
        <f t="shared" si="2"/>
        <v>3</v>
      </c>
      <c r="B191">
        <f t="shared" si="3"/>
        <v>430</v>
      </c>
      <c r="C191">
        <v>1</v>
      </c>
      <c r="D191" s="60">
        <v>43101</v>
      </c>
      <c r="E191" s="30">
        <f>VLOOKUP(VLOOKUP(B191,SuiteCatSubElem!$G$2:$H$666,2,0),'SA Q1 18 W'!$A$33:$F$193,1+MATCH(VLOOKUP(A191,Personas!$A$2:$B$6,2,0),'SA Q1 18 W'!$B$4:$F$4,0),0)</f>
        <v>0.5</v>
      </c>
      <c r="F191">
        <v>1</v>
      </c>
      <c r="H191" t="s">
        <v>50</v>
      </c>
      <c r="I191">
        <v>8</v>
      </c>
    </row>
    <row r="192" spans="1:9">
      <c r="A192">
        <f t="shared" si="2"/>
        <v>3</v>
      </c>
      <c r="B192">
        <f t="shared" si="3"/>
        <v>431</v>
      </c>
      <c r="C192">
        <v>1</v>
      </c>
      <c r="D192" s="60">
        <v>43101</v>
      </c>
      <c r="E192" s="30">
        <f>VLOOKUP(VLOOKUP(B192,SuiteCatSubElem!$G$2:$H$666,2,0),'SA Q1 18 W'!$A$33:$F$193,1+MATCH(VLOOKUP(A192,Personas!$A$2:$B$6,2,0),'SA Q1 18 W'!$B$4:$F$4,0),0)</f>
        <v>0.4</v>
      </c>
      <c r="F192">
        <v>1</v>
      </c>
      <c r="H192" t="s">
        <v>50</v>
      </c>
      <c r="I192">
        <v>8</v>
      </c>
    </row>
    <row r="193" spans="1:9">
      <c r="A193">
        <f t="shared" si="2"/>
        <v>3</v>
      </c>
      <c r="B193">
        <f t="shared" si="3"/>
        <v>432</v>
      </c>
      <c r="C193">
        <v>1</v>
      </c>
      <c r="D193" s="60">
        <v>43101</v>
      </c>
      <c r="E193" s="30">
        <f>VLOOKUP(VLOOKUP(B193,SuiteCatSubElem!$G$2:$H$666,2,0),'SA Q1 18 W'!$A$33:$F$193,1+MATCH(VLOOKUP(A193,Personas!$A$2:$B$6,2,0),'SA Q1 18 W'!$B$4:$F$4,0),0)</f>
        <v>0.7</v>
      </c>
      <c r="F193">
        <v>1</v>
      </c>
      <c r="H193" t="s">
        <v>50</v>
      </c>
      <c r="I193">
        <v>8</v>
      </c>
    </row>
    <row r="194" spans="1:9">
      <c r="A194">
        <f t="shared" si="2"/>
        <v>3</v>
      </c>
      <c r="B194">
        <f t="shared" si="3"/>
        <v>433</v>
      </c>
      <c r="C194">
        <v>1</v>
      </c>
      <c r="D194" s="60">
        <v>43101</v>
      </c>
      <c r="E194" s="30">
        <f>VLOOKUP(VLOOKUP(B194,SuiteCatSubElem!$G$2:$H$666,2,0),'SA Q1 18 W'!$A$33:$F$193,1+MATCH(VLOOKUP(A194,Personas!$A$2:$B$6,2,0),'SA Q1 18 W'!$B$4:$F$4,0),0)</f>
        <v>0.7</v>
      </c>
      <c r="F194">
        <v>1</v>
      </c>
      <c r="H194" t="s">
        <v>50</v>
      </c>
      <c r="I194">
        <v>8</v>
      </c>
    </row>
    <row r="195" spans="1:9">
      <c r="A195">
        <f t="shared" si="2"/>
        <v>3</v>
      </c>
      <c r="B195">
        <f t="shared" si="3"/>
        <v>434</v>
      </c>
      <c r="C195">
        <v>1</v>
      </c>
      <c r="D195" s="60">
        <v>43101</v>
      </c>
      <c r="E195" s="30">
        <f>VLOOKUP(VLOOKUP(B195,SuiteCatSubElem!$G$2:$H$666,2,0),'SA Q1 18 W'!$A$33:$F$193,1+MATCH(VLOOKUP(A195,Personas!$A$2:$B$6,2,0),'SA Q1 18 W'!$B$4:$F$4,0),0)</f>
        <v>0.4</v>
      </c>
      <c r="F195">
        <v>1</v>
      </c>
      <c r="H195" t="s">
        <v>50</v>
      </c>
      <c r="I195">
        <v>8</v>
      </c>
    </row>
    <row r="196" spans="1:9">
      <c r="A196">
        <f t="shared" si="2"/>
        <v>3</v>
      </c>
      <c r="B196">
        <f t="shared" si="3"/>
        <v>435</v>
      </c>
      <c r="C196">
        <v>1</v>
      </c>
      <c r="D196" s="60">
        <v>43101</v>
      </c>
      <c r="E196" s="30">
        <f>VLOOKUP(VLOOKUP(B196,SuiteCatSubElem!$G$2:$H$666,2,0),'SA Q1 18 W'!$A$33:$F$193,1+MATCH(VLOOKUP(A196,Personas!$A$2:$B$6,2,0),'SA Q1 18 W'!$B$4:$F$4,0),0)</f>
        <v>0.3</v>
      </c>
      <c r="F196">
        <v>1</v>
      </c>
      <c r="H196" t="s">
        <v>50</v>
      </c>
      <c r="I196">
        <v>8</v>
      </c>
    </row>
    <row r="197" spans="1:9">
      <c r="A197">
        <f t="shared" si="2"/>
        <v>3</v>
      </c>
      <c r="B197">
        <f t="shared" si="3"/>
        <v>436</v>
      </c>
      <c r="C197">
        <v>1</v>
      </c>
      <c r="D197" s="60">
        <v>43101</v>
      </c>
      <c r="E197" s="30">
        <f>VLOOKUP(VLOOKUP(B197,SuiteCatSubElem!$G$2:$H$666,2,0),'SA Q1 18 W'!$A$33:$F$193,1+MATCH(VLOOKUP(A197,Personas!$A$2:$B$6,2,0),'SA Q1 18 W'!$B$4:$F$4,0),0)</f>
        <v>0.8</v>
      </c>
      <c r="F197">
        <v>1</v>
      </c>
      <c r="H197" t="s">
        <v>50</v>
      </c>
      <c r="I197">
        <v>8</v>
      </c>
    </row>
    <row r="198" spans="1:9">
      <c r="A198">
        <f t="shared" si="2"/>
        <v>3</v>
      </c>
      <c r="B198">
        <f t="shared" si="3"/>
        <v>437</v>
      </c>
      <c r="C198">
        <v>1</v>
      </c>
      <c r="D198" s="60">
        <v>43101</v>
      </c>
      <c r="E198" s="30">
        <f>VLOOKUP(VLOOKUP(B198,SuiteCatSubElem!$G$2:$H$666,2,0),'SA Q1 18 W'!$A$33:$F$193,1+MATCH(VLOOKUP(A198,Personas!$A$2:$B$6,2,0),'SA Q1 18 W'!$B$4:$F$4,0),0)</f>
        <v>0.6</v>
      </c>
      <c r="F198">
        <v>1</v>
      </c>
      <c r="H198" t="s">
        <v>50</v>
      </c>
      <c r="I198">
        <v>8</v>
      </c>
    </row>
    <row r="199" spans="1:9">
      <c r="A199">
        <f t="shared" si="2"/>
        <v>3</v>
      </c>
      <c r="B199">
        <f t="shared" si="3"/>
        <v>438</v>
      </c>
      <c r="C199">
        <v>1</v>
      </c>
      <c r="D199" s="60">
        <v>43101</v>
      </c>
      <c r="E199" s="30">
        <f>VLOOKUP(VLOOKUP(B199,SuiteCatSubElem!$G$2:$H$666,2,0),'SA Q1 18 W'!$A$33:$F$193,1+MATCH(VLOOKUP(A199,Personas!$A$2:$B$6,2,0),'SA Q1 18 W'!$B$4:$F$4,0),0)</f>
        <v>0.6</v>
      </c>
      <c r="F199">
        <v>1</v>
      </c>
      <c r="H199" t="s">
        <v>50</v>
      </c>
      <c r="I199">
        <v>8</v>
      </c>
    </row>
    <row r="200" spans="1:9">
      <c r="A200">
        <f t="shared" si="2"/>
        <v>3</v>
      </c>
      <c r="B200">
        <f t="shared" si="3"/>
        <v>439</v>
      </c>
      <c r="C200">
        <v>1</v>
      </c>
      <c r="D200" s="60">
        <v>43101</v>
      </c>
      <c r="E200" s="30">
        <f>VLOOKUP(VLOOKUP(B200,SuiteCatSubElem!$G$2:$H$666,2,0),'SA Q1 18 W'!$A$33:$F$193,1+MATCH(VLOOKUP(A200,Personas!$A$2:$B$6,2,0),'SA Q1 18 W'!$B$4:$F$4,0),0)</f>
        <v>0.8</v>
      </c>
      <c r="F200">
        <v>1</v>
      </c>
      <c r="H200" t="s">
        <v>50</v>
      </c>
      <c r="I200">
        <v>8</v>
      </c>
    </row>
    <row r="201" spans="1:9">
      <c r="A201">
        <f t="shared" si="2"/>
        <v>3</v>
      </c>
      <c r="B201">
        <f t="shared" si="3"/>
        <v>440</v>
      </c>
      <c r="C201">
        <v>1</v>
      </c>
      <c r="D201" s="60">
        <v>43101</v>
      </c>
      <c r="E201" s="30">
        <f>VLOOKUP(VLOOKUP(B201,SuiteCatSubElem!$G$2:$H$666,2,0),'SA Q1 18 W'!$A$33:$F$193,1+MATCH(VLOOKUP(A201,Personas!$A$2:$B$6,2,0),'SA Q1 18 W'!$B$4:$F$4,0),0)</f>
        <v>0.8</v>
      </c>
      <c r="F201">
        <v>1</v>
      </c>
      <c r="H201" t="s">
        <v>50</v>
      </c>
      <c r="I201">
        <v>8</v>
      </c>
    </row>
    <row r="202" spans="1:9">
      <c r="A202">
        <f t="shared" si="2"/>
        <v>3</v>
      </c>
      <c r="B202">
        <f t="shared" si="3"/>
        <v>441</v>
      </c>
      <c r="C202">
        <v>1</v>
      </c>
      <c r="D202" s="60">
        <v>43101</v>
      </c>
      <c r="E202" s="30">
        <f>VLOOKUP(VLOOKUP(B202,SuiteCatSubElem!$G$2:$H$666,2,0),'SA Q1 18 W'!$A$33:$F$193,1+MATCH(VLOOKUP(A202,Personas!$A$2:$B$6,2,0),'SA Q1 18 W'!$B$4:$F$4,0),0)</f>
        <v>0.8</v>
      </c>
      <c r="F202">
        <v>1</v>
      </c>
      <c r="H202" t="s">
        <v>50</v>
      </c>
      <c r="I202">
        <v>8</v>
      </c>
    </row>
    <row r="203" spans="1:9">
      <c r="A203">
        <f t="shared" si="2"/>
        <v>3</v>
      </c>
      <c r="B203">
        <f t="shared" si="3"/>
        <v>442</v>
      </c>
      <c r="C203">
        <v>1</v>
      </c>
      <c r="D203" s="60">
        <v>43101</v>
      </c>
      <c r="E203" s="30">
        <f>VLOOKUP(VLOOKUP(B203,SuiteCatSubElem!$G$2:$H$666,2,0),'SA Q1 18 W'!$A$33:$F$193,1+MATCH(VLOOKUP(A203,Personas!$A$2:$B$6,2,0),'SA Q1 18 W'!$B$4:$F$4,0),0)</f>
        <v>0.7</v>
      </c>
      <c r="F203">
        <v>1</v>
      </c>
      <c r="H203" t="s">
        <v>50</v>
      </c>
      <c r="I203">
        <v>8</v>
      </c>
    </row>
    <row r="204" spans="1:9">
      <c r="A204">
        <f t="shared" si="2"/>
        <v>3</v>
      </c>
      <c r="B204">
        <f t="shared" si="3"/>
        <v>443</v>
      </c>
      <c r="C204">
        <v>1</v>
      </c>
      <c r="D204" s="60">
        <v>43101</v>
      </c>
      <c r="E204" s="30">
        <f>VLOOKUP(VLOOKUP(B204,SuiteCatSubElem!$G$2:$H$666,2,0),'SA Q1 18 W'!$A$33:$F$193,1+MATCH(VLOOKUP(A204,Personas!$A$2:$B$6,2,0),'SA Q1 18 W'!$B$4:$F$4,0),0)</f>
        <v>0.5</v>
      </c>
      <c r="F204">
        <v>1</v>
      </c>
      <c r="H204" t="s">
        <v>50</v>
      </c>
      <c r="I204">
        <v>8</v>
      </c>
    </row>
    <row r="205" spans="1:9">
      <c r="A205">
        <f t="shared" si="2"/>
        <v>3</v>
      </c>
      <c r="B205">
        <f t="shared" si="3"/>
        <v>445</v>
      </c>
      <c r="C205">
        <v>1</v>
      </c>
      <c r="D205" s="60">
        <v>43101</v>
      </c>
      <c r="E205" s="30">
        <f>VLOOKUP(VLOOKUP(B205,SuiteCatSubElem!$G$2:$H$666,2,0),'SA Q1 18 W'!$A$33:$F$193,1+MATCH(VLOOKUP(A205,Personas!$A$2:$B$6,2,0),'SA Q1 18 W'!$B$4:$F$4,0),0)</f>
        <v>0.5</v>
      </c>
      <c r="F205">
        <v>1</v>
      </c>
      <c r="H205" t="s">
        <v>50</v>
      </c>
      <c r="I205">
        <v>8</v>
      </c>
    </row>
    <row r="206" spans="1:9">
      <c r="A206">
        <f t="shared" si="2"/>
        <v>3</v>
      </c>
      <c r="B206">
        <f t="shared" si="3"/>
        <v>446</v>
      </c>
      <c r="C206">
        <v>1</v>
      </c>
      <c r="D206" s="60">
        <v>43101</v>
      </c>
      <c r="E206" s="30">
        <f>VLOOKUP(VLOOKUP(B206,SuiteCatSubElem!$G$2:$H$666,2,0),'SA Q1 18 W'!$A$33:$F$193,1+MATCH(VLOOKUP(A206,Personas!$A$2:$B$6,2,0),'SA Q1 18 W'!$B$4:$F$4,0),0)</f>
        <v>0.3</v>
      </c>
      <c r="F206">
        <v>1</v>
      </c>
      <c r="H206" t="s">
        <v>50</v>
      </c>
      <c r="I206">
        <v>8</v>
      </c>
    </row>
    <row r="207" spans="1:9">
      <c r="A207">
        <f t="shared" si="2"/>
        <v>3</v>
      </c>
      <c r="B207">
        <f t="shared" si="3"/>
        <v>447</v>
      </c>
      <c r="C207">
        <v>1</v>
      </c>
      <c r="D207" s="60">
        <v>43101</v>
      </c>
      <c r="E207" s="30">
        <f>VLOOKUP(VLOOKUP(B207,SuiteCatSubElem!$G$2:$H$666,2,0),'SA Q1 18 W'!$A$33:$F$193,1+MATCH(VLOOKUP(A207,Personas!$A$2:$B$6,2,0),'SA Q1 18 W'!$B$4:$F$4,0),0)</f>
        <v>0.1</v>
      </c>
      <c r="F207">
        <v>1</v>
      </c>
      <c r="H207" t="s">
        <v>50</v>
      </c>
      <c r="I207">
        <v>8</v>
      </c>
    </row>
    <row r="208" spans="1:9">
      <c r="A208">
        <f t="shared" si="2"/>
        <v>3</v>
      </c>
      <c r="B208">
        <f t="shared" si="3"/>
        <v>448</v>
      </c>
      <c r="C208">
        <v>1</v>
      </c>
      <c r="D208" s="60">
        <v>43101</v>
      </c>
      <c r="E208" s="30">
        <f>VLOOKUP(VLOOKUP(B208,SuiteCatSubElem!$G$2:$H$666,2,0),'SA Q1 18 W'!$A$33:$F$193,1+MATCH(VLOOKUP(A208,Personas!$A$2:$B$6,2,0),'SA Q1 18 W'!$B$4:$F$4,0),0)</f>
        <v>0.6</v>
      </c>
      <c r="F208">
        <v>1</v>
      </c>
      <c r="H208" t="s">
        <v>50</v>
      </c>
      <c r="I208">
        <v>8</v>
      </c>
    </row>
    <row r="209" spans="1:9">
      <c r="A209">
        <f t="shared" si="2"/>
        <v>3</v>
      </c>
      <c r="B209">
        <f t="shared" si="3"/>
        <v>449</v>
      </c>
      <c r="C209">
        <v>1</v>
      </c>
      <c r="D209" s="60">
        <v>43101</v>
      </c>
      <c r="E209" s="30">
        <f>VLOOKUP(VLOOKUP(B209,SuiteCatSubElem!$G$2:$H$666,2,0),'SA Q1 18 W'!$A$33:$F$193,1+MATCH(VLOOKUP(A209,Personas!$A$2:$B$6,2,0),'SA Q1 18 W'!$B$4:$F$4,0),0)</f>
        <v>1</v>
      </c>
      <c r="F209">
        <v>1</v>
      </c>
      <c r="H209" t="s">
        <v>50</v>
      </c>
      <c r="I209">
        <v>8</v>
      </c>
    </row>
    <row r="210" spans="1:9">
      <c r="A210">
        <f t="shared" si="2"/>
        <v>3</v>
      </c>
      <c r="B210">
        <f t="shared" si="3"/>
        <v>450</v>
      </c>
      <c r="C210">
        <v>1</v>
      </c>
      <c r="D210" s="60">
        <v>43101</v>
      </c>
      <c r="E210" s="30">
        <f>VLOOKUP(VLOOKUP(B210,SuiteCatSubElem!$G$2:$H$666,2,0),'SA Q1 18 W'!$A$33:$F$193,1+MATCH(VLOOKUP(A210,Personas!$A$2:$B$6,2,0),'SA Q1 18 W'!$B$4:$F$4,0),0)</f>
        <v>0.6</v>
      </c>
      <c r="F210">
        <v>1</v>
      </c>
      <c r="H210" t="s">
        <v>50</v>
      </c>
      <c r="I210">
        <v>8</v>
      </c>
    </row>
    <row r="211" spans="1:9">
      <c r="A211">
        <f t="shared" si="2"/>
        <v>3</v>
      </c>
      <c r="B211">
        <f t="shared" si="3"/>
        <v>451</v>
      </c>
      <c r="C211">
        <v>1</v>
      </c>
      <c r="D211" s="60">
        <v>43101</v>
      </c>
      <c r="E211" s="30">
        <f>VLOOKUP(VLOOKUP(B211,SuiteCatSubElem!$G$2:$H$666,2,0),'SA Q1 18 W'!$A$33:$F$193,1+MATCH(VLOOKUP(A211,Personas!$A$2:$B$6,2,0),'SA Q1 18 W'!$B$4:$F$4,0),0)</f>
        <v>1</v>
      </c>
      <c r="F211">
        <v>1</v>
      </c>
      <c r="H211" t="s">
        <v>50</v>
      </c>
      <c r="I211">
        <v>8</v>
      </c>
    </row>
    <row r="212" spans="1:9">
      <c r="A212">
        <f t="shared" si="2"/>
        <v>3</v>
      </c>
      <c r="B212">
        <f t="shared" si="3"/>
        <v>452</v>
      </c>
      <c r="C212">
        <v>1</v>
      </c>
      <c r="D212" s="60">
        <v>43101</v>
      </c>
      <c r="E212" s="30">
        <f>VLOOKUP(VLOOKUP(B212,SuiteCatSubElem!$G$2:$H$666,2,0),'SA Q1 18 W'!$A$33:$F$193,1+MATCH(VLOOKUP(A212,Personas!$A$2:$B$6,2,0),'SA Q1 18 W'!$B$4:$F$4,0),0)</f>
        <v>1</v>
      </c>
      <c r="F212">
        <v>1</v>
      </c>
      <c r="H212" t="s">
        <v>50</v>
      </c>
      <c r="I212">
        <v>8</v>
      </c>
    </row>
    <row r="213" spans="1:9">
      <c r="A213">
        <f t="shared" si="2"/>
        <v>3</v>
      </c>
      <c r="B213">
        <f t="shared" si="3"/>
        <v>453</v>
      </c>
      <c r="C213">
        <v>1</v>
      </c>
      <c r="D213" s="60">
        <v>43101</v>
      </c>
      <c r="E213" s="30">
        <f>VLOOKUP(VLOOKUP(B213,SuiteCatSubElem!$G$2:$H$666,2,0),'SA Q1 18 W'!$A$33:$F$193,1+MATCH(VLOOKUP(A213,Personas!$A$2:$B$6,2,0),'SA Q1 18 W'!$B$4:$F$4,0),0)</f>
        <v>1</v>
      </c>
      <c r="F213">
        <v>1</v>
      </c>
      <c r="H213" t="s">
        <v>50</v>
      </c>
      <c r="I213">
        <v>8</v>
      </c>
    </row>
    <row r="214" spans="1:9">
      <c r="A214">
        <f t="shared" si="2"/>
        <v>3</v>
      </c>
      <c r="B214">
        <f t="shared" si="3"/>
        <v>454</v>
      </c>
      <c r="C214">
        <v>1</v>
      </c>
      <c r="D214" s="60">
        <v>43101</v>
      </c>
      <c r="E214" s="30">
        <f>VLOOKUP(VLOOKUP(B214,SuiteCatSubElem!$G$2:$H$666,2,0),'SA Q1 18 W'!$A$33:$F$193,1+MATCH(VLOOKUP(A214,Personas!$A$2:$B$6,2,0),'SA Q1 18 W'!$B$4:$F$4,0),0)</f>
        <v>1</v>
      </c>
      <c r="F214">
        <v>1</v>
      </c>
      <c r="H214" t="s">
        <v>50</v>
      </c>
      <c r="I214">
        <v>8</v>
      </c>
    </row>
    <row r="215" spans="1:9">
      <c r="A215">
        <f t="shared" ref="A215:A222" si="4">A131+1</f>
        <v>3</v>
      </c>
      <c r="B215">
        <f t="shared" ref="B215:B222" si="5">B131</f>
        <v>455</v>
      </c>
      <c r="C215">
        <v>1</v>
      </c>
      <c r="D215" s="60">
        <v>43101</v>
      </c>
      <c r="E215" s="30">
        <f>VLOOKUP(VLOOKUP(B215,SuiteCatSubElem!$G$2:$H$666,2,0),'SA Q1 18 W'!$A$33:$F$193,1+MATCH(VLOOKUP(A215,Personas!$A$2:$B$6,2,0),'SA Q1 18 W'!$B$4:$F$4,0),0)</f>
        <v>0.6</v>
      </c>
      <c r="F215">
        <v>1</v>
      </c>
      <c r="H215" t="s">
        <v>50</v>
      </c>
      <c r="I215">
        <v>8</v>
      </c>
    </row>
    <row r="216" spans="1:9">
      <c r="A216">
        <f t="shared" si="4"/>
        <v>3</v>
      </c>
      <c r="B216">
        <f t="shared" si="5"/>
        <v>456</v>
      </c>
      <c r="C216">
        <v>1</v>
      </c>
      <c r="D216" s="60">
        <v>43101</v>
      </c>
      <c r="E216" s="30">
        <f>VLOOKUP(VLOOKUP(B216,SuiteCatSubElem!$G$2:$H$666,2,0),'SA Q1 18 W'!$A$33:$F$193,1+MATCH(VLOOKUP(A216,Personas!$A$2:$B$6,2,0),'SA Q1 18 W'!$B$4:$F$4,0),0)</f>
        <v>1</v>
      </c>
      <c r="F216">
        <v>1</v>
      </c>
      <c r="H216" t="s">
        <v>50</v>
      </c>
      <c r="I216">
        <v>8</v>
      </c>
    </row>
    <row r="217" spans="1:9">
      <c r="A217">
        <f t="shared" si="4"/>
        <v>3</v>
      </c>
      <c r="B217">
        <f t="shared" si="5"/>
        <v>457</v>
      </c>
      <c r="C217">
        <v>1</v>
      </c>
      <c r="D217" s="60">
        <v>43101</v>
      </c>
      <c r="E217" s="30">
        <f>VLOOKUP(VLOOKUP(B217,SuiteCatSubElem!$G$2:$H$666,2,0),'SA Q1 18 W'!$A$33:$F$193,1+MATCH(VLOOKUP(A217,Personas!$A$2:$B$6,2,0),'SA Q1 18 W'!$B$4:$F$4,0),0)</f>
        <v>1</v>
      </c>
      <c r="F217">
        <v>1</v>
      </c>
      <c r="H217" t="s">
        <v>50</v>
      </c>
      <c r="I217">
        <v>8</v>
      </c>
    </row>
    <row r="218" spans="1:9">
      <c r="A218">
        <f t="shared" si="4"/>
        <v>3</v>
      </c>
      <c r="B218">
        <f t="shared" si="5"/>
        <v>458</v>
      </c>
      <c r="C218">
        <v>1</v>
      </c>
      <c r="D218" s="60">
        <v>43101</v>
      </c>
      <c r="E218" s="30">
        <f>VLOOKUP(VLOOKUP(B218,SuiteCatSubElem!$G$2:$H$666,2,0),'SA Q1 18 W'!$A$33:$F$193,1+MATCH(VLOOKUP(A218,Personas!$A$2:$B$6,2,0),'SA Q1 18 W'!$B$4:$F$4,0),0)</f>
        <v>1</v>
      </c>
      <c r="F218">
        <v>1</v>
      </c>
      <c r="H218" t="s">
        <v>50</v>
      </c>
      <c r="I218">
        <v>8</v>
      </c>
    </row>
    <row r="219" spans="1:9">
      <c r="A219">
        <f t="shared" si="4"/>
        <v>3</v>
      </c>
      <c r="B219">
        <f t="shared" si="5"/>
        <v>459</v>
      </c>
      <c r="C219">
        <v>1</v>
      </c>
      <c r="D219" s="60">
        <v>43101</v>
      </c>
      <c r="E219" s="30">
        <f>VLOOKUP(VLOOKUP(B219,SuiteCatSubElem!$G$2:$H$666,2,0),'SA Q1 18 W'!$A$33:$F$193,1+MATCH(VLOOKUP(A219,Personas!$A$2:$B$6,2,0),'SA Q1 18 W'!$B$4:$F$4,0),0)</f>
        <v>1</v>
      </c>
      <c r="F219">
        <v>1</v>
      </c>
      <c r="H219" t="s">
        <v>50</v>
      </c>
      <c r="I219">
        <v>8</v>
      </c>
    </row>
    <row r="220" spans="1:9">
      <c r="A220">
        <f t="shared" si="4"/>
        <v>3</v>
      </c>
      <c r="B220">
        <f t="shared" si="5"/>
        <v>460</v>
      </c>
      <c r="C220">
        <v>1</v>
      </c>
      <c r="D220" s="60">
        <v>43101</v>
      </c>
      <c r="E220" s="30">
        <f>VLOOKUP(VLOOKUP(B220,SuiteCatSubElem!$G$2:$H$666,2,0),'SA Q1 18 W'!$A$33:$F$193,1+MATCH(VLOOKUP(A220,Personas!$A$2:$B$6,2,0),'SA Q1 18 W'!$B$4:$F$4,0),0)</f>
        <v>0.3</v>
      </c>
      <c r="F220">
        <v>1</v>
      </c>
      <c r="H220" t="s">
        <v>50</v>
      </c>
      <c r="I220">
        <v>8</v>
      </c>
    </row>
    <row r="221" spans="1:9">
      <c r="A221">
        <f t="shared" si="4"/>
        <v>3</v>
      </c>
      <c r="B221">
        <f t="shared" si="5"/>
        <v>461</v>
      </c>
      <c r="C221">
        <v>1</v>
      </c>
      <c r="D221" s="60">
        <v>43101</v>
      </c>
      <c r="E221" s="30">
        <f>VLOOKUP(VLOOKUP(B221,SuiteCatSubElem!$G$2:$H$666,2,0),'SA Q1 18 W'!$A$33:$F$193,1+MATCH(VLOOKUP(A221,Personas!$A$2:$B$6,2,0),'SA Q1 18 W'!$B$4:$F$4,0),0)</f>
        <v>0.3</v>
      </c>
      <c r="F221">
        <v>1</v>
      </c>
      <c r="H221" t="s">
        <v>50</v>
      </c>
      <c r="I221">
        <v>8</v>
      </c>
    </row>
    <row r="222" spans="1:9">
      <c r="A222">
        <f t="shared" si="4"/>
        <v>3</v>
      </c>
      <c r="B222">
        <f t="shared" si="5"/>
        <v>462</v>
      </c>
      <c r="C222">
        <v>1</v>
      </c>
      <c r="D222" s="60">
        <v>43101</v>
      </c>
      <c r="E222" s="30">
        <f>VLOOKUP(VLOOKUP(B222,SuiteCatSubElem!$G$2:$H$666,2,0),'SA Q1 18 W'!$A$33:$F$193,1+MATCH(VLOOKUP(A222,Personas!$A$2:$B$6,2,0),'SA Q1 18 W'!$B$4:$F$4,0),0)</f>
        <v>0.3</v>
      </c>
      <c r="F222">
        <v>1</v>
      </c>
      <c r="H222" t="s">
        <v>50</v>
      </c>
      <c r="I222">
        <v>8</v>
      </c>
    </row>
    <row r="223" spans="1:9">
      <c r="A223">
        <f>A139+1</f>
        <v>3</v>
      </c>
      <c r="B223">
        <f>B139</f>
        <v>463</v>
      </c>
      <c r="C223">
        <v>1</v>
      </c>
      <c r="D223" s="60">
        <v>43101</v>
      </c>
      <c r="E223" s="30">
        <f>VLOOKUP(VLOOKUP(B223,SuiteCatSubElem!$G$2:$H$666,2,0),'SA Q1 18 W'!$A$33:$F$193,1+MATCH(VLOOKUP(A223,Personas!$A$2:$B$6,2,0),'SA Q1 18 W'!$B$4:$F$4,0),0)</f>
        <v>0.3</v>
      </c>
      <c r="F223">
        <v>1</v>
      </c>
      <c r="H223" t="s">
        <v>50</v>
      </c>
      <c r="I223">
        <v>8</v>
      </c>
    </row>
    <row r="224" spans="1:9">
      <c r="A224">
        <f t="shared" ref="A224:A287" si="6">A140+1</f>
        <v>3</v>
      </c>
      <c r="B224">
        <f t="shared" ref="B224:B287" si="7">B140</f>
        <v>464</v>
      </c>
      <c r="C224">
        <v>1</v>
      </c>
      <c r="D224" s="60">
        <v>43101</v>
      </c>
      <c r="E224" s="30">
        <f>VLOOKUP(VLOOKUP(B224,SuiteCatSubElem!$G$2:$H$666,2,0),'SA Q1 18 W'!$A$33:$F$193,1+MATCH(VLOOKUP(A224,Personas!$A$2:$B$6,2,0),'SA Q1 18 W'!$B$4:$F$4,0),0)</f>
        <v>0.2</v>
      </c>
      <c r="F224">
        <v>1</v>
      </c>
      <c r="H224" t="s">
        <v>50</v>
      </c>
      <c r="I224">
        <v>8</v>
      </c>
    </row>
    <row r="225" spans="1:9">
      <c r="A225">
        <f t="shared" si="6"/>
        <v>3</v>
      </c>
      <c r="B225">
        <f t="shared" si="7"/>
        <v>465</v>
      </c>
      <c r="C225">
        <v>1</v>
      </c>
      <c r="D225" s="60">
        <v>43101</v>
      </c>
      <c r="E225" s="30">
        <f>VLOOKUP(VLOOKUP(B225,SuiteCatSubElem!$G$2:$H$666,2,0),'SA Q1 18 W'!$A$33:$F$193,1+MATCH(VLOOKUP(A225,Personas!$A$2:$B$6,2,0),'SA Q1 18 W'!$B$4:$F$4,0),0)</f>
        <v>0.7</v>
      </c>
      <c r="F225">
        <v>1</v>
      </c>
      <c r="H225" t="s">
        <v>50</v>
      </c>
      <c r="I225">
        <v>8</v>
      </c>
    </row>
    <row r="226" spans="1:9">
      <c r="A226">
        <f t="shared" si="6"/>
        <v>3</v>
      </c>
      <c r="B226">
        <f t="shared" si="7"/>
        <v>466</v>
      </c>
      <c r="C226">
        <v>1</v>
      </c>
      <c r="D226" s="60">
        <v>43101</v>
      </c>
      <c r="E226" s="30">
        <f>VLOOKUP(VLOOKUP(B226,SuiteCatSubElem!$G$2:$H$666,2,0),'SA Q1 18 W'!$A$33:$F$193,1+MATCH(VLOOKUP(A226,Personas!$A$2:$B$6,2,0),'SA Q1 18 W'!$B$4:$F$4,0),0)</f>
        <v>0.4</v>
      </c>
      <c r="F226">
        <v>1</v>
      </c>
      <c r="H226" t="s">
        <v>50</v>
      </c>
      <c r="I226">
        <v>8</v>
      </c>
    </row>
    <row r="227" spans="1:9">
      <c r="A227">
        <f t="shared" si="6"/>
        <v>3</v>
      </c>
      <c r="B227">
        <f t="shared" si="7"/>
        <v>467</v>
      </c>
      <c r="C227">
        <v>1</v>
      </c>
      <c r="D227" s="60">
        <v>43101</v>
      </c>
      <c r="E227" s="30">
        <f>VLOOKUP(VLOOKUP(B227,SuiteCatSubElem!$G$2:$H$666,2,0),'SA Q1 18 W'!$A$33:$F$193,1+MATCH(VLOOKUP(A227,Personas!$A$2:$B$6,2,0),'SA Q1 18 W'!$B$4:$F$4,0),0)</f>
        <v>0.4</v>
      </c>
      <c r="F227">
        <v>1</v>
      </c>
      <c r="H227" t="s">
        <v>50</v>
      </c>
      <c r="I227">
        <v>8</v>
      </c>
    </row>
    <row r="228" spans="1:9">
      <c r="A228">
        <f t="shared" si="6"/>
        <v>3</v>
      </c>
      <c r="B228">
        <f t="shared" si="7"/>
        <v>468</v>
      </c>
      <c r="C228">
        <v>1</v>
      </c>
      <c r="D228" s="60">
        <v>43101</v>
      </c>
      <c r="E228" s="30">
        <f>VLOOKUP(VLOOKUP(B228,SuiteCatSubElem!$G$2:$H$666,2,0),'SA Q1 18 W'!$A$33:$F$193,1+MATCH(VLOOKUP(A228,Personas!$A$2:$B$6,2,0),'SA Q1 18 W'!$B$4:$F$4,0),0)</f>
        <v>0.8</v>
      </c>
      <c r="F228">
        <v>1</v>
      </c>
      <c r="H228" t="s">
        <v>50</v>
      </c>
      <c r="I228">
        <v>8</v>
      </c>
    </row>
    <row r="229" spans="1:9">
      <c r="A229">
        <f t="shared" si="6"/>
        <v>3</v>
      </c>
      <c r="B229">
        <f t="shared" si="7"/>
        <v>469</v>
      </c>
      <c r="C229">
        <v>1</v>
      </c>
      <c r="D229" s="60">
        <v>43101</v>
      </c>
      <c r="E229" s="30">
        <f>VLOOKUP(VLOOKUP(B229,SuiteCatSubElem!$G$2:$H$666,2,0),'SA Q1 18 W'!$A$33:$F$193,1+MATCH(VLOOKUP(A229,Personas!$A$2:$B$6,2,0),'SA Q1 18 W'!$B$4:$F$4,0),0)</f>
        <v>0</v>
      </c>
      <c r="F229">
        <v>1</v>
      </c>
      <c r="H229" t="s">
        <v>50</v>
      </c>
      <c r="I229">
        <v>8</v>
      </c>
    </row>
    <row r="230" spans="1:9">
      <c r="A230">
        <f t="shared" si="6"/>
        <v>3</v>
      </c>
      <c r="B230">
        <f t="shared" si="7"/>
        <v>470</v>
      </c>
      <c r="C230">
        <v>1</v>
      </c>
      <c r="D230" s="60">
        <v>43101</v>
      </c>
      <c r="E230" s="30">
        <f>VLOOKUP(VLOOKUP(B230,SuiteCatSubElem!$G$2:$H$666,2,0),'SA Q1 18 W'!$A$33:$F$193,1+MATCH(VLOOKUP(A230,Personas!$A$2:$B$6,2,0),'SA Q1 18 W'!$B$4:$F$4,0),0)</f>
        <v>0.6</v>
      </c>
      <c r="F230">
        <v>1</v>
      </c>
      <c r="H230" t="s">
        <v>50</v>
      </c>
      <c r="I230">
        <v>8</v>
      </c>
    </row>
    <row r="231" spans="1:9">
      <c r="A231">
        <f t="shared" si="6"/>
        <v>3</v>
      </c>
      <c r="B231">
        <f t="shared" si="7"/>
        <v>471</v>
      </c>
      <c r="C231">
        <v>1</v>
      </c>
      <c r="D231" s="60">
        <v>43101</v>
      </c>
      <c r="E231" s="30">
        <f>VLOOKUP(VLOOKUP(B231,SuiteCatSubElem!$G$2:$H$666,2,0),'SA Q1 18 W'!$A$33:$F$193,1+MATCH(VLOOKUP(A231,Personas!$A$2:$B$6,2,0),'SA Q1 18 W'!$B$4:$F$4,0),0)</f>
        <v>0.3</v>
      </c>
      <c r="F231">
        <v>1</v>
      </c>
      <c r="H231" t="s">
        <v>50</v>
      </c>
      <c r="I231">
        <v>8</v>
      </c>
    </row>
    <row r="232" spans="1:9">
      <c r="A232">
        <f t="shared" si="6"/>
        <v>3</v>
      </c>
      <c r="B232">
        <f t="shared" si="7"/>
        <v>472</v>
      </c>
      <c r="C232">
        <v>1</v>
      </c>
      <c r="D232" s="60">
        <v>43101</v>
      </c>
      <c r="E232" s="30">
        <f>VLOOKUP(VLOOKUP(B232,SuiteCatSubElem!$G$2:$H$666,2,0),'SA Q1 18 W'!$A$33:$F$193,1+MATCH(VLOOKUP(A232,Personas!$A$2:$B$6,2,0),'SA Q1 18 W'!$B$4:$F$4,0),0)</f>
        <v>0</v>
      </c>
      <c r="F232">
        <v>1</v>
      </c>
      <c r="H232" t="s">
        <v>50</v>
      </c>
      <c r="I232">
        <v>8</v>
      </c>
    </row>
    <row r="233" spans="1:9">
      <c r="A233">
        <f t="shared" si="6"/>
        <v>3</v>
      </c>
      <c r="B233">
        <f t="shared" si="7"/>
        <v>473</v>
      </c>
      <c r="C233">
        <v>1</v>
      </c>
      <c r="D233" s="60">
        <v>43101</v>
      </c>
      <c r="E233" s="30">
        <f>VLOOKUP(VLOOKUP(B233,SuiteCatSubElem!$G$2:$H$666,2,0),'SA Q1 18 W'!$A$33:$F$193,1+MATCH(VLOOKUP(A233,Personas!$A$2:$B$6,2,0),'SA Q1 18 W'!$B$4:$F$4,0),0)</f>
        <v>0.3</v>
      </c>
      <c r="F233">
        <v>1</v>
      </c>
      <c r="H233" t="s">
        <v>50</v>
      </c>
      <c r="I233">
        <v>8</v>
      </c>
    </row>
    <row r="234" spans="1:9">
      <c r="A234">
        <f t="shared" si="6"/>
        <v>3</v>
      </c>
      <c r="B234">
        <f t="shared" si="7"/>
        <v>474</v>
      </c>
      <c r="C234">
        <v>1</v>
      </c>
      <c r="D234" s="60">
        <v>43101</v>
      </c>
      <c r="E234" s="30">
        <f>VLOOKUP(VLOOKUP(B234,SuiteCatSubElem!$G$2:$H$666,2,0),'SA Q1 18 W'!$A$33:$F$193,1+MATCH(VLOOKUP(A234,Personas!$A$2:$B$6,2,0),'SA Q1 18 W'!$B$4:$F$4,0),0)</f>
        <v>0.1</v>
      </c>
      <c r="F234">
        <v>1</v>
      </c>
      <c r="H234" t="s">
        <v>50</v>
      </c>
      <c r="I234">
        <v>8</v>
      </c>
    </row>
    <row r="235" spans="1:9">
      <c r="A235">
        <f t="shared" si="6"/>
        <v>3</v>
      </c>
      <c r="B235">
        <f t="shared" si="7"/>
        <v>475</v>
      </c>
      <c r="C235">
        <v>1</v>
      </c>
      <c r="D235" s="60">
        <v>43101</v>
      </c>
      <c r="E235" s="30">
        <f>VLOOKUP(VLOOKUP(B235,SuiteCatSubElem!$G$2:$H$666,2,0),'SA Q1 18 W'!$A$33:$F$193,1+MATCH(VLOOKUP(A235,Personas!$A$2:$B$6,2,0),'SA Q1 18 W'!$B$4:$F$4,0),0)</f>
        <v>0.2</v>
      </c>
      <c r="F235">
        <v>1</v>
      </c>
      <c r="H235" t="s">
        <v>50</v>
      </c>
      <c r="I235">
        <v>8</v>
      </c>
    </row>
    <row r="236" spans="1:9">
      <c r="A236">
        <f t="shared" si="6"/>
        <v>3</v>
      </c>
      <c r="B236">
        <f t="shared" si="7"/>
        <v>476</v>
      </c>
      <c r="C236">
        <v>1</v>
      </c>
      <c r="D236" s="60">
        <v>43101</v>
      </c>
      <c r="E236" s="30">
        <f>VLOOKUP(VLOOKUP(B236,SuiteCatSubElem!$G$2:$H$666,2,0),'SA Q1 18 W'!$A$33:$F$193,1+MATCH(VLOOKUP(A236,Personas!$A$2:$B$6,2,0),'SA Q1 18 W'!$B$4:$F$4,0),0)</f>
        <v>0.2</v>
      </c>
      <c r="F236">
        <v>1</v>
      </c>
      <c r="H236" t="s">
        <v>50</v>
      </c>
      <c r="I236">
        <v>8</v>
      </c>
    </row>
    <row r="237" spans="1:9">
      <c r="A237">
        <f t="shared" si="6"/>
        <v>3</v>
      </c>
      <c r="B237">
        <f t="shared" si="7"/>
        <v>477</v>
      </c>
      <c r="C237">
        <v>1</v>
      </c>
      <c r="D237" s="60">
        <v>43101</v>
      </c>
      <c r="E237" s="30">
        <f>VLOOKUP(VLOOKUP(B237,SuiteCatSubElem!$G$2:$H$666,2,0),'SA Q1 18 W'!$A$33:$F$193,1+MATCH(VLOOKUP(A237,Personas!$A$2:$B$6,2,0),'SA Q1 18 W'!$B$4:$F$4,0),0)</f>
        <v>0.4</v>
      </c>
      <c r="F237">
        <v>1</v>
      </c>
      <c r="H237" t="s">
        <v>50</v>
      </c>
      <c r="I237">
        <v>8</v>
      </c>
    </row>
    <row r="238" spans="1:9">
      <c r="A238">
        <f t="shared" si="6"/>
        <v>3</v>
      </c>
      <c r="B238">
        <f t="shared" si="7"/>
        <v>478</v>
      </c>
      <c r="C238">
        <v>1</v>
      </c>
      <c r="D238" s="60">
        <v>43101</v>
      </c>
      <c r="E238" s="30">
        <f>VLOOKUP(VLOOKUP(B238,SuiteCatSubElem!$G$2:$H$666,2,0),'SA Q1 18 W'!$A$33:$F$193,1+MATCH(VLOOKUP(A238,Personas!$A$2:$B$6,2,0),'SA Q1 18 W'!$B$4:$F$4,0),0)</f>
        <v>0.3</v>
      </c>
      <c r="F238">
        <v>1</v>
      </c>
      <c r="H238" t="s">
        <v>50</v>
      </c>
      <c r="I238">
        <v>8</v>
      </c>
    </row>
    <row r="239" spans="1:9">
      <c r="A239">
        <f t="shared" si="6"/>
        <v>3</v>
      </c>
      <c r="B239">
        <f t="shared" si="7"/>
        <v>479</v>
      </c>
      <c r="C239">
        <v>1</v>
      </c>
      <c r="D239" s="60">
        <v>43101</v>
      </c>
      <c r="E239" s="30">
        <f>VLOOKUP(VLOOKUP(B239,SuiteCatSubElem!$G$2:$H$666,2,0),'SA Q1 18 W'!$A$33:$F$193,1+MATCH(VLOOKUP(A239,Personas!$A$2:$B$6,2,0),'SA Q1 18 W'!$B$4:$F$4,0),0)</f>
        <v>0.8</v>
      </c>
      <c r="F239">
        <v>1</v>
      </c>
      <c r="H239" t="s">
        <v>50</v>
      </c>
      <c r="I239">
        <v>8</v>
      </c>
    </row>
    <row r="240" spans="1:9">
      <c r="A240">
        <f t="shared" si="6"/>
        <v>3</v>
      </c>
      <c r="B240">
        <f t="shared" si="7"/>
        <v>480</v>
      </c>
      <c r="C240">
        <v>1</v>
      </c>
      <c r="D240" s="60">
        <v>43101</v>
      </c>
      <c r="E240" s="30">
        <f>VLOOKUP(VLOOKUP(B240,SuiteCatSubElem!$G$2:$H$666,2,0),'SA Q1 18 W'!$A$33:$F$193,1+MATCH(VLOOKUP(A240,Personas!$A$2:$B$6,2,0),'SA Q1 18 W'!$B$4:$F$4,0),0)</f>
        <v>0.5</v>
      </c>
      <c r="F240">
        <v>1</v>
      </c>
      <c r="H240" t="s">
        <v>50</v>
      </c>
      <c r="I240">
        <v>8</v>
      </c>
    </row>
    <row r="241" spans="1:9">
      <c r="A241">
        <f t="shared" si="6"/>
        <v>3</v>
      </c>
      <c r="B241">
        <f t="shared" si="7"/>
        <v>481</v>
      </c>
      <c r="C241">
        <v>1</v>
      </c>
      <c r="D241" s="60">
        <v>43101</v>
      </c>
      <c r="E241" s="30">
        <f>VLOOKUP(VLOOKUP(B241,SuiteCatSubElem!$G$2:$H$666,2,0),'SA Q1 18 W'!$A$33:$F$193,1+MATCH(VLOOKUP(A241,Personas!$A$2:$B$6,2,0),'SA Q1 18 W'!$B$4:$F$4,0),0)</f>
        <v>0.6</v>
      </c>
      <c r="F241">
        <v>1</v>
      </c>
      <c r="H241" t="s">
        <v>50</v>
      </c>
      <c r="I241">
        <v>8</v>
      </c>
    </row>
    <row r="242" spans="1:9">
      <c r="A242">
        <f t="shared" si="6"/>
        <v>3</v>
      </c>
      <c r="B242">
        <f t="shared" si="7"/>
        <v>482</v>
      </c>
      <c r="C242">
        <v>1</v>
      </c>
      <c r="D242" s="60">
        <v>43101</v>
      </c>
      <c r="E242" s="30">
        <f>VLOOKUP(VLOOKUP(B242,SuiteCatSubElem!$G$2:$H$666,2,0),'SA Q1 18 W'!$A$33:$F$193,1+MATCH(VLOOKUP(A242,Personas!$A$2:$B$6,2,0),'SA Q1 18 W'!$B$4:$F$4,0),0)</f>
        <v>0.4</v>
      </c>
      <c r="F242">
        <v>1</v>
      </c>
      <c r="H242" t="s">
        <v>50</v>
      </c>
      <c r="I242">
        <v>8</v>
      </c>
    </row>
    <row r="243" spans="1:9">
      <c r="A243">
        <f t="shared" si="6"/>
        <v>3</v>
      </c>
      <c r="B243">
        <f t="shared" si="7"/>
        <v>483</v>
      </c>
      <c r="C243">
        <v>1</v>
      </c>
      <c r="D243" s="60">
        <v>43101</v>
      </c>
      <c r="E243" s="30">
        <f>VLOOKUP(VLOOKUP(B243,SuiteCatSubElem!$G$2:$H$666,2,0),'SA Q1 18 W'!$A$33:$F$193,1+MATCH(VLOOKUP(A243,Personas!$A$2:$B$6,2,0),'SA Q1 18 W'!$B$4:$F$4,0),0)</f>
        <v>0.6</v>
      </c>
      <c r="F243">
        <v>1</v>
      </c>
      <c r="H243" t="s">
        <v>50</v>
      </c>
      <c r="I243">
        <v>8</v>
      </c>
    </row>
    <row r="244" spans="1:9">
      <c r="A244">
        <f t="shared" si="6"/>
        <v>3</v>
      </c>
      <c r="B244">
        <f t="shared" si="7"/>
        <v>484</v>
      </c>
      <c r="C244">
        <v>1</v>
      </c>
      <c r="D244" s="60">
        <v>43101</v>
      </c>
      <c r="E244" s="30">
        <f>VLOOKUP(VLOOKUP(B244,SuiteCatSubElem!$G$2:$H$666,2,0),'SA Q1 18 W'!$A$33:$F$193,1+MATCH(VLOOKUP(A244,Personas!$A$2:$B$6,2,0),'SA Q1 18 W'!$B$4:$F$4,0),0)</f>
        <v>0.5</v>
      </c>
      <c r="F244">
        <v>1</v>
      </c>
      <c r="H244" t="s">
        <v>50</v>
      </c>
      <c r="I244">
        <v>8</v>
      </c>
    </row>
    <row r="245" spans="1:9">
      <c r="A245">
        <f t="shared" si="6"/>
        <v>3</v>
      </c>
      <c r="B245">
        <f t="shared" si="7"/>
        <v>485</v>
      </c>
      <c r="C245">
        <v>1</v>
      </c>
      <c r="D245" s="60">
        <v>43101</v>
      </c>
      <c r="E245" s="30">
        <f>VLOOKUP(VLOOKUP(B245,SuiteCatSubElem!$G$2:$H$666,2,0),'SA Q1 18 W'!$A$33:$F$193,1+MATCH(VLOOKUP(A245,Personas!$A$2:$B$6,2,0),'SA Q1 18 W'!$B$4:$F$4,0),0)</f>
        <v>0.6</v>
      </c>
      <c r="F245">
        <v>1</v>
      </c>
      <c r="H245" t="s">
        <v>50</v>
      </c>
      <c r="I245">
        <v>8</v>
      </c>
    </row>
    <row r="246" spans="1:9">
      <c r="A246">
        <f t="shared" si="6"/>
        <v>3</v>
      </c>
      <c r="B246">
        <f t="shared" si="7"/>
        <v>486</v>
      </c>
      <c r="C246">
        <v>1</v>
      </c>
      <c r="D246" s="60">
        <v>43101</v>
      </c>
      <c r="E246" s="30">
        <f>VLOOKUP(VLOOKUP(B246,SuiteCatSubElem!$G$2:$H$666,2,0),'SA Q1 18 W'!$A$33:$F$193,1+MATCH(VLOOKUP(A246,Personas!$A$2:$B$6,2,0),'SA Q1 18 W'!$B$4:$F$4,0),0)</f>
        <v>0.6</v>
      </c>
      <c r="F246">
        <v>1</v>
      </c>
      <c r="H246" t="s">
        <v>50</v>
      </c>
      <c r="I246">
        <v>8</v>
      </c>
    </row>
    <row r="247" spans="1:9">
      <c r="A247">
        <f t="shared" si="6"/>
        <v>3</v>
      </c>
      <c r="B247">
        <f t="shared" si="7"/>
        <v>487</v>
      </c>
      <c r="C247">
        <v>1</v>
      </c>
      <c r="D247" s="60">
        <v>43101</v>
      </c>
      <c r="E247" s="30">
        <f>VLOOKUP(VLOOKUP(B247,SuiteCatSubElem!$G$2:$H$666,2,0),'SA Q1 18 W'!$A$33:$F$193,1+MATCH(VLOOKUP(A247,Personas!$A$2:$B$6,2,0),'SA Q1 18 W'!$B$4:$F$4,0),0)</f>
        <v>0.6</v>
      </c>
      <c r="F247">
        <v>1</v>
      </c>
      <c r="H247" t="s">
        <v>50</v>
      </c>
      <c r="I247">
        <v>8</v>
      </c>
    </row>
    <row r="248" spans="1:9">
      <c r="A248">
        <f t="shared" si="6"/>
        <v>3</v>
      </c>
      <c r="B248">
        <f t="shared" si="7"/>
        <v>488</v>
      </c>
      <c r="C248">
        <v>1</v>
      </c>
      <c r="D248" s="60">
        <v>43101</v>
      </c>
      <c r="E248" s="30">
        <f>VLOOKUP(VLOOKUP(B248,SuiteCatSubElem!$G$2:$H$666,2,0),'SA Q1 18 W'!$A$33:$F$193,1+MATCH(VLOOKUP(A248,Personas!$A$2:$B$6,2,0),'SA Q1 18 W'!$B$4:$F$4,0),0)</f>
        <v>1</v>
      </c>
      <c r="F248">
        <v>1</v>
      </c>
      <c r="H248" t="s">
        <v>50</v>
      </c>
      <c r="I248">
        <v>8</v>
      </c>
    </row>
    <row r="249" spans="1:9">
      <c r="A249">
        <f t="shared" si="6"/>
        <v>3</v>
      </c>
      <c r="B249">
        <f t="shared" si="7"/>
        <v>489</v>
      </c>
      <c r="C249">
        <v>1</v>
      </c>
      <c r="D249" s="60">
        <v>43101</v>
      </c>
      <c r="E249" s="30">
        <f>VLOOKUP(VLOOKUP(B249,SuiteCatSubElem!$G$2:$H$666,2,0),'SA Q1 18 W'!$A$33:$F$193,1+MATCH(VLOOKUP(A249,Personas!$A$2:$B$6,2,0),'SA Q1 18 W'!$B$4:$F$4,0),0)</f>
        <v>1</v>
      </c>
      <c r="F249">
        <v>1</v>
      </c>
      <c r="H249" t="s">
        <v>50</v>
      </c>
      <c r="I249">
        <v>8</v>
      </c>
    </row>
    <row r="250" spans="1:9">
      <c r="A250">
        <f t="shared" si="6"/>
        <v>3</v>
      </c>
      <c r="B250">
        <f t="shared" si="7"/>
        <v>490</v>
      </c>
      <c r="C250">
        <v>1</v>
      </c>
      <c r="D250" s="60">
        <v>43101</v>
      </c>
      <c r="E250" s="30">
        <f>VLOOKUP(VLOOKUP(B250,SuiteCatSubElem!$G$2:$H$666,2,0),'SA Q1 18 W'!$A$33:$F$193,1+MATCH(VLOOKUP(A250,Personas!$A$2:$B$6,2,0),'SA Q1 18 W'!$B$4:$F$4,0),0)</f>
        <v>1</v>
      </c>
      <c r="F250">
        <v>1</v>
      </c>
      <c r="H250" t="s">
        <v>50</v>
      </c>
      <c r="I250">
        <v>8</v>
      </c>
    </row>
    <row r="251" spans="1:9">
      <c r="A251">
        <f t="shared" si="6"/>
        <v>3</v>
      </c>
      <c r="B251">
        <f t="shared" si="7"/>
        <v>491</v>
      </c>
      <c r="C251">
        <v>1</v>
      </c>
      <c r="D251" s="60">
        <v>43101</v>
      </c>
      <c r="E251" s="30">
        <f>VLOOKUP(VLOOKUP(B251,SuiteCatSubElem!$G$2:$H$666,2,0),'SA Q1 18 W'!$A$33:$F$193,1+MATCH(VLOOKUP(A251,Personas!$A$2:$B$6,2,0),'SA Q1 18 W'!$B$4:$F$4,0),0)</f>
        <v>0.4</v>
      </c>
      <c r="F251">
        <v>1</v>
      </c>
      <c r="H251" t="s">
        <v>50</v>
      </c>
      <c r="I251">
        <v>8</v>
      </c>
    </row>
    <row r="252" spans="1:9">
      <c r="A252">
        <f t="shared" si="6"/>
        <v>3</v>
      </c>
      <c r="B252">
        <f t="shared" si="7"/>
        <v>492</v>
      </c>
      <c r="C252">
        <v>1</v>
      </c>
      <c r="D252" s="60">
        <v>43101</v>
      </c>
      <c r="E252" s="30">
        <f>VLOOKUP(VLOOKUP(B252,SuiteCatSubElem!$G$2:$H$666,2,0),'SA Q1 18 W'!$A$33:$F$193,1+MATCH(VLOOKUP(A252,Personas!$A$2:$B$6,2,0),'SA Q1 18 W'!$B$4:$F$4,0),0)</f>
        <v>0.9</v>
      </c>
      <c r="F252">
        <v>1</v>
      </c>
      <c r="H252" t="s">
        <v>50</v>
      </c>
      <c r="I252">
        <v>8</v>
      </c>
    </row>
    <row r="253" spans="1:9">
      <c r="A253">
        <f t="shared" si="6"/>
        <v>3</v>
      </c>
      <c r="B253">
        <f t="shared" si="7"/>
        <v>493</v>
      </c>
      <c r="C253">
        <v>1</v>
      </c>
      <c r="D253" s="60">
        <v>43101</v>
      </c>
      <c r="E253" s="30">
        <f>VLOOKUP(VLOOKUP(B253,SuiteCatSubElem!$G$2:$H$666,2,0),'SA Q1 18 W'!$A$33:$F$193,1+MATCH(VLOOKUP(A253,Personas!$A$2:$B$6,2,0),'SA Q1 18 W'!$B$4:$F$4,0),0)</f>
        <v>0.9</v>
      </c>
      <c r="F253">
        <v>1</v>
      </c>
      <c r="H253" t="s">
        <v>50</v>
      </c>
      <c r="I253">
        <v>8</v>
      </c>
    </row>
    <row r="254" spans="1:9">
      <c r="A254">
        <f t="shared" si="6"/>
        <v>4</v>
      </c>
      <c r="B254">
        <f t="shared" si="7"/>
        <v>409</v>
      </c>
      <c r="C254">
        <v>1</v>
      </c>
      <c r="D254" s="60">
        <v>43101</v>
      </c>
      <c r="E254" s="30">
        <f>VLOOKUP(VLOOKUP(B254,SuiteCatSubElem!$G$2:$H$666,2,0),'SA Q1 18 W'!$A$33:$F$193,1+MATCH(VLOOKUP(A254,Personas!$A$2:$B$6,2,0),'SA Q1 18 W'!$B$4:$F$4,0),0)</f>
        <v>1</v>
      </c>
      <c r="F254">
        <v>1</v>
      </c>
      <c r="H254" t="s">
        <v>50</v>
      </c>
      <c r="I254">
        <v>8</v>
      </c>
    </row>
    <row r="255" spans="1:9">
      <c r="A255">
        <f t="shared" si="6"/>
        <v>4</v>
      </c>
      <c r="B255">
        <f t="shared" si="7"/>
        <v>410</v>
      </c>
      <c r="C255">
        <v>1</v>
      </c>
      <c r="D255" s="60">
        <v>43101</v>
      </c>
      <c r="E255" s="30">
        <f>VLOOKUP(VLOOKUP(B255,SuiteCatSubElem!$G$2:$H$666,2,0),'SA Q1 18 W'!$A$33:$F$193,1+MATCH(VLOOKUP(A255,Personas!$A$2:$B$6,2,0),'SA Q1 18 W'!$B$4:$F$4,0),0)</f>
        <v>0.6</v>
      </c>
      <c r="F255">
        <v>1</v>
      </c>
      <c r="H255" t="s">
        <v>50</v>
      </c>
      <c r="I255">
        <v>8</v>
      </c>
    </row>
    <row r="256" spans="1:9">
      <c r="A256">
        <f t="shared" si="6"/>
        <v>4</v>
      </c>
      <c r="B256">
        <f t="shared" si="7"/>
        <v>411</v>
      </c>
      <c r="C256">
        <v>1</v>
      </c>
      <c r="D256" s="60">
        <v>43101</v>
      </c>
      <c r="E256" s="30">
        <f>VLOOKUP(VLOOKUP(B256,SuiteCatSubElem!$G$2:$H$666,2,0),'SA Q1 18 W'!$A$33:$F$193,1+MATCH(VLOOKUP(A256,Personas!$A$2:$B$6,2,0),'SA Q1 18 W'!$B$4:$F$4,0),0)</f>
        <v>1</v>
      </c>
      <c r="F256">
        <v>1</v>
      </c>
      <c r="H256" t="s">
        <v>50</v>
      </c>
      <c r="I256">
        <v>8</v>
      </c>
    </row>
    <row r="257" spans="1:9">
      <c r="A257">
        <f t="shared" si="6"/>
        <v>4</v>
      </c>
      <c r="B257">
        <f t="shared" si="7"/>
        <v>412</v>
      </c>
      <c r="C257">
        <v>1</v>
      </c>
      <c r="D257" s="60">
        <v>43101</v>
      </c>
      <c r="E257" s="30">
        <f>VLOOKUP(VLOOKUP(B257,SuiteCatSubElem!$G$2:$H$666,2,0),'SA Q1 18 W'!$A$33:$F$193,1+MATCH(VLOOKUP(A257,Personas!$A$2:$B$6,2,0),'SA Q1 18 W'!$B$4:$F$4,0),0)</f>
        <v>0.9</v>
      </c>
      <c r="F257">
        <v>1</v>
      </c>
      <c r="H257" t="s">
        <v>50</v>
      </c>
      <c r="I257">
        <v>8</v>
      </c>
    </row>
    <row r="258" spans="1:9">
      <c r="A258">
        <f t="shared" si="6"/>
        <v>4</v>
      </c>
      <c r="B258">
        <f t="shared" si="7"/>
        <v>413</v>
      </c>
      <c r="C258">
        <v>1</v>
      </c>
      <c r="D258" s="60">
        <v>43101</v>
      </c>
      <c r="E258" s="30">
        <f>VLOOKUP(VLOOKUP(B258,SuiteCatSubElem!$G$2:$H$666,2,0),'SA Q1 18 W'!$A$33:$F$193,1+MATCH(VLOOKUP(A258,Personas!$A$2:$B$6,2,0),'SA Q1 18 W'!$B$4:$F$4,0),0)</f>
        <v>1</v>
      </c>
      <c r="F258">
        <v>1</v>
      </c>
      <c r="H258" t="s">
        <v>50</v>
      </c>
      <c r="I258">
        <v>8</v>
      </c>
    </row>
    <row r="259" spans="1:9">
      <c r="A259">
        <f t="shared" si="6"/>
        <v>4</v>
      </c>
      <c r="B259">
        <f t="shared" si="7"/>
        <v>414</v>
      </c>
      <c r="C259">
        <v>1</v>
      </c>
      <c r="D259" s="60">
        <v>43101</v>
      </c>
      <c r="E259" s="30">
        <f>VLOOKUP(VLOOKUP(B259,SuiteCatSubElem!$G$2:$H$666,2,0),'SA Q1 18 W'!$A$33:$F$193,1+MATCH(VLOOKUP(A259,Personas!$A$2:$B$6,2,0),'SA Q1 18 W'!$B$4:$F$4,0),0)</f>
        <v>1</v>
      </c>
      <c r="F259">
        <v>1</v>
      </c>
      <c r="H259" t="s">
        <v>50</v>
      </c>
      <c r="I259">
        <v>8</v>
      </c>
    </row>
    <row r="260" spans="1:9">
      <c r="A260">
        <f t="shared" si="6"/>
        <v>4</v>
      </c>
      <c r="B260">
        <f t="shared" si="7"/>
        <v>415</v>
      </c>
      <c r="C260">
        <v>1</v>
      </c>
      <c r="D260" s="60">
        <v>43101</v>
      </c>
      <c r="E260" s="30">
        <f>VLOOKUP(VLOOKUP(B260,SuiteCatSubElem!$G$2:$H$666,2,0),'SA Q1 18 W'!$A$33:$F$193,1+MATCH(VLOOKUP(A260,Personas!$A$2:$B$6,2,0),'SA Q1 18 W'!$B$4:$F$4,0),0)</f>
        <v>0.9</v>
      </c>
      <c r="F260">
        <v>1</v>
      </c>
      <c r="H260" t="s">
        <v>50</v>
      </c>
      <c r="I260">
        <v>8</v>
      </c>
    </row>
    <row r="261" spans="1:9">
      <c r="A261">
        <f t="shared" si="6"/>
        <v>4</v>
      </c>
      <c r="B261">
        <f t="shared" si="7"/>
        <v>416</v>
      </c>
      <c r="C261">
        <v>1</v>
      </c>
      <c r="D261" s="60">
        <v>43101</v>
      </c>
      <c r="E261" s="30">
        <f>VLOOKUP(VLOOKUP(B261,SuiteCatSubElem!$G$2:$H$666,2,0),'SA Q1 18 W'!$A$33:$F$193,1+MATCH(VLOOKUP(A261,Personas!$A$2:$B$6,2,0),'SA Q1 18 W'!$B$4:$F$4,0),0)</f>
        <v>0.8</v>
      </c>
      <c r="F261">
        <v>1</v>
      </c>
      <c r="H261" t="s">
        <v>50</v>
      </c>
      <c r="I261">
        <v>8</v>
      </c>
    </row>
    <row r="262" spans="1:9">
      <c r="A262">
        <f t="shared" si="6"/>
        <v>4</v>
      </c>
      <c r="B262">
        <f t="shared" si="7"/>
        <v>417</v>
      </c>
      <c r="C262">
        <v>1</v>
      </c>
      <c r="D262" s="60">
        <v>43101</v>
      </c>
      <c r="E262" s="30">
        <f>VLOOKUP(VLOOKUP(B262,SuiteCatSubElem!$G$2:$H$666,2,0),'SA Q1 18 W'!$A$33:$F$193,1+MATCH(VLOOKUP(A262,Personas!$A$2:$B$6,2,0),'SA Q1 18 W'!$B$4:$F$4,0),0)</f>
        <v>1</v>
      </c>
      <c r="F262">
        <v>1</v>
      </c>
      <c r="H262" t="s">
        <v>50</v>
      </c>
      <c r="I262">
        <v>8</v>
      </c>
    </row>
    <row r="263" spans="1:9">
      <c r="A263">
        <f t="shared" si="6"/>
        <v>4</v>
      </c>
      <c r="B263">
        <f t="shared" si="7"/>
        <v>418</v>
      </c>
      <c r="C263">
        <v>1</v>
      </c>
      <c r="D263" s="60">
        <v>43101</v>
      </c>
      <c r="E263" s="30">
        <f>VLOOKUP(VLOOKUP(B263,SuiteCatSubElem!$G$2:$H$666,2,0),'SA Q1 18 W'!$A$33:$F$193,1+MATCH(VLOOKUP(A263,Personas!$A$2:$B$6,2,0),'SA Q1 18 W'!$B$4:$F$4,0),0)</f>
        <v>0</v>
      </c>
      <c r="F263">
        <v>1</v>
      </c>
      <c r="H263" t="s">
        <v>50</v>
      </c>
      <c r="I263">
        <v>8</v>
      </c>
    </row>
    <row r="264" spans="1:9">
      <c r="A264">
        <f t="shared" si="6"/>
        <v>4</v>
      </c>
      <c r="B264">
        <f t="shared" si="7"/>
        <v>419</v>
      </c>
      <c r="C264">
        <v>1</v>
      </c>
      <c r="D264" s="60">
        <v>43101</v>
      </c>
      <c r="E264" s="30">
        <f>VLOOKUP(VLOOKUP(B264,SuiteCatSubElem!$G$2:$H$666,2,0),'SA Q1 18 W'!$A$33:$F$193,1+MATCH(VLOOKUP(A264,Personas!$A$2:$B$6,2,0),'SA Q1 18 W'!$B$4:$F$4,0),0)</f>
        <v>0.5</v>
      </c>
      <c r="F264">
        <v>1</v>
      </c>
      <c r="H264" t="s">
        <v>50</v>
      </c>
      <c r="I264">
        <v>8</v>
      </c>
    </row>
    <row r="265" spans="1:9">
      <c r="A265">
        <f t="shared" si="6"/>
        <v>4</v>
      </c>
      <c r="B265">
        <f t="shared" si="7"/>
        <v>420</v>
      </c>
      <c r="C265">
        <v>1</v>
      </c>
      <c r="D265" s="60">
        <v>43101</v>
      </c>
      <c r="E265" s="30">
        <f>VLOOKUP(VLOOKUP(B265,SuiteCatSubElem!$G$2:$H$666,2,0),'SA Q1 18 W'!$A$33:$F$193,1+MATCH(VLOOKUP(A265,Personas!$A$2:$B$6,2,0),'SA Q1 18 W'!$B$4:$F$4,0),0)</f>
        <v>0.7</v>
      </c>
      <c r="F265">
        <v>1</v>
      </c>
      <c r="H265" t="s">
        <v>50</v>
      </c>
      <c r="I265">
        <v>8</v>
      </c>
    </row>
    <row r="266" spans="1:9">
      <c r="A266">
        <f t="shared" si="6"/>
        <v>4</v>
      </c>
      <c r="B266">
        <f t="shared" si="7"/>
        <v>421</v>
      </c>
      <c r="C266">
        <v>1</v>
      </c>
      <c r="D266" s="60">
        <v>43101</v>
      </c>
      <c r="E266" s="30">
        <f>VLOOKUP(VLOOKUP(B266,SuiteCatSubElem!$G$2:$H$666,2,0),'SA Q1 18 W'!$A$33:$F$193,1+MATCH(VLOOKUP(A266,Personas!$A$2:$B$6,2,0),'SA Q1 18 W'!$B$4:$F$4,0),0)</f>
        <v>0.7</v>
      </c>
      <c r="F266">
        <v>1</v>
      </c>
      <c r="H266" t="s">
        <v>50</v>
      </c>
      <c r="I266">
        <v>8</v>
      </c>
    </row>
    <row r="267" spans="1:9">
      <c r="A267">
        <f t="shared" si="6"/>
        <v>4</v>
      </c>
      <c r="B267">
        <f t="shared" si="7"/>
        <v>422</v>
      </c>
      <c r="C267">
        <v>1</v>
      </c>
      <c r="D267" s="60">
        <v>43101</v>
      </c>
      <c r="E267" s="30">
        <f>VLOOKUP(VLOOKUP(B267,SuiteCatSubElem!$G$2:$H$666,2,0),'SA Q1 18 W'!$A$33:$F$193,1+MATCH(VLOOKUP(A267,Personas!$A$2:$B$6,2,0),'SA Q1 18 W'!$B$4:$F$4,0),0)</f>
        <v>0.9</v>
      </c>
      <c r="F267">
        <v>1</v>
      </c>
      <c r="H267" t="s">
        <v>50</v>
      </c>
      <c r="I267">
        <v>8</v>
      </c>
    </row>
    <row r="268" spans="1:9">
      <c r="A268">
        <f t="shared" si="6"/>
        <v>4</v>
      </c>
      <c r="B268">
        <f t="shared" si="7"/>
        <v>423</v>
      </c>
      <c r="C268">
        <v>1</v>
      </c>
      <c r="D268" s="60">
        <v>43101</v>
      </c>
      <c r="E268" s="30">
        <f>VLOOKUP(VLOOKUP(B268,SuiteCatSubElem!$G$2:$H$666,2,0),'SA Q1 18 W'!$A$33:$F$193,1+MATCH(VLOOKUP(A268,Personas!$A$2:$B$6,2,0),'SA Q1 18 W'!$B$4:$F$4,0),0)</f>
        <v>0.9</v>
      </c>
      <c r="F268">
        <v>1</v>
      </c>
      <c r="H268" t="s">
        <v>50</v>
      </c>
      <c r="I268">
        <v>8</v>
      </c>
    </row>
    <row r="269" spans="1:9">
      <c r="A269">
        <f t="shared" si="6"/>
        <v>4</v>
      </c>
      <c r="B269">
        <f t="shared" si="7"/>
        <v>424</v>
      </c>
      <c r="C269">
        <v>1</v>
      </c>
      <c r="D269" s="60">
        <v>43101</v>
      </c>
      <c r="E269" s="30">
        <f>VLOOKUP(VLOOKUP(B269,SuiteCatSubElem!$G$2:$H$666,2,0),'SA Q1 18 W'!$A$33:$F$193,1+MATCH(VLOOKUP(A269,Personas!$A$2:$B$6,2,0),'SA Q1 18 W'!$B$4:$F$4,0),0)</f>
        <v>0.8</v>
      </c>
      <c r="F269">
        <v>1</v>
      </c>
      <c r="H269" t="s">
        <v>50</v>
      </c>
      <c r="I269">
        <v>8</v>
      </c>
    </row>
    <row r="270" spans="1:9">
      <c r="A270">
        <f t="shared" si="6"/>
        <v>4</v>
      </c>
      <c r="B270">
        <f t="shared" si="7"/>
        <v>425</v>
      </c>
      <c r="C270">
        <v>1</v>
      </c>
      <c r="D270" s="60">
        <v>43101</v>
      </c>
      <c r="E270" s="30">
        <f>VLOOKUP(VLOOKUP(B270,SuiteCatSubElem!$G$2:$H$666,2,0),'SA Q1 18 W'!$A$33:$F$193,1+MATCH(VLOOKUP(A270,Personas!$A$2:$B$6,2,0),'SA Q1 18 W'!$B$4:$F$4,0),0)</f>
        <v>1</v>
      </c>
      <c r="F270">
        <v>1</v>
      </c>
      <c r="H270" t="s">
        <v>50</v>
      </c>
      <c r="I270">
        <v>8</v>
      </c>
    </row>
    <row r="271" spans="1:9">
      <c r="A271">
        <f t="shared" si="6"/>
        <v>4</v>
      </c>
      <c r="B271">
        <f t="shared" si="7"/>
        <v>426</v>
      </c>
      <c r="C271">
        <v>1</v>
      </c>
      <c r="D271" s="60">
        <v>43101</v>
      </c>
      <c r="E271" s="30">
        <f>VLOOKUP(VLOOKUP(B271,SuiteCatSubElem!$G$2:$H$666,2,0),'SA Q1 18 W'!$A$33:$F$193,1+MATCH(VLOOKUP(A271,Personas!$A$2:$B$6,2,0),'SA Q1 18 W'!$B$4:$F$4,0),0)</f>
        <v>1</v>
      </c>
      <c r="F271">
        <v>1</v>
      </c>
      <c r="H271" t="s">
        <v>50</v>
      </c>
      <c r="I271">
        <v>8</v>
      </c>
    </row>
    <row r="272" spans="1:9">
      <c r="A272">
        <f t="shared" si="6"/>
        <v>4</v>
      </c>
      <c r="B272">
        <f t="shared" si="7"/>
        <v>427</v>
      </c>
      <c r="C272">
        <v>1</v>
      </c>
      <c r="D272" s="60">
        <v>43101</v>
      </c>
      <c r="E272" s="30">
        <f>VLOOKUP(VLOOKUP(B272,SuiteCatSubElem!$G$2:$H$666,2,0),'SA Q1 18 W'!$A$33:$F$193,1+MATCH(VLOOKUP(A272,Personas!$A$2:$B$6,2,0),'SA Q1 18 W'!$B$4:$F$4,0),0)</f>
        <v>1</v>
      </c>
      <c r="F272">
        <v>1</v>
      </c>
      <c r="H272" t="s">
        <v>50</v>
      </c>
      <c r="I272">
        <v>8</v>
      </c>
    </row>
    <row r="273" spans="1:9">
      <c r="A273">
        <f t="shared" si="6"/>
        <v>4</v>
      </c>
      <c r="B273">
        <f t="shared" si="7"/>
        <v>428</v>
      </c>
      <c r="C273">
        <v>1</v>
      </c>
      <c r="D273" s="60">
        <v>43101</v>
      </c>
      <c r="E273" s="30">
        <f>VLOOKUP(VLOOKUP(B273,SuiteCatSubElem!$G$2:$H$666,2,0),'SA Q1 18 W'!$A$33:$F$193,1+MATCH(VLOOKUP(A273,Personas!$A$2:$B$6,2,0),'SA Q1 18 W'!$B$4:$F$4,0),0)</f>
        <v>1</v>
      </c>
      <c r="F273">
        <v>1</v>
      </c>
      <c r="H273" t="s">
        <v>50</v>
      </c>
      <c r="I273">
        <v>8</v>
      </c>
    </row>
    <row r="274" spans="1:9">
      <c r="A274">
        <f t="shared" si="6"/>
        <v>4</v>
      </c>
      <c r="B274">
        <f t="shared" si="7"/>
        <v>429</v>
      </c>
      <c r="C274">
        <v>1</v>
      </c>
      <c r="D274" s="60">
        <v>43101</v>
      </c>
      <c r="E274" s="30">
        <f>VLOOKUP(VLOOKUP(B274,SuiteCatSubElem!$G$2:$H$666,2,0),'SA Q1 18 W'!$A$33:$F$193,1+MATCH(VLOOKUP(A274,Personas!$A$2:$B$6,2,0),'SA Q1 18 W'!$B$4:$F$4,0),0)</f>
        <v>1</v>
      </c>
      <c r="F274">
        <v>1</v>
      </c>
      <c r="H274" t="s">
        <v>50</v>
      </c>
      <c r="I274">
        <v>8</v>
      </c>
    </row>
    <row r="275" spans="1:9">
      <c r="A275">
        <f t="shared" si="6"/>
        <v>4</v>
      </c>
      <c r="B275">
        <f t="shared" si="7"/>
        <v>430</v>
      </c>
      <c r="C275">
        <v>1</v>
      </c>
      <c r="D275" s="60">
        <v>43101</v>
      </c>
      <c r="E275" s="30">
        <f>VLOOKUP(VLOOKUP(B275,SuiteCatSubElem!$G$2:$H$666,2,0),'SA Q1 18 W'!$A$33:$F$193,1+MATCH(VLOOKUP(A275,Personas!$A$2:$B$6,2,0),'SA Q1 18 W'!$B$4:$F$4,0),0)</f>
        <v>0.5</v>
      </c>
      <c r="F275">
        <v>1</v>
      </c>
      <c r="H275" t="s">
        <v>50</v>
      </c>
      <c r="I275">
        <v>8</v>
      </c>
    </row>
    <row r="276" spans="1:9">
      <c r="A276">
        <f t="shared" si="6"/>
        <v>4</v>
      </c>
      <c r="B276">
        <f t="shared" si="7"/>
        <v>431</v>
      </c>
      <c r="C276">
        <v>1</v>
      </c>
      <c r="D276" s="60">
        <v>43101</v>
      </c>
      <c r="E276" s="30">
        <f>VLOOKUP(VLOOKUP(B276,SuiteCatSubElem!$G$2:$H$666,2,0),'SA Q1 18 W'!$A$33:$F$193,1+MATCH(VLOOKUP(A276,Personas!$A$2:$B$6,2,0),'SA Q1 18 W'!$B$4:$F$4,0),0)</f>
        <v>0.4</v>
      </c>
      <c r="F276">
        <v>1</v>
      </c>
      <c r="H276" t="s">
        <v>50</v>
      </c>
      <c r="I276">
        <v>8</v>
      </c>
    </row>
    <row r="277" spans="1:9">
      <c r="A277">
        <f t="shared" si="6"/>
        <v>4</v>
      </c>
      <c r="B277">
        <f t="shared" si="7"/>
        <v>432</v>
      </c>
      <c r="C277">
        <v>1</v>
      </c>
      <c r="D277" s="60">
        <v>43101</v>
      </c>
      <c r="E277" s="30">
        <f>VLOOKUP(VLOOKUP(B277,SuiteCatSubElem!$G$2:$H$666,2,0),'SA Q1 18 W'!$A$33:$F$193,1+MATCH(VLOOKUP(A277,Personas!$A$2:$B$6,2,0),'SA Q1 18 W'!$B$4:$F$4,0),0)</f>
        <v>0.8</v>
      </c>
      <c r="F277">
        <v>1</v>
      </c>
      <c r="H277" t="s">
        <v>50</v>
      </c>
      <c r="I277">
        <v>8</v>
      </c>
    </row>
    <row r="278" spans="1:9">
      <c r="A278">
        <f t="shared" si="6"/>
        <v>4</v>
      </c>
      <c r="B278">
        <f t="shared" si="7"/>
        <v>433</v>
      </c>
      <c r="C278">
        <v>1</v>
      </c>
      <c r="D278" s="60">
        <v>43101</v>
      </c>
      <c r="E278" s="30">
        <f>VLOOKUP(VLOOKUP(B278,SuiteCatSubElem!$G$2:$H$666,2,0),'SA Q1 18 W'!$A$33:$F$193,1+MATCH(VLOOKUP(A278,Personas!$A$2:$B$6,2,0),'SA Q1 18 W'!$B$4:$F$4,0),0)</f>
        <v>0.8</v>
      </c>
      <c r="F278">
        <v>1</v>
      </c>
      <c r="H278" t="s">
        <v>50</v>
      </c>
      <c r="I278">
        <v>8</v>
      </c>
    </row>
    <row r="279" spans="1:9">
      <c r="A279">
        <f t="shared" si="6"/>
        <v>4</v>
      </c>
      <c r="B279">
        <f t="shared" si="7"/>
        <v>434</v>
      </c>
      <c r="C279">
        <v>1</v>
      </c>
      <c r="D279" s="60">
        <v>43101</v>
      </c>
      <c r="E279" s="30">
        <f>VLOOKUP(VLOOKUP(B279,SuiteCatSubElem!$G$2:$H$666,2,0),'SA Q1 18 W'!$A$33:$F$193,1+MATCH(VLOOKUP(A279,Personas!$A$2:$B$6,2,0),'SA Q1 18 W'!$B$4:$F$4,0),0)</f>
        <v>0.7</v>
      </c>
      <c r="F279">
        <v>1</v>
      </c>
      <c r="H279" t="s">
        <v>50</v>
      </c>
      <c r="I279">
        <v>8</v>
      </c>
    </row>
    <row r="280" spans="1:9">
      <c r="A280">
        <f t="shared" si="6"/>
        <v>4</v>
      </c>
      <c r="B280">
        <f t="shared" si="7"/>
        <v>435</v>
      </c>
      <c r="C280">
        <v>1</v>
      </c>
      <c r="D280" s="60">
        <v>43101</v>
      </c>
      <c r="E280" s="30">
        <f>VLOOKUP(VLOOKUP(B280,SuiteCatSubElem!$G$2:$H$666,2,0),'SA Q1 18 W'!$A$33:$F$193,1+MATCH(VLOOKUP(A280,Personas!$A$2:$B$6,2,0),'SA Q1 18 W'!$B$4:$F$4,0),0)</f>
        <v>0.7</v>
      </c>
      <c r="F280">
        <v>1</v>
      </c>
      <c r="H280" t="s">
        <v>50</v>
      </c>
      <c r="I280">
        <v>8</v>
      </c>
    </row>
    <row r="281" spans="1:9">
      <c r="A281">
        <f t="shared" si="6"/>
        <v>4</v>
      </c>
      <c r="B281">
        <f t="shared" si="7"/>
        <v>436</v>
      </c>
      <c r="C281">
        <v>1</v>
      </c>
      <c r="D281" s="60">
        <v>43101</v>
      </c>
      <c r="E281" s="30">
        <f>VLOOKUP(VLOOKUP(B281,SuiteCatSubElem!$G$2:$H$666,2,0),'SA Q1 18 W'!$A$33:$F$193,1+MATCH(VLOOKUP(A281,Personas!$A$2:$B$6,2,0),'SA Q1 18 W'!$B$4:$F$4,0),0)</f>
        <v>1</v>
      </c>
      <c r="F281">
        <v>1</v>
      </c>
      <c r="H281" t="s">
        <v>50</v>
      </c>
      <c r="I281">
        <v>8</v>
      </c>
    </row>
    <row r="282" spans="1:9">
      <c r="A282">
        <f t="shared" si="6"/>
        <v>4</v>
      </c>
      <c r="B282">
        <f t="shared" si="7"/>
        <v>437</v>
      </c>
      <c r="C282">
        <v>1</v>
      </c>
      <c r="D282" s="60">
        <v>43101</v>
      </c>
      <c r="E282" s="30">
        <f>VLOOKUP(VLOOKUP(B282,SuiteCatSubElem!$G$2:$H$666,2,0),'SA Q1 18 W'!$A$33:$F$193,1+MATCH(VLOOKUP(A282,Personas!$A$2:$B$6,2,0),'SA Q1 18 W'!$B$4:$F$4,0),0)</f>
        <v>1</v>
      </c>
      <c r="F282">
        <v>1</v>
      </c>
      <c r="H282" t="s">
        <v>50</v>
      </c>
      <c r="I282">
        <v>8</v>
      </c>
    </row>
    <row r="283" spans="1:9">
      <c r="A283">
        <f t="shared" si="6"/>
        <v>4</v>
      </c>
      <c r="B283">
        <f t="shared" si="7"/>
        <v>438</v>
      </c>
      <c r="C283">
        <v>1</v>
      </c>
      <c r="D283" s="60">
        <v>43101</v>
      </c>
      <c r="E283" s="30">
        <f>VLOOKUP(VLOOKUP(B283,SuiteCatSubElem!$G$2:$H$666,2,0),'SA Q1 18 W'!$A$33:$F$193,1+MATCH(VLOOKUP(A283,Personas!$A$2:$B$6,2,0),'SA Q1 18 W'!$B$4:$F$4,0),0)</f>
        <v>1</v>
      </c>
      <c r="F283">
        <v>1</v>
      </c>
      <c r="H283" t="s">
        <v>50</v>
      </c>
      <c r="I283">
        <v>8</v>
      </c>
    </row>
    <row r="284" spans="1:9">
      <c r="A284">
        <f t="shared" si="6"/>
        <v>4</v>
      </c>
      <c r="B284">
        <f t="shared" si="7"/>
        <v>439</v>
      </c>
      <c r="C284">
        <v>1</v>
      </c>
      <c r="D284" s="60">
        <v>43101</v>
      </c>
      <c r="E284" s="30">
        <f>VLOOKUP(VLOOKUP(B284,SuiteCatSubElem!$G$2:$H$666,2,0),'SA Q1 18 W'!$A$33:$F$193,1+MATCH(VLOOKUP(A284,Personas!$A$2:$B$6,2,0),'SA Q1 18 W'!$B$4:$F$4,0),0)</f>
        <v>1</v>
      </c>
      <c r="F284">
        <v>1</v>
      </c>
      <c r="H284" t="s">
        <v>50</v>
      </c>
      <c r="I284">
        <v>8</v>
      </c>
    </row>
    <row r="285" spans="1:9">
      <c r="A285">
        <f t="shared" si="6"/>
        <v>4</v>
      </c>
      <c r="B285">
        <f t="shared" si="7"/>
        <v>440</v>
      </c>
      <c r="C285">
        <v>1</v>
      </c>
      <c r="D285" s="60">
        <v>43101</v>
      </c>
      <c r="E285" s="30">
        <f>VLOOKUP(VLOOKUP(B285,SuiteCatSubElem!$G$2:$H$666,2,0),'SA Q1 18 W'!$A$33:$F$193,1+MATCH(VLOOKUP(A285,Personas!$A$2:$B$6,2,0),'SA Q1 18 W'!$B$4:$F$4,0),0)</f>
        <v>1</v>
      </c>
      <c r="F285">
        <v>1</v>
      </c>
      <c r="H285" t="s">
        <v>50</v>
      </c>
      <c r="I285">
        <v>8</v>
      </c>
    </row>
    <row r="286" spans="1:9">
      <c r="A286">
        <f t="shared" si="6"/>
        <v>4</v>
      </c>
      <c r="B286">
        <f t="shared" si="7"/>
        <v>441</v>
      </c>
      <c r="C286">
        <v>1</v>
      </c>
      <c r="D286" s="60">
        <v>43101</v>
      </c>
      <c r="E286" s="30">
        <f>VLOOKUP(VLOOKUP(B286,SuiteCatSubElem!$G$2:$H$666,2,0),'SA Q1 18 W'!$A$33:$F$193,1+MATCH(VLOOKUP(A286,Personas!$A$2:$B$6,2,0),'SA Q1 18 W'!$B$4:$F$4,0),0)</f>
        <v>1</v>
      </c>
      <c r="F286">
        <v>1</v>
      </c>
      <c r="H286" t="s">
        <v>50</v>
      </c>
      <c r="I286">
        <v>8</v>
      </c>
    </row>
    <row r="287" spans="1:9">
      <c r="A287">
        <f t="shared" si="6"/>
        <v>4</v>
      </c>
      <c r="B287">
        <f t="shared" si="7"/>
        <v>442</v>
      </c>
      <c r="C287">
        <v>1</v>
      </c>
      <c r="D287" s="60">
        <v>43101</v>
      </c>
      <c r="E287" s="30">
        <f>VLOOKUP(VLOOKUP(B287,SuiteCatSubElem!$G$2:$H$666,2,0),'SA Q1 18 W'!$A$33:$F$193,1+MATCH(VLOOKUP(A287,Personas!$A$2:$B$6,2,0),'SA Q1 18 W'!$B$4:$F$4,0),0)</f>
        <v>0.8</v>
      </c>
      <c r="F287">
        <v>1</v>
      </c>
      <c r="H287" t="s">
        <v>50</v>
      </c>
      <c r="I287">
        <v>8</v>
      </c>
    </row>
    <row r="288" spans="1:9">
      <c r="A288">
        <f t="shared" ref="A288:A290" si="8">A204+1</f>
        <v>4</v>
      </c>
      <c r="B288">
        <f t="shared" ref="B288:B290" si="9">B204</f>
        <v>443</v>
      </c>
      <c r="C288">
        <v>1</v>
      </c>
      <c r="D288" s="60">
        <v>43101</v>
      </c>
      <c r="E288" s="30">
        <f>VLOOKUP(VLOOKUP(B288,SuiteCatSubElem!$G$2:$H$666,2,0),'SA Q1 18 W'!$A$33:$F$193,1+MATCH(VLOOKUP(A288,Personas!$A$2:$B$6,2,0),'SA Q1 18 W'!$B$4:$F$4,0),0)</f>
        <v>0.9</v>
      </c>
      <c r="F288">
        <v>1</v>
      </c>
      <c r="H288" t="s">
        <v>50</v>
      </c>
      <c r="I288">
        <v>8</v>
      </c>
    </row>
    <row r="289" spans="1:9">
      <c r="A289">
        <f t="shared" si="8"/>
        <v>4</v>
      </c>
      <c r="B289">
        <f t="shared" si="9"/>
        <v>445</v>
      </c>
      <c r="C289">
        <v>1</v>
      </c>
      <c r="D289" s="60">
        <v>43101</v>
      </c>
      <c r="E289" s="30">
        <f>VLOOKUP(VLOOKUP(B289,SuiteCatSubElem!$G$2:$H$666,2,0),'SA Q1 18 W'!$A$33:$F$193,1+MATCH(VLOOKUP(A289,Personas!$A$2:$B$6,2,0),'SA Q1 18 W'!$B$4:$F$4,0),0)</f>
        <v>1</v>
      </c>
      <c r="F289">
        <v>1</v>
      </c>
      <c r="H289" t="s">
        <v>50</v>
      </c>
      <c r="I289">
        <v>8</v>
      </c>
    </row>
    <row r="290" spans="1:9">
      <c r="A290">
        <f t="shared" si="8"/>
        <v>4</v>
      </c>
      <c r="B290">
        <f t="shared" si="9"/>
        <v>446</v>
      </c>
      <c r="C290">
        <v>1</v>
      </c>
      <c r="D290" s="60">
        <v>43101</v>
      </c>
      <c r="E290" s="30">
        <f>VLOOKUP(VLOOKUP(B290,SuiteCatSubElem!$G$2:$H$666,2,0),'SA Q1 18 W'!$A$33:$F$193,1+MATCH(VLOOKUP(A290,Personas!$A$2:$B$6,2,0),'SA Q1 18 W'!$B$4:$F$4,0),0)</f>
        <v>0.6</v>
      </c>
      <c r="F290">
        <v>1</v>
      </c>
      <c r="H290" t="s">
        <v>50</v>
      </c>
      <c r="I290">
        <v>8</v>
      </c>
    </row>
    <row r="291" spans="1:9">
      <c r="A291">
        <f>A207+1</f>
        <v>4</v>
      </c>
      <c r="B291">
        <f>B207</f>
        <v>447</v>
      </c>
      <c r="C291">
        <v>1</v>
      </c>
      <c r="D291" s="60">
        <v>43101</v>
      </c>
      <c r="E291" s="30">
        <f>VLOOKUP(VLOOKUP(B291,SuiteCatSubElem!$G$2:$H$666,2,0),'SA Q1 18 W'!$A$33:$F$193,1+MATCH(VLOOKUP(A291,Personas!$A$2:$B$6,2,0),'SA Q1 18 W'!$B$4:$F$4,0),0)</f>
        <v>0.4</v>
      </c>
      <c r="F291">
        <v>1</v>
      </c>
      <c r="H291" t="s">
        <v>50</v>
      </c>
      <c r="I291">
        <v>8</v>
      </c>
    </row>
    <row r="292" spans="1:9">
      <c r="A292">
        <f t="shared" ref="A292:A355" si="10">A208+1</f>
        <v>4</v>
      </c>
      <c r="B292">
        <f t="shared" ref="B292:B355" si="11">B208</f>
        <v>448</v>
      </c>
      <c r="C292">
        <v>1</v>
      </c>
      <c r="D292" s="60">
        <v>43101</v>
      </c>
      <c r="E292" s="30">
        <f>VLOOKUP(VLOOKUP(B292,SuiteCatSubElem!$G$2:$H$666,2,0),'SA Q1 18 W'!$A$33:$F$193,1+MATCH(VLOOKUP(A292,Personas!$A$2:$B$6,2,0),'SA Q1 18 W'!$B$4:$F$4,0),0)</f>
        <v>1</v>
      </c>
      <c r="F292">
        <v>1</v>
      </c>
      <c r="H292" t="s">
        <v>50</v>
      </c>
      <c r="I292">
        <v>8</v>
      </c>
    </row>
    <row r="293" spans="1:9">
      <c r="A293">
        <f t="shared" si="10"/>
        <v>4</v>
      </c>
      <c r="B293">
        <f t="shared" si="11"/>
        <v>449</v>
      </c>
      <c r="C293">
        <v>1</v>
      </c>
      <c r="D293" s="60">
        <v>43101</v>
      </c>
      <c r="E293" s="30">
        <f>VLOOKUP(VLOOKUP(B293,SuiteCatSubElem!$G$2:$H$666,2,0),'SA Q1 18 W'!$A$33:$F$193,1+MATCH(VLOOKUP(A293,Personas!$A$2:$B$6,2,0),'SA Q1 18 W'!$B$4:$F$4,0),0)</f>
        <v>0.5</v>
      </c>
      <c r="F293">
        <v>1</v>
      </c>
      <c r="H293" t="s">
        <v>50</v>
      </c>
      <c r="I293">
        <v>8</v>
      </c>
    </row>
    <row r="294" spans="1:9">
      <c r="A294">
        <f t="shared" si="10"/>
        <v>4</v>
      </c>
      <c r="B294">
        <f t="shared" si="11"/>
        <v>450</v>
      </c>
      <c r="C294">
        <v>1</v>
      </c>
      <c r="D294" s="60">
        <v>43101</v>
      </c>
      <c r="E294" s="30">
        <f>VLOOKUP(VLOOKUP(B294,SuiteCatSubElem!$G$2:$H$666,2,0),'SA Q1 18 W'!$A$33:$F$193,1+MATCH(VLOOKUP(A294,Personas!$A$2:$B$6,2,0),'SA Q1 18 W'!$B$4:$F$4,0),0)</f>
        <v>1</v>
      </c>
      <c r="F294">
        <v>1</v>
      </c>
      <c r="H294" t="s">
        <v>50</v>
      </c>
      <c r="I294">
        <v>8</v>
      </c>
    </row>
    <row r="295" spans="1:9">
      <c r="A295">
        <f t="shared" si="10"/>
        <v>4</v>
      </c>
      <c r="B295">
        <f t="shared" si="11"/>
        <v>451</v>
      </c>
      <c r="C295">
        <v>1</v>
      </c>
      <c r="D295" s="60">
        <v>43101</v>
      </c>
      <c r="E295" s="30">
        <f>VLOOKUP(VLOOKUP(B295,SuiteCatSubElem!$G$2:$H$666,2,0),'SA Q1 18 W'!$A$33:$F$193,1+MATCH(VLOOKUP(A295,Personas!$A$2:$B$6,2,0),'SA Q1 18 W'!$B$4:$F$4,0),0)</f>
        <v>0.5</v>
      </c>
      <c r="F295">
        <v>1</v>
      </c>
      <c r="H295" t="s">
        <v>50</v>
      </c>
      <c r="I295">
        <v>8</v>
      </c>
    </row>
    <row r="296" spans="1:9">
      <c r="A296">
        <f t="shared" si="10"/>
        <v>4</v>
      </c>
      <c r="B296">
        <f t="shared" si="11"/>
        <v>452</v>
      </c>
      <c r="C296">
        <v>1</v>
      </c>
      <c r="D296" s="60">
        <v>43101</v>
      </c>
      <c r="E296" s="30">
        <f>VLOOKUP(VLOOKUP(B296,SuiteCatSubElem!$G$2:$H$666,2,0),'SA Q1 18 W'!$A$33:$F$193,1+MATCH(VLOOKUP(A296,Personas!$A$2:$B$6,2,0),'SA Q1 18 W'!$B$4:$F$4,0),0)</f>
        <v>0.6</v>
      </c>
      <c r="F296">
        <v>1</v>
      </c>
      <c r="H296" t="s">
        <v>50</v>
      </c>
      <c r="I296">
        <v>8</v>
      </c>
    </row>
    <row r="297" spans="1:9">
      <c r="A297">
        <f t="shared" si="10"/>
        <v>4</v>
      </c>
      <c r="B297">
        <f t="shared" si="11"/>
        <v>453</v>
      </c>
      <c r="C297">
        <v>1</v>
      </c>
      <c r="D297" s="60">
        <v>43101</v>
      </c>
      <c r="E297" s="30">
        <f>VLOOKUP(VLOOKUP(B297,SuiteCatSubElem!$G$2:$H$666,2,0),'SA Q1 18 W'!$A$33:$F$193,1+MATCH(VLOOKUP(A297,Personas!$A$2:$B$6,2,0),'SA Q1 18 W'!$B$4:$F$4,0),0)</f>
        <v>0.4</v>
      </c>
      <c r="F297">
        <v>1</v>
      </c>
      <c r="H297" t="s">
        <v>50</v>
      </c>
      <c r="I297">
        <v>8</v>
      </c>
    </row>
    <row r="298" spans="1:9">
      <c r="A298">
        <f t="shared" si="10"/>
        <v>4</v>
      </c>
      <c r="B298">
        <f t="shared" si="11"/>
        <v>454</v>
      </c>
      <c r="C298">
        <v>1</v>
      </c>
      <c r="D298" s="60">
        <v>43101</v>
      </c>
      <c r="E298" s="30">
        <f>VLOOKUP(VLOOKUP(B298,SuiteCatSubElem!$G$2:$H$666,2,0),'SA Q1 18 W'!$A$33:$F$193,1+MATCH(VLOOKUP(A298,Personas!$A$2:$B$6,2,0),'SA Q1 18 W'!$B$4:$F$4,0),0)</f>
        <v>0.4</v>
      </c>
      <c r="F298">
        <v>1</v>
      </c>
      <c r="H298" t="s">
        <v>50</v>
      </c>
      <c r="I298">
        <v>8</v>
      </c>
    </row>
    <row r="299" spans="1:9">
      <c r="A299">
        <f t="shared" si="10"/>
        <v>4</v>
      </c>
      <c r="B299">
        <f t="shared" si="11"/>
        <v>455</v>
      </c>
      <c r="C299">
        <v>1</v>
      </c>
      <c r="D299" s="60">
        <v>43101</v>
      </c>
      <c r="E299" s="30">
        <f>VLOOKUP(VLOOKUP(B299,SuiteCatSubElem!$G$2:$H$666,2,0),'SA Q1 18 W'!$A$33:$F$193,1+MATCH(VLOOKUP(A299,Personas!$A$2:$B$6,2,0),'SA Q1 18 W'!$B$4:$F$4,0),0)</f>
        <v>0.8</v>
      </c>
      <c r="F299">
        <v>1</v>
      </c>
      <c r="H299" t="s">
        <v>50</v>
      </c>
      <c r="I299">
        <v>8</v>
      </c>
    </row>
    <row r="300" spans="1:9">
      <c r="A300">
        <f t="shared" si="10"/>
        <v>4</v>
      </c>
      <c r="B300">
        <f t="shared" si="11"/>
        <v>456</v>
      </c>
      <c r="C300">
        <v>1</v>
      </c>
      <c r="D300" s="60">
        <v>43101</v>
      </c>
      <c r="E300" s="30">
        <f>VLOOKUP(VLOOKUP(B300,SuiteCatSubElem!$G$2:$H$666,2,0),'SA Q1 18 W'!$A$33:$F$193,1+MATCH(VLOOKUP(A300,Personas!$A$2:$B$6,2,0),'SA Q1 18 W'!$B$4:$F$4,0),0)</f>
        <v>0.8</v>
      </c>
      <c r="F300">
        <v>1</v>
      </c>
      <c r="H300" t="s">
        <v>50</v>
      </c>
      <c r="I300">
        <v>8</v>
      </c>
    </row>
    <row r="301" spans="1:9">
      <c r="A301">
        <f t="shared" si="10"/>
        <v>4</v>
      </c>
      <c r="B301">
        <f t="shared" si="11"/>
        <v>457</v>
      </c>
      <c r="C301">
        <v>1</v>
      </c>
      <c r="D301" s="60">
        <v>43101</v>
      </c>
      <c r="E301" s="30">
        <f>VLOOKUP(VLOOKUP(B301,SuiteCatSubElem!$G$2:$H$666,2,0),'SA Q1 18 W'!$A$33:$F$193,1+MATCH(VLOOKUP(A301,Personas!$A$2:$B$6,2,0),'SA Q1 18 W'!$B$4:$F$4,0),0)</f>
        <v>0.8</v>
      </c>
      <c r="F301">
        <v>1</v>
      </c>
      <c r="H301" t="s">
        <v>50</v>
      </c>
      <c r="I301">
        <v>8</v>
      </c>
    </row>
    <row r="302" spans="1:9">
      <c r="A302">
        <f t="shared" si="10"/>
        <v>4</v>
      </c>
      <c r="B302">
        <f t="shared" si="11"/>
        <v>458</v>
      </c>
      <c r="C302">
        <v>1</v>
      </c>
      <c r="D302" s="60">
        <v>43101</v>
      </c>
      <c r="E302" s="30">
        <f>VLOOKUP(VLOOKUP(B302,SuiteCatSubElem!$G$2:$H$666,2,0),'SA Q1 18 W'!$A$33:$F$193,1+MATCH(VLOOKUP(A302,Personas!$A$2:$B$6,2,0),'SA Q1 18 W'!$B$4:$F$4,0),0)</f>
        <v>0.8</v>
      </c>
      <c r="F302">
        <v>1</v>
      </c>
      <c r="H302" t="s">
        <v>50</v>
      </c>
      <c r="I302">
        <v>8</v>
      </c>
    </row>
    <row r="303" spans="1:9">
      <c r="A303">
        <f t="shared" si="10"/>
        <v>4</v>
      </c>
      <c r="B303">
        <f t="shared" si="11"/>
        <v>459</v>
      </c>
      <c r="C303">
        <v>1</v>
      </c>
      <c r="D303" s="60">
        <v>43101</v>
      </c>
      <c r="E303" s="30">
        <f>VLOOKUP(VLOOKUP(B303,SuiteCatSubElem!$G$2:$H$666,2,0),'SA Q1 18 W'!$A$33:$F$193,1+MATCH(VLOOKUP(A303,Personas!$A$2:$B$6,2,0),'SA Q1 18 W'!$B$4:$F$4,0),0)</f>
        <v>0.8</v>
      </c>
      <c r="F303">
        <v>1</v>
      </c>
      <c r="H303" t="s">
        <v>50</v>
      </c>
      <c r="I303">
        <v>8</v>
      </c>
    </row>
    <row r="304" spans="1:9">
      <c r="A304">
        <f t="shared" si="10"/>
        <v>4</v>
      </c>
      <c r="B304">
        <f t="shared" si="11"/>
        <v>460</v>
      </c>
      <c r="C304">
        <v>1</v>
      </c>
      <c r="D304" s="60">
        <v>43101</v>
      </c>
      <c r="E304" s="30">
        <f>VLOOKUP(VLOOKUP(B304,SuiteCatSubElem!$G$2:$H$666,2,0),'SA Q1 18 W'!$A$33:$F$193,1+MATCH(VLOOKUP(A304,Personas!$A$2:$B$6,2,0),'SA Q1 18 W'!$B$4:$F$4,0),0)</f>
        <v>0.8</v>
      </c>
      <c r="F304">
        <v>1</v>
      </c>
      <c r="H304" t="s">
        <v>50</v>
      </c>
      <c r="I304">
        <v>8</v>
      </c>
    </row>
    <row r="305" spans="1:9">
      <c r="A305">
        <f t="shared" si="10"/>
        <v>4</v>
      </c>
      <c r="B305">
        <f t="shared" si="11"/>
        <v>461</v>
      </c>
      <c r="C305">
        <v>1</v>
      </c>
      <c r="D305" s="60">
        <v>43101</v>
      </c>
      <c r="E305" s="30">
        <f>VLOOKUP(VLOOKUP(B305,SuiteCatSubElem!$G$2:$H$666,2,0),'SA Q1 18 W'!$A$33:$F$193,1+MATCH(VLOOKUP(A305,Personas!$A$2:$B$6,2,0),'SA Q1 18 W'!$B$4:$F$4,0),0)</f>
        <v>0.8</v>
      </c>
      <c r="F305">
        <v>1</v>
      </c>
      <c r="H305" t="s">
        <v>50</v>
      </c>
      <c r="I305">
        <v>8</v>
      </c>
    </row>
    <row r="306" spans="1:9">
      <c r="A306">
        <f t="shared" si="10"/>
        <v>4</v>
      </c>
      <c r="B306">
        <f t="shared" si="11"/>
        <v>462</v>
      </c>
      <c r="C306">
        <v>1</v>
      </c>
      <c r="D306" s="60">
        <v>43101</v>
      </c>
      <c r="E306" s="30">
        <f>VLOOKUP(VLOOKUP(B306,SuiteCatSubElem!$G$2:$H$666,2,0),'SA Q1 18 W'!$A$33:$F$193,1+MATCH(VLOOKUP(A306,Personas!$A$2:$B$6,2,0),'SA Q1 18 W'!$B$4:$F$4,0),0)</f>
        <v>0.8</v>
      </c>
      <c r="F306">
        <v>1</v>
      </c>
      <c r="H306" t="s">
        <v>50</v>
      </c>
      <c r="I306">
        <v>8</v>
      </c>
    </row>
    <row r="307" spans="1:9">
      <c r="A307">
        <f t="shared" si="10"/>
        <v>4</v>
      </c>
      <c r="B307">
        <f t="shared" si="11"/>
        <v>463</v>
      </c>
      <c r="C307">
        <v>1</v>
      </c>
      <c r="D307" s="60">
        <v>43101</v>
      </c>
      <c r="E307" s="30">
        <f>VLOOKUP(VLOOKUP(B307,SuiteCatSubElem!$G$2:$H$666,2,0),'SA Q1 18 W'!$A$33:$F$193,1+MATCH(VLOOKUP(A307,Personas!$A$2:$B$6,2,0),'SA Q1 18 W'!$B$4:$F$4,0),0)</f>
        <v>0.8</v>
      </c>
      <c r="F307">
        <v>1</v>
      </c>
      <c r="H307" t="s">
        <v>50</v>
      </c>
      <c r="I307">
        <v>8</v>
      </c>
    </row>
    <row r="308" spans="1:9">
      <c r="A308">
        <f t="shared" si="10"/>
        <v>4</v>
      </c>
      <c r="B308">
        <f t="shared" si="11"/>
        <v>464</v>
      </c>
      <c r="C308">
        <v>1</v>
      </c>
      <c r="D308" s="60">
        <v>43101</v>
      </c>
      <c r="E308" s="30">
        <f>VLOOKUP(VLOOKUP(B308,SuiteCatSubElem!$G$2:$H$666,2,0),'SA Q1 18 W'!$A$33:$F$193,1+MATCH(VLOOKUP(A308,Personas!$A$2:$B$6,2,0),'SA Q1 18 W'!$B$4:$F$4,0),0)</f>
        <v>0.8</v>
      </c>
      <c r="F308">
        <v>1</v>
      </c>
      <c r="H308" t="s">
        <v>50</v>
      </c>
      <c r="I308">
        <v>8</v>
      </c>
    </row>
    <row r="309" spans="1:9">
      <c r="A309">
        <f t="shared" si="10"/>
        <v>4</v>
      </c>
      <c r="B309">
        <f t="shared" si="11"/>
        <v>465</v>
      </c>
      <c r="C309">
        <v>1</v>
      </c>
      <c r="D309" s="60">
        <v>43101</v>
      </c>
      <c r="E309" s="30">
        <f>VLOOKUP(VLOOKUP(B309,SuiteCatSubElem!$G$2:$H$666,2,0),'SA Q1 18 W'!$A$33:$F$193,1+MATCH(VLOOKUP(A309,Personas!$A$2:$B$6,2,0),'SA Q1 18 W'!$B$4:$F$4,0),0)</f>
        <v>0.8</v>
      </c>
      <c r="F309">
        <v>1</v>
      </c>
      <c r="H309" t="s">
        <v>50</v>
      </c>
      <c r="I309">
        <v>8</v>
      </c>
    </row>
    <row r="310" spans="1:9">
      <c r="A310">
        <f t="shared" si="10"/>
        <v>4</v>
      </c>
      <c r="B310">
        <f t="shared" si="11"/>
        <v>466</v>
      </c>
      <c r="C310">
        <v>1</v>
      </c>
      <c r="D310" s="60">
        <v>43101</v>
      </c>
      <c r="E310" s="30">
        <f>VLOOKUP(VLOOKUP(B310,SuiteCatSubElem!$G$2:$H$666,2,0),'SA Q1 18 W'!$A$33:$F$193,1+MATCH(VLOOKUP(A310,Personas!$A$2:$B$6,2,0),'SA Q1 18 W'!$B$4:$F$4,0),0)</f>
        <v>0.8</v>
      </c>
      <c r="F310">
        <v>1</v>
      </c>
      <c r="H310" t="s">
        <v>50</v>
      </c>
      <c r="I310">
        <v>8</v>
      </c>
    </row>
    <row r="311" spans="1:9">
      <c r="A311">
        <f t="shared" si="10"/>
        <v>4</v>
      </c>
      <c r="B311">
        <f t="shared" si="11"/>
        <v>467</v>
      </c>
      <c r="C311">
        <v>1</v>
      </c>
      <c r="D311" s="60">
        <v>43101</v>
      </c>
      <c r="E311" s="30">
        <f>VLOOKUP(VLOOKUP(B311,SuiteCatSubElem!$G$2:$H$666,2,0),'SA Q1 18 W'!$A$33:$F$193,1+MATCH(VLOOKUP(A311,Personas!$A$2:$B$6,2,0),'SA Q1 18 W'!$B$4:$F$4,0),0)</f>
        <v>1</v>
      </c>
      <c r="F311">
        <v>1</v>
      </c>
      <c r="H311" t="s">
        <v>50</v>
      </c>
      <c r="I311">
        <v>8</v>
      </c>
    </row>
    <row r="312" spans="1:9">
      <c r="A312">
        <f t="shared" si="10"/>
        <v>4</v>
      </c>
      <c r="B312">
        <f t="shared" si="11"/>
        <v>468</v>
      </c>
      <c r="C312">
        <v>1</v>
      </c>
      <c r="D312" s="60">
        <v>43101</v>
      </c>
      <c r="E312" s="30">
        <f>VLOOKUP(VLOOKUP(B312,SuiteCatSubElem!$G$2:$H$666,2,0),'SA Q1 18 W'!$A$33:$F$193,1+MATCH(VLOOKUP(A312,Personas!$A$2:$B$6,2,0),'SA Q1 18 W'!$B$4:$F$4,0),0)</f>
        <v>1</v>
      </c>
      <c r="F312">
        <v>1</v>
      </c>
      <c r="H312" t="s">
        <v>50</v>
      </c>
      <c r="I312">
        <v>8</v>
      </c>
    </row>
    <row r="313" spans="1:9">
      <c r="A313">
        <f t="shared" si="10"/>
        <v>4</v>
      </c>
      <c r="B313">
        <f t="shared" si="11"/>
        <v>469</v>
      </c>
      <c r="C313">
        <v>1</v>
      </c>
      <c r="D313" s="60">
        <v>43101</v>
      </c>
      <c r="E313" s="30">
        <f>VLOOKUP(VLOOKUP(B313,SuiteCatSubElem!$G$2:$H$666,2,0),'SA Q1 18 W'!$A$33:$F$193,1+MATCH(VLOOKUP(A313,Personas!$A$2:$B$6,2,0),'SA Q1 18 W'!$B$4:$F$4,0),0)</f>
        <v>0.7</v>
      </c>
      <c r="F313">
        <v>1</v>
      </c>
      <c r="H313" t="s">
        <v>50</v>
      </c>
      <c r="I313">
        <v>8</v>
      </c>
    </row>
    <row r="314" spans="1:9">
      <c r="A314">
        <f t="shared" si="10"/>
        <v>4</v>
      </c>
      <c r="B314">
        <f t="shared" si="11"/>
        <v>470</v>
      </c>
      <c r="C314">
        <v>1</v>
      </c>
      <c r="D314" s="60">
        <v>43101</v>
      </c>
      <c r="E314" s="30">
        <f>VLOOKUP(VLOOKUP(B314,SuiteCatSubElem!$G$2:$H$666,2,0),'SA Q1 18 W'!$A$33:$F$193,1+MATCH(VLOOKUP(A314,Personas!$A$2:$B$6,2,0),'SA Q1 18 W'!$B$4:$F$4,0),0)</f>
        <v>0</v>
      </c>
      <c r="F314">
        <v>1</v>
      </c>
      <c r="H314" t="s">
        <v>50</v>
      </c>
      <c r="I314">
        <v>8</v>
      </c>
    </row>
    <row r="315" spans="1:9">
      <c r="A315">
        <f t="shared" si="10"/>
        <v>4</v>
      </c>
      <c r="B315">
        <f t="shared" si="11"/>
        <v>471</v>
      </c>
      <c r="C315">
        <v>1</v>
      </c>
      <c r="D315" s="60">
        <v>43101</v>
      </c>
      <c r="E315" s="30">
        <f>VLOOKUP(VLOOKUP(B315,SuiteCatSubElem!$G$2:$H$666,2,0),'SA Q1 18 W'!$A$33:$F$193,1+MATCH(VLOOKUP(A315,Personas!$A$2:$B$6,2,0),'SA Q1 18 W'!$B$4:$F$4,0),0)</f>
        <v>0.3</v>
      </c>
      <c r="F315">
        <v>1</v>
      </c>
      <c r="H315" t="s">
        <v>50</v>
      </c>
      <c r="I315">
        <v>8</v>
      </c>
    </row>
    <row r="316" spans="1:9">
      <c r="A316">
        <f t="shared" si="10"/>
        <v>4</v>
      </c>
      <c r="B316">
        <f t="shared" si="11"/>
        <v>472</v>
      </c>
      <c r="C316">
        <v>1</v>
      </c>
      <c r="D316" s="60">
        <v>43101</v>
      </c>
      <c r="E316" s="30">
        <f>VLOOKUP(VLOOKUP(B316,SuiteCatSubElem!$G$2:$H$666,2,0),'SA Q1 18 W'!$A$33:$F$193,1+MATCH(VLOOKUP(A316,Personas!$A$2:$B$6,2,0),'SA Q1 18 W'!$B$4:$F$4,0),0)</f>
        <v>0</v>
      </c>
      <c r="F316">
        <v>1</v>
      </c>
      <c r="H316" t="s">
        <v>50</v>
      </c>
      <c r="I316">
        <v>8</v>
      </c>
    </row>
    <row r="317" spans="1:9">
      <c r="A317">
        <f t="shared" si="10"/>
        <v>4</v>
      </c>
      <c r="B317">
        <f t="shared" si="11"/>
        <v>473</v>
      </c>
      <c r="C317">
        <v>1</v>
      </c>
      <c r="D317" s="60">
        <v>43101</v>
      </c>
      <c r="E317" s="30">
        <f>VLOOKUP(VLOOKUP(B317,SuiteCatSubElem!$G$2:$H$666,2,0),'SA Q1 18 W'!$A$33:$F$193,1+MATCH(VLOOKUP(A317,Personas!$A$2:$B$6,2,0),'SA Q1 18 W'!$B$4:$F$4,0),0)</f>
        <v>0.4</v>
      </c>
      <c r="F317">
        <v>1</v>
      </c>
      <c r="H317" t="s">
        <v>50</v>
      </c>
      <c r="I317">
        <v>8</v>
      </c>
    </row>
    <row r="318" spans="1:9">
      <c r="A318">
        <f t="shared" si="10"/>
        <v>4</v>
      </c>
      <c r="B318">
        <f t="shared" si="11"/>
        <v>474</v>
      </c>
      <c r="C318">
        <v>1</v>
      </c>
      <c r="D318" s="60">
        <v>43101</v>
      </c>
      <c r="E318" s="30">
        <f>VLOOKUP(VLOOKUP(B318,SuiteCatSubElem!$G$2:$H$666,2,0),'SA Q1 18 W'!$A$33:$F$193,1+MATCH(VLOOKUP(A318,Personas!$A$2:$B$6,2,0),'SA Q1 18 W'!$B$4:$F$4,0),0)</f>
        <v>0.4</v>
      </c>
      <c r="F318">
        <v>1</v>
      </c>
      <c r="H318" t="s">
        <v>50</v>
      </c>
      <c r="I318">
        <v>8</v>
      </c>
    </row>
    <row r="319" spans="1:9">
      <c r="A319">
        <f t="shared" si="10"/>
        <v>4</v>
      </c>
      <c r="B319">
        <f t="shared" si="11"/>
        <v>475</v>
      </c>
      <c r="C319">
        <v>1</v>
      </c>
      <c r="D319" s="60">
        <v>43101</v>
      </c>
      <c r="E319" s="30">
        <f>VLOOKUP(VLOOKUP(B319,SuiteCatSubElem!$G$2:$H$666,2,0),'SA Q1 18 W'!$A$33:$F$193,1+MATCH(VLOOKUP(A319,Personas!$A$2:$B$6,2,0),'SA Q1 18 W'!$B$4:$F$4,0),0)</f>
        <v>0.4</v>
      </c>
      <c r="F319">
        <v>1</v>
      </c>
      <c r="H319" t="s">
        <v>50</v>
      </c>
      <c r="I319">
        <v>8</v>
      </c>
    </row>
    <row r="320" spans="1:9">
      <c r="A320">
        <f t="shared" si="10"/>
        <v>4</v>
      </c>
      <c r="B320">
        <f t="shared" si="11"/>
        <v>476</v>
      </c>
      <c r="C320">
        <v>1</v>
      </c>
      <c r="D320" s="60">
        <v>43101</v>
      </c>
      <c r="E320" s="30">
        <f>VLOOKUP(VLOOKUP(B320,SuiteCatSubElem!$G$2:$H$666,2,0),'SA Q1 18 W'!$A$33:$F$193,1+MATCH(VLOOKUP(A320,Personas!$A$2:$B$6,2,0),'SA Q1 18 W'!$B$4:$F$4,0),0)</f>
        <v>0.2</v>
      </c>
      <c r="F320">
        <v>1</v>
      </c>
      <c r="H320" t="s">
        <v>50</v>
      </c>
      <c r="I320">
        <v>8</v>
      </c>
    </row>
    <row r="321" spans="1:9">
      <c r="A321">
        <f t="shared" si="10"/>
        <v>4</v>
      </c>
      <c r="B321">
        <f t="shared" si="11"/>
        <v>477</v>
      </c>
      <c r="C321">
        <v>1</v>
      </c>
      <c r="D321" s="60">
        <v>43101</v>
      </c>
      <c r="E321" s="30">
        <f>VLOOKUP(VLOOKUP(B321,SuiteCatSubElem!$G$2:$H$666,2,0),'SA Q1 18 W'!$A$33:$F$193,1+MATCH(VLOOKUP(A321,Personas!$A$2:$B$6,2,0),'SA Q1 18 W'!$B$4:$F$4,0),0)</f>
        <v>1</v>
      </c>
      <c r="F321">
        <v>1</v>
      </c>
      <c r="H321" t="s">
        <v>50</v>
      </c>
      <c r="I321">
        <v>8</v>
      </c>
    </row>
    <row r="322" spans="1:9">
      <c r="A322">
        <f t="shared" si="10"/>
        <v>4</v>
      </c>
      <c r="B322">
        <f t="shared" si="11"/>
        <v>478</v>
      </c>
      <c r="C322">
        <v>1</v>
      </c>
      <c r="D322" s="60">
        <v>43101</v>
      </c>
      <c r="E322" s="30">
        <f>VLOOKUP(VLOOKUP(B322,SuiteCatSubElem!$G$2:$H$666,2,0),'SA Q1 18 W'!$A$33:$F$193,1+MATCH(VLOOKUP(A322,Personas!$A$2:$B$6,2,0),'SA Q1 18 W'!$B$4:$F$4,0),0)</f>
        <v>0.6</v>
      </c>
      <c r="F322">
        <v>1</v>
      </c>
      <c r="H322" t="s">
        <v>50</v>
      </c>
      <c r="I322">
        <v>8</v>
      </c>
    </row>
    <row r="323" spans="1:9">
      <c r="A323">
        <f t="shared" si="10"/>
        <v>4</v>
      </c>
      <c r="B323">
        <f t="shared" si="11"/>
        <v>479</v>
      </c>
      <c r="C323">
        <v>1</v>
      </c>
      <c r="D323" s="60">
        <v>43101</v>
      </c>
      <c r="E323" s="30">
        <f>VLOOKUP(VLOOKUP(B323,SuiteCatSubElem!$G$2:$H$666,2,0),'SA Q1 18 W'!$A$33:$F$193,1+MATCH(VLOOKUP(A323,Personas!$A$2:$B$6,2,0),'SA Q1 18 W'!$B$4:$F$4,0),0)</f>
        <v>1</v>
      </c>
      <c r="F323">
        <v>1</v>
      </c>
      <c r="H323" t="s">
        <v>50</v>
      </c>
      <c r="I323">
        <v>8</v>
      </c>
    </row>
    <row r="324" spans="1:9">
      <c r="A324">
        <f t="shared" si="10"/>
        <v>4</v>
      </c>
      <c r="B324">
        <f t="shared" si="11"/>
        <v>480</v>
      </c>
      <c r="C324">
        <v>1</v>
      </c>
      <c r="D324" s="60">
        <v>43101</v>
      </c>
      <c r="E324" s="30">
        <f>VLOOKUP(VLOOKUP(B324,SuiteCatSubElem!$G$2:$H$666,2,0),'SA Q1 18 W'!$A$33:$F$193,1+MATCH(VLOOKUP(A324,Personas!$A$2:$B$6,2,0),'SA Q1 18 W'!$B$4:$F$4,0),0)</f>
        <v>1</v>
      </c>
      <c r="F324">
        <v>1</v>
      </c>
      <c r="H324" t="s">
        <v>50</v>
      </c>
      <c r="I324">
        <v>8</v>
      </c>
    </row>
    <row r="325" spans="1:9">
      <c r="A325">
        <f t="shared" si="10"/>
        <v>4</v>
      </c>
      <c r="B325">
        <f t="shared" si="11"/>
        <v>481</v>
      </c>
      <c r="C325">
        <v>1</v>
      </c>
      <c r="D325" s="60">
        <v>43101</v>
      </c>
      <c r="E325" s="30">
        <f>VLOOKUP(VLOOKUP(B325,SuiteCatSubElem!$G$2:$H$666,2,0),'SA Q1 18 W'!$A$33:$F$193,1+MATCH(VLOOKUP(A325,Personas!$A$2:$B$6,2,0),'SA Q1 18 W'!$B$4:$F$4,0),0)</f>
        <v>1</v>
      </c>
      <c r="F325">
        <v>1</v>
      </c>
      <c r="H325" t="s">
        <v>50</v>
      </c>
      <c r="I325">
        <v>8</v>
      </c>
    </row>
    <row r="326" spans="1:9">
      <c r="A326">
        <f t="shared" si="10"/>
        <v>4</v>
      </c>
      <c r="B326">
        <f t="shared" si="11"/>
        <v>482</v>
      </c>
      <c r="C326">
        <v>1</v>
      </c>
      <c r="D326" s="60">
        <v>43101</v>
      </c>
      <c r="E326" s="30">
        <f>VLOOKUP(VLOOKUP(B326,SuiteCatSubElem!$G$2:$H$666,2,0),'SA Q1 18 W'!$A$33:$F$193,1+MATCH(VLOOKUP(A326,Personas!$A$2:$B$6,2,0),'SA Q1 18 W'!$B$4:$F$4,0),0)</f>
        <v>0.9</v>
      </c>
      <c r="F326">
        <v>1</v>
      </c>
      <c r="H326" t="s">
        <v>50</v>
      </c>
      <c r="I326">
        <v>8</v>
      </c>
    </row>
    <row r="327" spans="1:9">
      <c r="A327">
        <f t="shared" si="10"/>
        <v>4</v>
      </c>
      <c r="B327">
        <f t="shared" si="11"/>
        <v>483</v>
      </c>
      <c r="C327">
        <v>1</v>
      </c>
      <c r="D327" s="60">
        <v>43101</v>
      </c>
      <c r="E327" s="30">
        <f>VLOOKUP(VLOOKUP(B327,SuiteCatSubElem!$G$2:$H$666,2,0),'SA Q1 18 W'!$A$33:$F$193,1+MATCH(VLOOKUP(A327,Personas!$A$2:$B$6,2,0),'SA Q1 18 W'!$B$4:$F$4,0),0)</f>
        <v>1</v>
      </c>
      <c r="F327">
        <v>1</v>
      </c>
      <c r="H327" t="s">
        <v>50</v>
      </c>
      <c r="I327">
        <v>8</v>
      </c>
    </row>
    <row r="328" spans="1:9">
      <c r="A328">
        <f t="shared" si="10"/>
        <v>4</v>
      </c>
      <c r="B328">
        <f t="shared" si="11"/>
        <v>484</v>
      </c>
      <c r="C328">
        <v>1</v>
      </c>
      <c r="D328" s="60">
        <v>43101</v>
      </c>
      <c r="E328" s="30">
        <f>VLOOKUP(VLOOKUP(B328,SuiteCatSubElem!$G$2:$H$666,2,0),'SA Q1 18 W'!$A$33:$F$193,1+MATCH(VLOOKUP(A328,Personas!$A$2:$B$6,2,0),'SA Q1 18 W'!$B$4:$F$4,0),0)</f>
        <v>1</v>
      </c>
      <c r="F328">
        <v>1</v>
      </c>
      <c r="H328" t="s">
        <v>50</v>
      </c>
      <c r="I328">
        <v>8</v>
      </c>
    </row>
    <row r="329" spans="1:9">
      <c r="A329">
        <f t="shared" si="10"/>
        <v>4</v>
      </c>
      <c r="B329">
        <f t="shared" si="11"/>
        <v>485</v>
      </c>
      <c r="C329">
        <v>1</v>
      </c>
      <c r="D329" s="60">
        <v>43101</v>
      </c>
      <c r="E329" s="30">
        <f>VLOOKUP(VLOOKUP(B329,SuiteCatSubElem!$G$2:$H$666,2,0),'SA Q1 18 W'!$A$33:$F$193,1+MATCH(VLOOKUP(A329,Personas!$A$2:$B$6,2,0),'SA Q1 18 W'!$B$4:$F$4,0),0)</f>
        <v>1</v>
      </c>
      <c r="F329">
        <v>1</v>
      </c>
      <c r="H329" t="s">
        <v>50</v>
      </c>
      <c r="I329">
        <v>8</v>
      </c>
    </row>
    <row r="330" spans="1:9">
      <c r="A330">
        <f t="shared" si="10"/>
        <v>4</v>
      </c>
      <c r="B330">
        <f t="shared" si="11"/>
        <v>486</v>
      </c>
      <c r="C330">
        <v>1</v>
      </c>
      <c r="D330" s="60">
        <v>43101</v>
      </c>
      <c r="E330" s="30">
        <f>VLOOKUP(VLOOKUP(B330,SuiteCatSubElem!$G$2:$H$666,2,0),'SA Q1 18 W'!$A$33:$F$193,1+MATCH(VLOOKUP(A330,Personas!$A$2:$B$6,2,0),'SA Q1 18 W'!$B$4:$F$4,0),0)</f>
        <v>1</v>
      </c>
      <c r="F330">
        <v>1</v>
      </c>
      <c r="H330" t="s">
        <v>50</v>
      </c>
      <c r="I330">
        <v>8</v>
      </c>
    </row>
    <row r="331" spans="1:9">
      <c r="A331">
        <f t="shared" si="10"/>
        <v>4</v>
      </c>
      <c r="B331">
        <f t="shared" si="11"/>
        <v>487</v>
      </c>
      <c r="C331">
        <v>1</v>
      </c>
      <c r="D331" s="60">
        <v>43101</v>
      </c>
      <c r="E331" s="30">
        <f>VLOOKUP(VLOOKUP(B331,SuiteCatSubElem!$G$2:$H$666,2,0),'SA Q1 18 W'!$A$33:$F$193,1+MATCH(VLOOKUP(A331,Personas!$A$2:$B$6,2,0),'SA Q1 18 W'!$B$4:$F$4,0),0)</f>
        <v>1</v>
      </c>
      <c r="F331">
        <v>1</v>
      </c>
      <c r="H331" t="s">
        <v>50</v>
      </c>
      <c r="I331">
        <v>8</v>
      </c>
    </row>
    <row r="332" spans="1:9">
      <c r="A332">
        <f t="shared" si="10"/>
        <v>4</v>
      </c>
      <c r="B332">
        <f t="shared" si="11"/>
        <v>488</v>
      </c>
      <c r="C332">
        <v>1</v>
      </c>
      <c r="D332" s="60">
        <v>43101</v>
      </c>
      <c r="E332" s="30">
        <f>VLOOKUP(VLOOKUP(B332,SuiteCatSubElem!$G$2:$H$666,2,0),'SA Q1 18 W'!$A$33:$F$193,1+MATCH(VLOOKUP(A332,Personas!$A$2:$B$6,2,0),'SA Q1 18 W'!$B$4:$F$4,0),0)</f>
        <v>0.5</v>
      </c>
      <c r="F332">
        <v>1</v>
      </c>
      <c r="H332" t="s">
        <v>50</v>
      </c>
      <c r="I332">
        <v>8</v>
      </c>
    </row>
    <row r="333" spans="1:9">
      <c r="A333">
        <f t="shared" si="10"/>
        <v>4</v>
      </c>
      <c r="B333">
        <f t="shared" si="11"/>
        <v>489</v>
      </c>
      <c r="C333">
        <v>1</v>
      </c>
      <c r="D333" s="60">
        <v>43101</v>
      </c>
      <c r="E333" s="30">
        <f>VLOOKUP(VLOOKUP(B333,SuiteCatSubElem!$G$2:$H$666,2,0),'SA Q1 18 W'!$A$33:$F$193,1+MATCH(VLOOKUP(A333,Personas!$A$2:$B$6,2,0),'SA Q1 18 W'!$B$4:$F$4,0),0)</f>
        <v>0.5</v>
      </c>
      <c r="F333">
        <v>1</v>
      </c>
      <c r="H333" t="s">
        <v>50</v>
      </c>
      <c r="I333">
        <v>8</v>
      </c>
    </row>
    <row r="334" spans="1:9">
      <c r="A334">
        <f t="shared" si="10"/>
        <v>4</v>
      </c>
      <c r="B334">
        <f t="shared" si="11"/>
        <v>490</v>
      </c>
      <c r="C334">
        <v>1</v>
      </c>
      <c r="D334" s="60">
        <v>43101</v>
      </c>
      <c r="E334" s="30">
        <f>VLOOKUP(VLOOKUP(B334,SuiteCatSubElem!$G$2:$H$666,2,0),'SA Q1 18 W'!$A$33:$F$193,1+MATCH(VLOOKUP(A334,Personas!$A$2:$B$6,2,0),'SA Q1 18 W'!$B$4:$F$4,0),0)</f>
        <v>0.4</v>
      </c>
      <c r="F334">
        <v>1</v>
      </c>
      <c r="H334" t="s">
        <v>50</v>
      </c>
      <c r="I334">
        <v>8</v>
      </c>
    </row>
    <row r="335" spans="1:9">
      <c r="A335">
        <f t="shared" si="10"/>
        <v>4</v>
      </c>
      <c r="B335">
        <f t="shared" si="11"/>
        <v>491</v>
      </c>
      <c r="C335">
        <v>1</v>
      </c>
      <c r="D335" s="60">
        <v>43101</v>
      </c>
      <c r="E335" s="30">
        <f>VLOOKUP(VLOOKUP(B335,SuiteCatSubElem!$G$2:$H$666,2,0),'SA Q1 18 W'!$A$33:$F$193,1+MATCH(VLOOKUP(A335,Personas!$A$2:$B$6,2,0),'SA Q1 18 W'!$B$4:$F$4,0),0)</f>
        <v>0.4</v>
      </c>
      <c r="F335">
        <v>1</v>
      </c>
      <c r="H335" t="s">
        <v>50</v>
      </c>
      <c r="I335">
        <v>8</v>
      </c>
    </row>
    <row r="336" spans="1:9">
      <c r="A336">
        <f t="shared" si="10"/>
        <v>4</v>
      </c>
      <c r="B336">
        <f t="shared" si="11"/>
        <v>492</v>
      </c>
      <c r="C336">
        <v>1</v>
      </c>
      <c r="D336" s="60">
        <v>43101</v>
      </c>
      <c r="E336" s="30">
        <f>VLOOKUP(VLOOKUP(B336,SuiteCatSubElem!$G$2:$H$666,2,0),'SA Q1 18 W'!$A$33:$F$193,1+MATCH(VLOOKUP(A336,Personas!$A$2:$B$6,2,0),'SA Q1 18 W'!$B$4:$F$4,0),0)</f>
        <v>0.2</v>
      </c>
      <c r="F336">
        <v>1</v>
      </c>
      <c r="H336" t="s">
        <v>50</v>
      </c>
      <c r="I336">
        <v>8</v>
      </c>
    </row>
    <row r="337" spans="1:9">
      <c r="A337">
        <f t="shared" si="10"/>
        <v>4</v>
      </c>
      <c r="B337">
        <f t="shared" si="11"/>
        <v>493</v>
      </c>
      <c r="C337">
        <v>1</v>
      </c>
      <c r="D337" s="60">
        <v>43101</v>
      </c>
      <c r="E337" s="30">
        <f>VLOOKUP(VLOOKUP(B337,SuiteCatSubElem!$G$2:$H$666,2,0),'SA Q1 18 W'!$A$33:$F$193,1+MATCH(VLOOKUP(A337,Personas!$A$2:$B$6,2,0),'SA Q1 18 W'!$B$4:$F$4,0),0)</f>
        <v>0.3</v>
      </c>
      <c r="F337">
        <v>1</v>
      </c>
      <c r="H337" t="s">
        <v>50</v>
      </c>
      <c r="I337">
        <v>8</v>
      </c>
    </row>
    <row r="338" spans="1:9">
      <c r="A338">
        <f t="shared" si="10"/>
        <v>5</v>
      </c>
      <c r="B338">
        <f t="shared" si="11"/>
        <v>409</v>
      </c>
      <c r="C338">
        <v>1</v>
      </c>
      <c r="D338" s="60">
        <v>43101</v>
      </c>
      <c r="E338" s="30">
        <f>VLOOKUP(VLOOKUP(B338,SuiteCatSubElem!$G$2:$H$666,2,0),'SA Q1 18 W'!$A$33:$F$193,1+MATCH(VLOOKUP(A338,Personas!$A$2:$B$6,2,0),'SA Q1 18 W'!$B$4:$F$4,0),0)</f>
        <v>0.6</v>
      </c>
      <c r="F338">
        <v>1</v>
      </c>
      <c r="H338" t="s">
        <v>50</v>
      </c>
      <c r="I338">
        <v>8</v>
      </c>
    </row>
    <row r="339" spans="1:9">
      <c r="A339">
        <f t="shared" si="10"/>
        <v>5</v>
      </c>
      <c r="B339">
        <f t="shared" si="11"/>
        <v>410</v>
      </c>
      <c r="C339">
        <v>1</v>
      </c>
      <c r="D339" s="60">
        <v>43101</v>
      </c>
      <c r="E339" s="30">
        <f>VLOOKUP(VLOOKUP(B339,SuiteCatSubElem!$G$2:$H$666,2,0),'SA Q1 18 W'!$A$33:$F$193,1+MATCH(VLOOKUP(A339,Personas!$A$2:$B$6,2,0),'SA Q1 18 W'!$B$4:$F$4,0),0)</f>
        <v>0.2</v>
      </c>
      <c r="F339">
        <v>1</v>
      </c>
      <c r="H339" t="s">
        <v>50</v>
      </c>
      <c r="I339">
        <v>8</v>
      </c>
    </row>
    <row r="340" spans="1:9">
      <c r="A340">
        <f t="shared" si="10"/>
        <v>5</v>
      </c>
      <c r="B340">
        <f t="shared" si="11"/>
        <v>411</v>
      </c>
      <c r="C340">
        <v>1</v>
      </c>
      <c r="D340" s="60">
        <v>43101</v>
      </c>
      <c r="E340" s="30">
        <f>VLOOKUP(VLOOKUP(B340,SuiteCatSubElem!$G$2:$H$666,2,0),'SA Q1 18 W'!$A$33:$F$193,1+MATCH(VLOOKUP(A340,Personas!$A$2:$B$6,2,0),'SA Q1 18 W'!$B$4:$F$4,0),0)</f>
        <v>0.5</v>
      </c>
      <c r="F340">
        <v>1</v>
      </c>
      <c r="H340" t="s">
        <v>50</v>
      </c>
      <c r="I340">
        <v>8</v>
      </c>
    </row>
    <row r="341" spans="1:9">
      <c r="A341">
        <f t="shared" si="10"/>
        <v>5</v>
      </c>
      <c r="B341">
        <f t="shared" si="11"/>
        <v>412</v>
      </c>
      <c r="C341">
        <v>1</v>
      </c>
      <c r="D341" s="60">
        <v>43101</v>
      </c>
      <c r="E341" s="30">
        <f>VLOOKUP(VLOOKUP(B341,SuiteCatSubElem!$G$2:$H$666,2,0),'SA Q1 18 W'!$A$33:$F$193,1+MATCH(VLOOKUP(A341,Personas!$A$2:$B$6,2,0),'SA Q1 18 W'!$B$4:$F$4,0),0)</f>
        <v>0.3</v>
      </c>
      <c r="F341">
        <v>1</v>
      </c>
      <c r="H341" t="s">
        <v>50</v>
      </c>
      <c r="I341">
        <v>8</v>
      </c>
    </row>
    <row r="342" spans="1:9">
      <c r="A342">
        <f t="shared" si="10"/>
        <v>5</v>
      </c>
      <c r="B342">
        <f t="shared" si="11"/>
        <v>413</v>
      </c>
      <c r="C342">
        <v>1</v>
      </c>
      <c r="D342" s="60">
        <v>43101</v>
      </c>
      <c r="E342" s="30">
        <f>VLOOKUP(VLOOKUP(B342,SuiteCatSubElem!$G$2:$H$666,2,0),'SA Q1 18 W'!$A$33:$F$193,1+MATCH(VLOOKUP(A342,Personas!$A$2:$B$6,2,0),'SA Q1 18 W'!$B$4:$F$4,0),0)</f>
        <v>0.7</v>
      </c>
      <c r="F342">
        <v>1</v>
      </c>
      <c r="H342" t="s">
        <v>50</v>
      </c>
      <c r="I342">
        <v>8</v>
      </c>
    </row>
    <row r="343" spans="1:9">
      <c r="A343">
        <f t="shared" si="10"/>
        <v>5</v>
      </c>
      <c r="B343">
        <f t="shared" si="11"/>
        <v>414</v>
      </c>
      <c r="C343">
        <v>1</v>
      </c>
      <c r="D343" s="60">
        <v>43101</v>
      </c>
      <c r="E343" s="30">
        <f>VLOOKUP(VLOOKUP(B343,SuiteCatSubElem!$G$2:$H$666,2,0),'SA Q1 18 W'!$A$33:$F$193,1+MATCH(VLOOKUP(A343,Personas!$A$2:$B$6,2,0),'SA Q1 18 W'!$B$4:$F$4,0),0)</f>
        <v>0.5</v>
      </c>
      <c r="F343">
        <v>1</v>
      </c>
      <c r="H343" t="s">
        <v>50</v>
      </c>
      <c r="I343">
        <v>8</v>
      </c>
    </row>
    <row r="344" spans="1:9">
      <c r="A344">
        <f t="shared" si="10"/>
        <v>5</v>
      </c>
      <c r="B344">
        <f t="shared" si="11"/>
        <v>415</v>
      </c>
      <c r="C344">
        <v>1</v>
      </c>
      <c r="D344" s="60">
        <v>43101</v>
      </c>
      <c r="E344" s="30">
        <f>VLOOKUP(VLOOKUP(B344,SuiteCatSubElem!$G$2:$H$666,2,0),'SA Q1 18 W'!$A$33:$F$193,1+MATCH(VLOOKUP(A344,Personas!$A$2:$B$6,2,0),'SA Q1 18 W'!$B$4:$F$4,0),0)</f>
        <v>0.3</v>
      </c>
      <c r="F344">
        <v>1</v>
      </c>
      <c r="H344" t="s">
        <v>50</v>
      </c>
      <c r="I344">
        <v>8</v>
      </c>
    </row>
    <row r="345" spans="1:9">
      <c r="A345">
        <f t="shared" si="10"/>
        <v>5</v>
      </c>
      <c r="B345">
        <f t="shared" si="11"/>
        <v>416</v>
      </c>
      <c r="C345">
        <v>1</v>
      </c>
      <c r="D345" s="60">
        <v>43101</v>
      </c>
      <c r="E345" s="30">
        <f>VLOOKUP(VLOOKUP(B345,SuiteCatSubElem!$G$2:$H$666,2,0),'SA Q1 18 W'!$A$33:$F$193,1+MATCH(VLOOKUP(A345,Personas!$A$2:$B$6,2,0),'SA Q1 18 W'!$B$4:$F$4,0),0)</f>
        <v>0.5</v>
      </c>
      <c r="F345">
        <v>1</v>
      </c>
      <c r="H345" t="s">
        <v>50</v>
      </c>
      <c r="I345">
        <v>8</v>
      </c>
    </row>
    <row r="346" spans="1:9">
      <c r="A346">
        <f t="shared" si="10"/>
        <v>5</v>
      </c>
      <c r="B346">
        <f t="shared" si="11"/>
        <v>417</v>
      </c>
      <c r="C346">
        <v>1</v>
      </c>
      <c r="D346" s="60">
        <v>43101</v>
      </c>
      <c r="E346" s="30">
        <f>VLOOKUP(VLOOKUP(B346,SuiteCatSubElem!$G$2:$H$666,2,0),'SA Q1 18 W'!$A$33:$F$193,1+MATCH(VLOOKUP(A346,Personas!$A$2:$B$6,2,0),'SA Q1 18 W'!$B$4:$F$4,0),0)</f>
        <v>0.8</v>
      </c>
      <c r="F346">
        <v>1</v>
      </c>
      <c r="H346" t="s">
        <v>50</v>
      </c>
      <c r="I346">
        <v>8</v>
      </c>
    </row>
    <row r="347" spans="1:9">
      <c r="A347">
        <f t="shared" si="10"/>
        <v>5</v>
      </c>
      <c r="B347">
        <f t="shared" si="11"/>
        <v>418</v>
      </c>
      <c r="C347">
        <v>1</v>
      </c>
      <c r="D347" s="60">
        <v>43101</v>
      </c>
      <c r="E347" s="30">
        <f>VLOOKUP(VLOOKUP(B347,SuiteCatSubElem!$G$2:$H$666,2,0),'SA Q1 18 W'!$A$33:$F$193,1+MATCH(VLOOKUP(A347,Personas!$A$2:$B$6,2,0),'SA Q1 18 W'!$B$4:$F$4,0),0)</f>
        <v>0</v>
      </c>
      <c r="F347">
        <v>1</v>
      </c>
      <c r="H347" t="s">
        <v>50</v>
      </c>
      <c r="I347">
        <v>8</v>
      </c>
    </row>
    <row r="348" spans="1:9">
      <c r="A348">
        <f t="shared" si="10"/>
        <v>5</v>
      </c>
      <c r="B348">
        <f t="shared" si="11"/>
        <v>419</v>
      </c>
      <c r="C348">
        <v>1</v>
      </c>
      <c r="D348" s="60">
        <v>43101</v>
      </c>
      <c r="E348" s="30">
        <f>VLOOKUP(VLOOKUP(B348,SuiteCatSubElem!$G$2:$H$666,2,0),'SA Q1 18 W'!$A$33:$F$193,1+MATCH(VLOOKUP(A348,Personas!$A$2:$B$6,2,0),'SA Q1 18 W'!$B$4:$F$4,0),0)</f>
        <v>0.3</v>
      </c>
      <c r="F348">
        <v>1</v>
      </c>
      <c r="H348" t="s">
        <v>50</v>
      </c>
      <c r="I348">
        <v>8</v>
      </c>
    </row>
    <row r="349" spans="1:9">
      <c r="A349">
        <f t="shared" si="10"/>
        <v>5</v>
      </c>
      <c r="B349">
        <f t="shared" si="11"/>
        <v>420</v>
      </c>
      <c r="C349">
        <v>1</v>
      </c>
      <c r="D349" s="60">
        <v>43101</v>
      </c>
      <c r="E349" s="30">
        <f>VLOOKUP(VLOOKUP(B349,SuiteCatSubElem!$G$2:$H$666,2,0),'SA Q1 18 W'!$A$33:$F$193,1+MATCH(VLOOKUP(A349,Personas!$A$2:$B$6,2,0),'SA Q1 18 W'!$B$4:$F$4,0),0)</f>
        <v>0.6</v>
      </c>
      <c r="F349">
        <v>1</v>
      </c>
      <c r="H349" t="s">
        <v>50</v>
      </c>
      <c r="I349">
        <v>8</v>
      </c>
    </row>
    <row r="350" spans="1:9">
      <c r="A350">
        <f t="shared" si="10"/>
        <v>5</v>
      </c>
      <c r="B350">
        <f t="shared" si="11"/>
        <v>421</v>
      </c>
      <c r="C350">
        <v>1</v>
      </c>
      <c r="D350" s="60">
        <v>43101</v>
      </c>
      <c r="E350" s="30">
        <f>VLOOKUP(VLOOKUP(B350,SuiteCatSubElem!$G$2:$H$666,2,0),'SA Q1 18 W'!$A$33:$F$193,1+MATCH(VLOOKUP(A350,Personas!$A$2:$B$6,2,0),'SA Q1 18 W'!$B$4:$F$4,0),0)</f>
        <v>0.4</v>
      </c>
      <c r="F350">
        <v>1</v>
      </c>
      <c r="H350" t="s">
        <v>50</v>
      </c>
      <c r="I350">
        <v>8</v>
      </c>
    </row>
    <row r="351" spans="1:9">
      <c r="A351">
        <f t="shared" si="10"/>
        <v>5</v>
      </c>
      <c r="B351">
        <f t="shared" si="11"/>
        <v>422</v>
      </c>
      <c r="C351">
        <v>1</v>
      </c>
      <c r="D351" s="60">
        <v>43101</v>
      </c>
      <c r="E351" s="30">
        <f>VLOOKUP(VLOOKUP(B351,SuiteCatSubElem!$G$2:$H$666,2,0),'SA Q1 18 W'!$A$33:$F$193,1+MATCH(VLOOKUP(A351,Personas!$A$2:$B$6,2,0),'SA Q1 18 W'!$B$4:$F$4,0),0)</f>
        <v>0.6</v>
      </c>
      <c r="F351">
        <v>1</v>
      </c>
      <c r="H351" t="s">
        <v>50</v>
      </c>
      <c r="I351">
        <v>8</v>
      </c>
    </row>
    <row r="352" spans="1:9">
      <c r="A352">
        <f t="shared" si="10"/>
        <v>5</v>
      </c>
      <c r="B352">
        <f t="shared" si="11"/>
        <v>423</v>
      </c>
      <c r="C352">
        <v>1</v>
      </c>
      <c r="D352" s="60">
        <v>43101</v>
      </c>
      <c r="E352" s="30">
        <f>VLOOKUP(VLOOKUP(B352,SuiteCatSubElem!$G$2:$H$666,2,0),'SA Q1 18 W'!$A$33:$F$193,1+MATCH(VLOOKUP(A352,Personas!$A$2:$B$6,2,0),'SA Q1 18 W'!$B$4:$F$4,0),0)</f>
        <v>0.9</v>
      </c>
      <c r="F352">
        <v>1</v>
      </c>
      <c r="H352" t="s">
        <v>50</v>
      </c>
      <c r="I352">
        <v>8</v>
      </c>
    </row>
    <row r="353" spans="1:9">
      <c r="A353">
        <f t="shared" si="10"/>
        <v>5</v>
      </c>
      <c r="B353">
        <f t="shared" si="11"/>
        <v>424</v>
      </c>
      <c r="C353">
        <v>1</v>
      </c>
      <c r="D353" s="60">
        <v>43101</v>
      </c>
      <c r="E353" s="30">
        <f>VLOOKUP(VLOOKUP(B353,SuiteCatSubElem!$G$2:$H$666,2,0),'SA Q1 18 W'!$A$33:$F$193,1+MATCH(VLOOKUP(A353,Personas!$A$2:$B$6,2,0),'SA Q1 18 W'!$B$4:$F$4,0),0)</f>
        <v>0.5</v>
      </c>
      <c r="F353">
        <v>1</v>
      </c>
      <c r="H353" t="s">
        <v>50</v>
      </c>
      <c r="I353">
        <v>8</v>
      </c>
    </row>
    <row r="354" spans="1:9">
      <c r="A354">
        <f t="shared" si="10"/>
        <v>5</v>
      </c>
      <c r="B354">
        <f t="shared" si="11"/>
        <v>425</v>
      </c>
      <c r="C354">
        <v>1</v>
      </c>
      <c r="D354" s="60">
        <v>43101</v>
      </c>
      <c r="E354" s="30">
        <f>VLOOKUP(VLOOKUP(B354,SuiteCatSubElem!$G$2:$H$666,2,0),'SA Q1 18 W'!$A$33:$F$193,1+MATCH(VLOOKUP(A354,Personas!$A$2:$B$6,2,0),'SA Q1 18 W'!$B$4:$F$4,0),0)</f>
        <v>0.5</v>
      </c>
      <c r="F354">
        <v>1</v>
      </c>
      <c r="H354" t="s">
        <v>50</v>
      </c>
      <c r="I354">
        <v>8</v>
      </c>
    </row>
    <row r="355" spans="1:9">
      <c r="A355">
        <f t="shared" si="10"/>
        <v>5</v>
      </c>
      <c r="B355">
        <f t="shared" si="11"/>
        <v>426</v>
      </c>
      <c r="C355">
        <v>1</v>
      </c>
      <c r="D355" s="60">
        <v>43101</v>
      </c>
      <c r="E355" s="30">
        <f>VLOOKUP(VLOOKUP(B355,SuiteCatSubElem!$G$2:$H$666,2,0),'SA Q1 18 W'!$A$33:$F$193,1+MATCH(VLOOKUP(A355,Personas!$A$2:$B$6,2,0),'SA Q1 18 W'!$B$4:$F$4,0),0)</f>
        <v>0.4</v>
      </c>
      <c r="F355">
        <v>1</v>
      </c>
      <c r="H355" t="s">
        <v>50</v>
      </c>
      <c r="I355">
        <v>8</v>
      </c>
    </row>
    <row r="356" spans="1:9">
      <c r="A356">
        <f t="shared" ref="A356:A395" si="12">A272+1</f>
        <v>5</v>
      </c>
      <c r="B356">
        <f t="shared" ref="B356:B395" si="13">B272</f>
        <v>427</v>
      </c>
      <c r="C356">
        <v>1</v>
      </c>
      <c r="D356" s="60">
        <v>43101</v>
      </c>
      <c r="E356" s="30">
        <f>VLOOKUP(VLOOKUP(B356,SuiteCatSubElem!$G$2:$H$666,2,0),'SA Q1 18 W'!$A$33:$F$193,1+MATCH(VLOOKUP(A356,Personas!$A$2:$B$6,2,0),'SA Q1 18 W'!$B$4:$F$4,0),0)</f>
        <v>0.3</v>
      </c>
      <c r="F356">
        <v>1</v>
      </c>
      <c r="H356" t="s">
        <v>50</v>
      </c>
      <c r="I356">
        <v>8</v>
      </c>
    </row>
    <row r="357" spans="1:9">
      <c r="A357">
        <f t="shared" si="12"/>
        <v>5</v>
      </c>
      <c r="B357">
        <f t="shared" si="13"/>
        <v>428</v>
      </c>
      <c r="C357">
        <v>1</v>
      </c>
      <c r="D357" s="60">
        <v>43101</v>
      </c>
      <c r="E357" s="30">
        <f>VLOOKUP(VLOOKUP(B357,SuiteCatSubElem!$G$2:$H$666,2,0),'SA Q1 18 W'!$A$33:$F$193,1+MATCH(VLOOKUP(A357,Personas!$A$2:$B$6,2,0),'SA Q1 18 W'!$B$4:$F$4,0),0)</f>
        <v>0.2</v>
      </c>
      <c r="F357">
        <v>1</v>
      </c>
      <c r="H357" t="s">
        <v>50</v>
      </c>
      <c r="I357">
        <v>8</v>
      </c>
    </row>
    <row r="358" spans="1:9">
      <c r="A358">
        <f t="shared" si="12"/>
        <v>5</v>
      </c>
      <c r="B358">
        <f t="shared" si="13"/>
        <v>429</v>
      </c>
      <c r="C358">
        <v>1</v>
      </c>
      <c r="D358" s="60">
        <v>43101</v>
      </c>
      <c r="E358" s="30">
        <f>VLOOKUP(VLOOKUP(B358,SuiteCatSubElem!$G$2:$H$666,2,0),'SA Q1 18 W'!$A$33:$F$193,1+MATCH(VLOOKUP(A358,Personas!$A$2:$B$6,2,0),'SA Q1 18 W'!$B$4:$F$4,0),0)</f>
        <v>0.5</v>
      </c>
      <c r="F358">
        <v>1</v>
      </c>
      <c r="H358" t="s">
        <v>50</v>
      </c>
      <c r="I358">
        <v>8</v>
      </c>
    </row>
    <row r="359" spans="1:9">
      <c r="A359">
        <f t="shared" si="12"/>
        <v>5</v>
      </c>
      <c r="B359">
        <f t="shared" si="13"/>
        <v>430</v>
      </c>
      <c r="C359">
        <v>1</v>
      </c>
      <c r="D359" s="60">
        <v>43101</v>
      </c>
      <c r="E359" s="30">
        <f>VLOOKUP(VLOOKUP(B359,SuiteCatSubElem!$G$2:$H$666,2,0),'SA Q1 18 W'!$A$33:$F$193,1+MATCH(VLOOKUP(A359,Personas!$A$2:$B$6,2,0),'SA Q1 18 W'!$B$4:$F$4,0),0)</f>
        <v>0.3</v>
      </c>
      <c r="F359">
        <v>1</v>
      </c>
      <c r="H359" t="s">
        <v>50</v>
      </c>
      <c r="I359">
        <v>8</v>
      </c>
    </row>
    <row r="360" spans="1:9">
      <c r="A360">
        <f t="shared" si="12"/>
        <v>5</v>
      </c>
      <c r="B360">
        <f t="shared" si="13"/>
        <v>431</v>
      </c>
      <c r="C360">
        <v>1</v>
      </c>
      <c r="D360" s="60">
        <v>43101</v>
      </c>
      <c r="E360" s="30">
        <f>VLOOKUP(VLOOKUP(B360,SuiteCatSubElem!$G$2:$H$666,2,0),'SA Q1 18 W'!$A$33:$F$193,1+MATCH(VLOOKUP(A360,Personas!$A$2:$B$6,2,0),'SA Q1 18 W'!$B$4:$F$4,0),0)</f>
        <v>0.2</v>
      </c>
      <c r="F360">
        <v>1</v>
      </c>
      <c r="H360" t="s">
        <v>50</v>
      </c>
      <c r="I360">
        <v>8</v>
      </c>
    </row>
    <row r="361" spans="1:9">
      <c r="A361">
        <f t="shared" si="12"/>
        <v>5</v>
      </c>
      <c r="B361">
        <f t="shared" si="13"/>
        <v>432</v>
      </c>
      <c r="C361">
        <v>1</v>
      </c>
      <c r="D361" s="60">
        <v>43101</v>
      </c>
      <c r="E361" s="30">
        <f>VLOOKUP(VLOOKUP(B361,SuiteCatSubElem!$G$2:$H$666,2,0),'SA Q1 18 W'!$A$33:$F$193,1+MATCH(VLOOKUP(A361,Personas!$A$2:$B$6,2,0),'SA Q1 18 W'!$B$4:$F$4,0),0)</f>
        <v>0.7</v>
      </c>
      <c r="F361">
        <v>1</v>
      </c>
      <c r="H361" t="s">
        <v>50</v>
      </c>
      <c r="I361">
        <v>8</v>
      </c>
    </row>
    <row r="362" spans="1:9">
      <c r="A362">
        <f t="shared" si="12"/>
        <v>5</v>
      </c>
      <c r="B362">
        <f t="shared" si="13"/>
        <v>433</v>
      </c>
      <c r="C362">
        <v>1</v>
      </c>
      <c r="D362" s="60">
        <v>43101</v>
      </c>
      <c r="E362" s="30">
        <f>VLOOKUP(VLOOKUP(B362,SuiteCatSubElem!$G$2:$H$666,2,0),'SA Q1 18 W'!$A$33:$F$193,1+MATCH(VLOOKUP(A362,Personas!$A$2:$B$6,2,0),'SA Q1 18 W'!$B$4:$F$4,0),0)</f>
        <v>0.5</v>
      </c>
      <c r="F362">
        <v>1</v>
      </c>
      <c r="H362" t="s">
        <v>50</v>
      </c>
      <c r="I362">
        <v>8</v>
      </c>
    </row>
    <row r="363" spans="1:9">
      <c r="A363">
        <f t="shared" si="12"/>
        <v>5</v>
      </c>
      <c r="B363">
        <f t="shared" si="13"/>
        <v>434</v>
      </c>
      <c r="C363">
        <v>1</v>
      </c>
      <c r="D363" s="60">
        <v>43101</v>
      </c>
      <c r="E363" s="30">
        <f>VLOOKUP(VLOOKUP(B363,SuiteCatSubElem!$G$2:$H$666,2,0),'SA Q1 18 W'!$A$33:$F$193,1+MATCH(VLOOKUP(A363,Personas!$A$2:$B$6,2,0),'SA Q1 18 W'!$B$4:$F$4,0),0)</f>
        <v>0.1</v>
      </c>
      <c r="F363">
        <v>1</v>
      </c>
      <c r="H363" t="s">
        <v>50</v>
      </c>
      <c r="I363">
        <v>8</v>
      </c>
    </row>
    <row r="364" spans="1:9">
      <c r="A364">
        <f t="shared" si="12"/>
        <v>5</v>
      </c>
      <c r="B364">
        <f t="shared" si="13"/>
        <v>435</v>
      </c>
      <c r="C364">
        <v>1</v>
      </c>
      <c r="D364" s="60">
        <v>43101</v>
      </c>
      <c r="E364" s="30">
        <f>VLOOKUP(VLOOKUP(B364,SuiteCatSubElem!$G$2:$H$666,2,0),'SA Q1 18 W'!$A$33:$F$193,1+MATCH(VLOOKUP(A364,Personas!$A$2:$B$6,2,0),'SA Q1 18 W'!$B$4:$F$4,0),0)</f>
        <v>0.1</v>
      </c>
      <c r="F364">
        <v>1</v>
      </c>
      <c r="H364" t="s">
        <v>50</v>
      </c>
      <c r="I364">
        <v>8</v>
      </c>
    </row>
    <row r="365" spans="1:9">
      <c r="A365">
        <f t="shared" si="12"/>
        <v>5</v>
      </c>
      <c r="B365">
        <f t="shared" si="13"/>
        <v>436</v>
      </c>
      <c r="C365">
        <v>1</v>
      </c>
      <c r="D365" s="60">
        <v>43101</v>
      </c>
      <c r="E365" s="30">
        <f>VLOOKUP(VLOOKUP(B365,SuiteCatSubElem!$G$2:$H$666,2,0),'SA Q1 18 W'!$A$33:$F$193,1+MATCH(VLOOKUP(A365,Personas!$A$2:$B$6,2,0),'SA Q1 18 W'!$B$4:$F$4,0),0)</f>
        <v>0.5</v>
      </c>
      <c r="F365">
        <v>1</v>
      </c>
      <c r="H365" t="s">
        <v>50</v>
      </c>
      <c r="I365">
        <v>8</v>
      </c>
    </row>
    <row r="366" spans="1:9">
      <c r="A366">
        <f t="shared" si="12"/>
        <v>5</v>
      </c>
      <c r="B366">
        <f t="shared" si="13"/>
        <v>437</v>
      </c>
      <c r="C366">
        <v>1</v>
      </c>
      <c r="D366" s="60">
        <v>43101</v>
      </c>
      <c r="E366" s="30">
        <f>VLOOKUP(VLOOKUP(B366,SuiteCatSubElem!$G$2:$H$666,2,0),'SA Q1 18 W'!$A$33:$F$193,1+MATCH(VLOOKUP(A366,Personas!$A$2:$B$6,2,0),'SA Q1 18 W'!$B$4:$F$4,0),0)</f>
        <v>0.3</v>
      </c>
      <c r="F366">
        <v>1</v>
      </c>
      <c r="H366" t="s">
        <v>50</v>
      </c>
      <c r="I366">
        <v>8</v>
      </c>
    </row>
    <row r="367" spans="1:9">
      <c r="A367">
        <f t="shared" si="12"/>
        <v>5</v>
      </c>
      <c r="B367">
        <f t="shared" si="13"/>
        <v>438</v>
      </c>
      <c r="C367">
        <v>1</v>
      </c>
      <c r="D367" s="60">
        <v>43101</v>
      </c>
      <c r="E367" s="30">
        <f>VLOOKUP(VLOOKUP(B367,SuiteCatSubElem!$G$2:$H$666,2,0),'SA Q1 18 W'!$A$33:$F$193,1+MATCH(VLOOKUP(A367,Personas!$A$2:$B$6,2,0),'SA Q1 18 W'!$B$4:$F$4,0),0)</f>
        <v>0.3</v>
      </c>
      <c r="F367">
        <v>1</v>
      </c>
      <c r="H367" t="s">
        <v>50</v>
      </c>
      <c r="I367">
        <v>8</v>
      </c>
    </row>
    <row r="368" spans="1:9">
      <c r="A368">
        <f t="shared" si="12"/>
        <v>5</v>
      </c>
      <c r="B368">
        <f t="shared" si="13"/>
        <v>439</v>
      </c>
      <c r="C368">
        <v>1</v>
      </c>
      <c r="D368" s="60">
        <v>43101</v>
      </c>
      <c r="E368" s="30">
        <f>VLOOKUP(VLOOKUP(B368,SuiteCatSubElem!$G$2:$H$666,2,0),'SA Q1 18 W'!$A$33:$F$193,1+MATCH(VLOOKUP(A368,Personas!$A$2:$B$6,2,0),'SA Q1 18 W'!$B$4:$F$4,0),0)</f>
        <v>0.4</v>
      </c>
      <c r="F368">
        <v>1</v>
      </c>
      <c r="H368" t="s">
        <v>50</v>
      </c>
      <c r="I368">
        <v>8</v>
      </c>
    </row>
    <row r="369" spans="1:9">
      <c r="A369">
        <f t="shared" si="12"/>
        <v>5</v>
      </c>
      <c r="B369">
        <f t="shared" si="13"/>
        <v>440</v>
      </c>
      <c r="C369">
        <v>1</v>
      </c>
      <c r="D369" s="60">
        <v>43101</v>
      </c>
      <c r="E369" s="30">
        <f>VLOOKUP(VLOOKUP(B369,SuiteCatSubElem!$G$2:$H$666,2,0),'SA Q1 18 W'!$A$33:$F$193,1+MATCH(VLOOKUP(A369,Personas!$A$2:$B$6,2,0),'SA Q1 18 W'!$B$4:$F$4,0),0)</f>
        <v>0.4</v>
      </c>
      <c r="F369">
        <v>1</v>
      </c>
      <c r="H369" t="s">
        <v>50</v>
      </c>
      <c r="I369">
        <v>8</v>
      </c>
    </row>
    <row r="370" spans="1:9">
      <c r="A370">
        <f t="shared" si="12"/>
        <v>5</v>
      </c>
      <c r="B370">
        <f t="shared" si="13"/>
        <v>441</v>
      </c>
      <c r="C370">
        <v>1</v>
      </c>
      <c r="D370" s="60">
        <v>43101</v>
      </c>
      <c r="E370" s="30">
        <f>VLOOKUP(VLOOKUP(B370,SuiteCatSubElem!$G$2:$H$666,2,0),'SA Q1 18 W'!$A$33:$F$193,1+MATCH(VLOOKUP(A370,Personas!$A$2:$B$6,2,0),'SA Q1 18 W'!$B$4:$F$4,0),0)</f>
        <v>1</v>
      </c>
      <c r="F370">
        <v>1</v>
      </c>
      <c r="H370" t="s">
        <v>50</v>
      </c>
      <c r="I370">
        <v>8</v>
      </c>
    </row>
    <row r="371" spans="1:9">
      <c r="A371">
        <f t="shared" si="12"/>
        <v>5</v>
      </c>
      <c r="B371">
        <f t="shared" si="13"/>
        <v>442</v>
      </c>
      <c r="C371">
        <v>1</v>
      </c>
      <c r="D371" s="60">
        <v>43101</v>
      </c>
      <c r="E371" s="30">
        <f>VLOOKUP(VLOOKUP(B371,SuiteCatSubElem!$G$2:$H$666,2,0),'SA Q1 18 W'!$A$33:$F$193,1+MATCH(VLOOKUP(A371,Personas!$A$2:$B$6,2,0),'SA Q1 18 W'!$B$4:$F$4,0),0)</f>
        <v>1</v>
      </c>
      <c r="F371">
        <v>1</v>
      </c>
      <c r="H371" t="s">
        <v>50</v>
      </c>
      <c r="I371">
        <v>8</v>
      </c>
    </row>
    <row r="372" spans="1:9">
      <c r="A372">
        <f t="shared" si="12"/>
        <v>5</v>
      </c>
      <c r="B372">
        <f t="shared" si="13"/>
        <v>443</v>
      </c>
      <c r="C372">
        <v>1</v>
      </c>
      <c r="D372" s="60">
        <v>43101</v>
      </c>
      <c r="E372" s="30">
        <f>VLOOKUP(VLOOKUP(B372,SuiteCatSubElem!$G$2:$H$666,2,0),'SA Q1 18 W'!$A$33:$F$193,1+MATCH(VLOOKUP(A372,Personas!$A$2:$B$6,2,0),'SA Q1 18 W'!$B$4:$F$4,0),0)</f>
        <v>1</v>
      </c>
      <c r="F372">
        <v>1</v>
      </c>
      <c r="H372" t="s">
        <v>50</v>
      </c>
      <c r="I372">
        <v>8</v>
      </c>
    </row>
    <row r="373" spans="1:9">
      <c r="A373">
        <f t="shared" si="12"/>
        <v>5</v>
      </c>
      <c r="B373">
        <f t="shared" si="13"/>
        <v>445</v>
      </c>
      <c r="C373">
        <v>1</v>
      </c>
      <c r="D373" s="60">
        <v>43101</v>
      </c>
      <c r="E373" s="30">
        <f>VLOOKUP(VLOOKUP(B373,SuiteCatSubElem!$G$2:$H$666,2,0),'SA Q1 18 W'!$A$33:$F$193,1+MATCH(VLOOKUP(A373,Personas!$A$2:$B$6,2,0),'SA Q1 18 W'!$B$4:$F$4,0),0)</f>
        <v>0.2</v>
      </c>
      <c r="F373">
        <v>1</v>
      </c>
      <c r="H373" t="s">
        <v>50</v>
      </c>
      <c r="I373">
        <v>8</v>
      </c>
    </row>
    <row r="374" spans="1:9">
      <c r="A374">
        <f t="shared" si="12"/>
        <v>5</v>
      </c>
      <c r="B374">
        <f t="shared" si="13"/>
        <v>446</v>
      </c>
      <c r="C374">
        <v>1</v>
      </c>
      <c r="D374" s="60">
        <v>43101</v>
      </c>
      <c r="E374" s="30">
        <f>VLOOKUP(VLOOKUP(B374,SuiteCatSubElem!$G$2:$H$666,2,0),'SA Q1 18 W'!$A$33:$F$193,1+MATCH(VLOOKUP(A374,Personas!$A$2:$B$6,2,0),'SA Q1 18 W'!$B$4:$F$4,0),0)</f>
        <v>0</v>
      </c>
      <c r="F374">
        <v>1</v>
      </c>
      <c r="H374" t="s">
        <v>50</v>
      </c>
      <c r="I374">
        <v>8</v>
      </c>
    </row>
    <row r="375" spans="1:9">
      <c r="A375">
        <f t="shared" si="12"/>
        <v>5</v>
      </c>
      <c r="B375">
        <f t="shared" si="13"/>
        <v>447</v>
      </c>
      <c r="C375">
        <v>1</v>
      </c>
      <c r="D375" s="60">
        <v>43101</v>
      </c>
      <c r="E375" s="30">
        <f>VLOOKUP(VLOOKUP(B375,SuiteCatSubElem!$G$2:$H$666,2,0),'SA Q1 18 W'!$A$33:$F$193,1+MATCH(VLOOKUP(A375,Personas!$A$2:$B$6,2,0),'SA Q1 18 W'!$B$4:$F$4,0),0)</f>
        <v>0</v>
      </c>
      <c r="F375">
        <v>1</v>
      </c>
      <c r="H375" t="s">
        <v>50</v>
      </c>
      <c r="I375">
        <v>8</v>
      </c>
    </row>
    <row r="376" spans="1:9">
      <c r="A376">
        <f t="shared" si="12"/>
        <v>5</v>
      </c>
      <c r="B376">
        <f t="shared" si="13"/>
        <v>448</v>
      </c>
      <c r="C376">
        <v>1</v>
      </c>
      <c r="D376" s="60">
        <v>43101</v>
      </c>
      <c r="E376" s="30">
        <f>VLOOKUP(VLOOKUP(B376,SuiteCatSubElem!$G$2:$H$666,2,0),'SA Q1 18 W'!$A$33:$F$193,1+MATCH(VLOOKUP(A376,Personas!$A$2:$B$6,2,0),'SA Q1 18 W'!$B$4:$F$4,0),0)</f>
        <v>0.6</v>
      </c>
      <c r="F376">
        <v>1</v>
      </c>
      <c r="H376" t="s">
        <v>50</v>
      </c>
      <c r="I376">
        <v>8</v>
      </c>
    </row>
    <row r="377" spans="1:9">
      <c r="A377">
        <f t="shared" si="12"/>
        <v>5</v>
      </c>
      <c r="B377">
        <f t="shared" si="13"/>
        <v>449</v>
      </c>
      <c r="C377">
        <v>1</v>
      </c>
      <c r="D377" s="60">
        <v>43101</v>
      </c>
      <c r="E377" s="30">
        <f>VLOOKUP(VLOOKUP(B377,SuiteCatSubElem!$G$2:$H$666,2,0),'SA Q1 18 W'!$A$33:$F$193,1+MATCH(VLOOKUP(A377,Personas!$A$2:$B$6,2,0),'SA Q1 18 W'!$B$4:$F$4,0),0)</f>
        <v>0.3</v>
      </c>
      <c r="F377">
        <v>1</v>
      </c>
      <c r="H377" t="s">
        <v>50</v>
      </c>
      <c r="I377">
        <v>8</v>
      </c>
    </row>
    <row r="378" spans="1:9">
      <c r="A378">
        <f t="shared" si="12"/>
        <v>5</v>
      </c>
      <c r="B378">
        <f t="shared" si="13"/>
        <v>450</v>
      </c>
      <c r="C378">
        <v>1</v>
      </c>
      <c r="D378" s="60">
        <v>43101</v>
      </c>
      <c r="E378" s="30">
        <f>VLOOKUP(VLOOKUP(B378,SuiteCatSubElem!$G$2:$H$666,2,0),'SA Q1 18 W'!$A$33:$F$193,1+MATCH(VLOOKUP(A378,Personas!$A$2:$B$6,2,0),'SA Q1 18 W'!$B$4:$F$4,0),0)</f>
        <v>0.6</v>
      </c>
      <c r="F378">
        <v>1</v>
      </c>
      <c r="H378" t="s">
        <v>50</v>
      </c>
      <c r="I378">
        <v>8</v>
      </c>
    </row>
    <row r="379" spans="1:9">
      <c r="A379">
        <f t="shared" si="12"/>
        <v>5</v>
      </c>
      <c r="B379">
        <f t="shared" si="13"/>
        <v>451</v>
      </c>
      <c r="C379">
        <v>1</v>
      </c>
      <c r="D379" s="60">
        <v>43101</v>
      </c>
      <c r="E379" s="30">
        <f>VLOOKUP(VLOOKUP(B379,SuiteCatSubElem!$G$2:$H$666,2,0),'SA Q1 18 W'!$A$33:$F$193,1+MATCH(VLOOKUP(A379,Personas!$A$2:$B$6,2,0),'SA Q1 18 W'!$B$4:$F$4,0),0)</f>
        <v>0.3</v>
      </c>
      <c r="F379">
        <v>1</v>
      </c>
      <c r="H379" t="s">
        <v>50</v>
      </c>
      <c r="I379">
        <v>8</v>
      </c>
    </row>
    <row r="380" spans="1:9">
      <c r="A380">
        <f t="shared" si="12"/>
        <v>5</v>
      </c>
      <c r="B380">
        <f t="shared" si="13"/>
        <v>452</v>
      </c>
      <c r="C380">
        <v>1</v>
      </c>
      <c r="D380" s="60">
        <v>43101</v>
      </c>
      <c r="E380" s="30">
        <f>VLOOKUP(VLOOKUP(B380,SuiteCatSubElem!$G$2:$H$666,2,0),'SA Q1 18 W'!$A$33:$F$193,1+MATCH(VLOOKUP(A380,Personas!$A$2:$B$6,2,0),'SA Q1 18 W'!$B$4:$F$4,0),0)</f>
        <v>0.3</v>
      </c>
      <c r="F380">
        <v>1</v>
      </c>
      <c r="H380" t="s">
        <v>50</v>
      </c>
      <c r="I380">
        <v>8</v>
      </c>
    </row>
    <row r="381" spans="1:9">
      <c r="A381">
        <f t="shared" si="12"/>
        <v>5</v>
      </c>
      <c r="B381">
        <f t="shared" si="13"/>
        <v>453</v>
      </c>
      <c r="C381">
        <v>1</v>
      </c>
      <c r="D381" s="60">
        <v>43101</v>
      </c>
      <c r="E381" s="30">
        <f>VLOOKUP(VLOOKUP(B381,SuiteCatSubElem!$G$2:$H$666,2,0),'SA Q1 18 W'!$A$33:$F$193,1+MATCH(VLOOKUP(A381,Personas!$A$2:$B$6,2,0),'SA Q1 18 W'!$B$4:$F$4,0),0)</f>
        <v>0.2</v>
      </c>
      <c r="F381">
        <v>1</v>
      </c>
      <c r="H381" t="s">
        <v>50</v>
      </c>
      <c r="I381">
        <v>8</v>
      </c>
    </row>
    <row r="382" spans="1:9">
      <c r="A382">
        <f t="shared" si="12"/>
        <v>5</v>
      </c>
      <c r="B382">
        <f t="shared" si="13"/>
        <v>454</v>
      </c>
      <c r="C382">
        <v>1</v>
      </c>
      <c r="D382" s="60">
        <v>43101</v>
      </c>
      <c r="E382" s="30">
        <f>VLOOKUP(VLOOKUP(B382,SuiteCatSubElem!$G$2:$H$666,2,0),'SA Q1 18 W'!$A$33:$F$193,1+MATCH(VLOOKUP(A382,Personas!$A$2:$B$6,2,0),'SA Q1 18 W'!$B$4:$F$4,0),0)</f>
        <v>0.2</v>
      </c>
      <c r="F382">
        <v>1</v>
      </c>
      <c r="H382" t="s">
        <v>50</v>
      </c>
      <c r="I382">
        <v>8</v>
      </c>
    </row>
    <row r="383" spans="1:9">
      <c r="A383">
        <f t="shared" si="12"/>
        <v>5</v>
      </c>
      <c r="B383">
        <f t="shared" si="13"/>
        <v>455</v>
      </c>
      <c r="C383">
        <v>1</v>
      </c>
      <c r="D383" s="60">
        <v>43101</v>
      </c>
      <c r="E383" s="30">
        <f>VLOOKUP(VLOOKUP(B383,SuiteCatSubElem!$G$2:$H$666,2,0),'SA Q1 18 W'!$A$33:$F$193,1+MATCH(VLOOKUP(A383,Personas!$A$2:$B$6,2,0),'SA Q1 18 W'!$B$4:$F$4,0),0)</f>
        <v>0.4</v>
      </c>
      <c r="F383">
        <v>1</v>
      </c>
      <c r="H383" t="s">
        <v>50</v>
      </c>
      <c r="I383">
        <v>8</v>
      </c>
    </row>
    <row r="384" spans="1:9">
      <c r="A384">
        <f t="shared" si="12"/>
        <v>5</v>
      </c>
      <c r="B384">
        <f t="shared" si="13"/>
        <v>456</v>
      </c>
      <c r="C384">
        <v>1</v>
      </c>
      <c r="D384" s="60">
        <v>43101</v>
      </c>
      <c r="E384" s="30">
        <f>VLOOKUP(VLOOKUP(B384,SuiteCatSubElem!$G$2:$H$666,2,0),'SA Q1 18 W'!$A$33:$F$193,1+MATCH(VLOOKUP(A384,Personas!$A$2:$B$6,2,0),'SA Q1 18 W'!$B$4:$F$4,0),0)</f>
        <v>0.3</v>
      </c>
      <c r="F384">
        <v>1</v>
      </c>
      <c r="H384" t="s">
        <v>50</v>
      </c>
      <c r="I384">
        <v>8</v>
      </c>
    </row>
    <row r="385" spans="1:9">
      <c r="A385">
        <f t="shared" si="12"/>
        <v>5</v>
      </c>
      <c r="B385">
        <f t="shared" si="13"/>
        <v>457</v>
      </c>
      <c r="C385">
        <v>1</v>
      </c>
      <c r="D385" s="60">
        <v>43101</v>
      </c>
      <c r="E385" s="30">
        <f>VLOOKUP(VLOOKUP(B385,SuiteCatSubElem!$G$2:$H$666,2,0),'SA Q1 18 W'!$A$33:$F$193,1+MATCH(VLOOKUP(A385,Personas!$A$2:$B$6,2,0),'SA Q1 18 W'!$B$4:$F$4,0),0)</f>
        <v>0.3</v>
      </c>
      <c r="F385">
        <v>1</v>
      </c>
      <c r="H385" t="s">
        <v>50</v>
      </c>
      <c r="I385">
        <v>8</v>
      </c>
    </row>
    <row r="386" spans="1:9">
      <c r="A386">
        <f t="shared" si="12"/>
        <v>5</v>
      </c>
      <c r="B386">
        <f t="shared" si="13"/>
        <v>458</v>
      </c>
      <c r="C386">
        <v>1</v>
      </c>
      <c r="D386" s="60">
        <v>43101</v>
      </c>
      <c r="E386" s="30">
        <f>VLOOKUP(VLOOKUP(B386,SuiteCatSubElem!$G$2:$H$666,2,0),'SA Q1 18 W'!$A$33:$F$193,1+MATCH(VLOOKUP(A386,Personas!$A$2:$B$6,2,0),'SA Q1 18 W'!$B$4:$F$4,0),0)</f>
        <v>0.3</v>
      </c>
      <c r="F386">
        <v>1</v>
      </c>
      <c r="H386" t="s">
        <v>50</v>
      </c>
      <c r="I386">
        <v>8</v>
      </c>
    </row>
    <row r="387" spans="1:9">
      <c r="A387">
        <f t="shared" si="12"/>
        <v>5</v>
      </c>
      <c r="B387">
        <f t="shared" si="13"/>
        <v>459</v>
      </c>
      <c r="C387">
        <v>1</v>
      </c>
      <c r="D387" s="60">
        <v>43101</v>
      </c>
      <c r="E387" s="30">
        <f>VLOOKUP(VLOOKUP(B387,SuiteCatSubElem!$G$2:$H$666,2,0),'SA Q1 18 W'!$A$33:$F$193,1+MATCH(VLOOKUP(A387,Personas!$A$2:$B$6,2,0),'SA Q1 18 W'!$B$4:$F$4,0),0)</f>
        <v>0.3</v>
      </c>
      <c r="F387">
        <v>1</v>
      </c>
      <c r="H387" t="s">
        <v>50</v>
      </c>
      <c r="I387">
        <v>8</v>
      </c>
    </row>
    <row r="388" spans="1:9">
      <c r="A388">
        <f t="shared" si="12"/>
        <v>5</v>
      </c>
      <c r="B388">
        <f t="shared" si="13"/>
        <v>460</v>
      </c>
      <c r="C388">
        <v>1</v>
      </c>
      <c r="D388" s="60">
        <v>43101</v>
      </c>
      <c r="E388" s="30">
        <f>VLOOKUP(VLOOKUP(B388,SuiteCatSubElem!$G$2:$H$666,2,0),'SA Q1 18 W'!$A$33:$F$193,1+MATCH(VLOOKUP(A388,Personas!$A$2:$B$6,2,0),'SA Q1 18 W'!$B$4:$F$4,0),0)</f>
        <v>0</v>
      </c>
      <c r="F388">
        <v>1</v>
      </c>
      <c r="H388" t="s">
        <v>50</v>
      </c>
      <c r="I388">
        <v>8</v>
      </c>
    </row>
    <row r="389" spans="1:9">
      <c r="A389">
        <f t="shared" si="12"/>
        <v>5</v>
      </c>
      <c r="B389">
        <f t="shared" si="13"/>
        <v>461</v>
      </c>
      <c r="C389">
        <v>1</v>
      </c>
      <c r="D389" s="60">
        <v>43101</v>
      </c>
      <c r="E389" s="30">
        <f>VLOOKUP(VLOOKUP(B389,SuiteCatSubElem!$G$2:$H$666,2,0),'SA Q1 18 W'!$A$33:$F$193,1+MATCH(VLOOKUP(A389,Personas!$A$2:$B$6,2,0),'SA Q1 18 W'!$B$4:$F$4,0),0)</f>
        <v>0</v>
      </c>
      <c r="F389">
        <v>1</v>
      </c>
      <c r="H389" t="s">
        <v>50</v>
      </c>
      <c r="I389">
        <v>8</v>
      </c>
    </row>
    <row r="390" spans="1:9">
      <c r="A390">
        <f t="shared" si="12"/>
        <v>5</v>
      </c>
      <c r="B390">
        <f t="shared" si="13"/>
        <v>462</v>
      </c>
      <c r="C390">
        <v>1</v>
      </c>
      <c r="D390" s="60">
        <v>43101</v>
      </c>
      <c r="E390" s="30">
        <f>VLOOKUP(VLOOKUP(B390,SuiteCatSubElem!$G$2:$H$666,2,0),'SA Q1 18 W'!$A$33:$F$193,1+MATCH(VLOOKUP(A390,Personas!$A$2:$B$6,2,0),'SA Q1 18 W'!$B$4:$F$4,0),0)</f>
        <v>0</v>
      </c>
      <c r="F390">
        <v>1</v>
      </c>
      <c r="H390" t="s">
        <v>50</v>
      </c>
      <c r="I390">
        <v>8</v>
      </c>
    </row>
    <row r="391" spans="1:9">
      <c r="A391">
        <f t="shared" si="12"/>
        <v>5</v>
      </c>
      <c r="B391">
        <f t="shared" si="13"/>
        <v>463</v>
      </c>
      <c r="C391">
        <v>1</v>
      </c>
      <c r="D391" s="60">
        <v>43101</v>
      </c>
      <c r="E391" s="30">
        <f>VLOOKUP(VLOOKUP(B391,SuiteCatSubElem!$G$2:$H$666,2,0),'SA Q1 18 W'!$A$33:$F$193,1+MATCH(VLOOKUP(A391,Personas!$A$2:$B$6,2,0),'SA Q1 18 W'!$B$4:$F$4,0),0)</f>
        <v>0</v>
      </c>
      <c r="F391">
        <v>1</v>
      </c>
      <c r="H391" t="s">
        <v>50</v>
      </c>
      <c r="I391">
        <v>8</v>
      </c>
    </row>
    <row r="392" spans="1:9">
      <c r="A392">
        <f t="shared" si="12"/>
        <v>5</v>
      </c>
      <c r="B392">
        <f t="shared" si="13"/>
        <v>464</v>
      </c>
      <c r="C392">
        <v>1</v>
      </c>
      <c r="D392" s="60">
        <v>43101</v>
      </c>
      <c r="E392" s="30">
        <f>VLOOKUP(VLOOKUP(B392,SuiteCatSubElem!$G$2:$H$666,2,0),'SA Q1 18 W'!$A$33:$F$193,1+MATCH(VLOOKUP(A392,Personas!$A$2:$B$6,2,0),'SA Q1 18 W'!$B$4:$F$4,0),0)</f>
        <v>0</v>
      </c>
      <c r="F392">
        <v>1</v>
      </c>
      <c r="H392" t="s">
        <v>50</v>
      </c>
      <c r="I392">
        <v>8</v>
      </c>
    </row>
    <row r="393" spans="1:9">
      <c r="A393">
        <f t="shared" si="12"/>
        <v>5</v>
      </c>
      <c r="B393">
        <f t="shared" si="13"/>
        <v>465</v>
      </c>
      <c r="C393">
        <v>1</v>
      </c>
      <c r="D393" s="60">
        <v>43101</v>
      </c>
      <c r="E393" s="30">
        <f>VLOOKUP(VLOOKUP(B393,SuiteCatSubElem!$G$2:$H$666,2,0),'SA Q1 18 W'!$A$33:$F$193,1+MATCH(VLOOKUP(A393,Personas!$A$2:$B$6,2,0),'SA Q1 18 W'!$B$4:$F$4,0),0)</f>
        <v>0.2</v>
      </c>
      <c r="F393">
        <v>1</v>
      </c>
      <c r="H393" t="s">
        <v>50</v>
      </c>
      <c r="I393">
        <v>8</v>
      </c>
    </row>
    <row r="394" spans="1:9">
      <c r="A394">
        <f t="shared" si="12"/>
        <v>5</v>
      </c>
      <c r="B394">
        <f t="shared" si="13"/>
        <v>466</v>
      </c>
      <c r="C394">
        <v>1</v>
      </c>
      <c r="D394" s="60">
        <v>43101</v>
      </c>
      <c r="E394" s="30">
        <f>VLOOKUP(VLOOKUP(B394,SuiteCatSubElem!$G$2:$H$666,2,0),'SA Q1 18 W'!$A$33:$F$193,1+MATCH(VLOOKUP(A394,Personas!$A$2:$B$6,2,0),'SA Q1 18 W'!$B$4:$F$4,0),0)</f>
        <v>0.3</v>
      </c>
      <c r="F394">
        <v>1</v>
      </c>
      <c r="H394" t="s">
        <v>50</v>
      </c>
      <c r="I394">
        <v>8</v>
      </c>
    </row>
    <row r="395" spans="1:9">
      <c r="A395">
        <f t="shared" si="12"/>
        <v>5</v>
      </c>
      <c r="B395">
        <f t="shared" si="13"/>
        <v>467</v>
      </c>
      <c r="C395">
        <v>1</v>
      </c>
      <c r="D395" s="60">
        <v>43101</v>
      </c>
      <c r="E395" s="30">
        <f>VLOOKUP(VLOOKUP(B395,SuiteCatSubElem!$G$2:$H$666,2,0),'SA Q1 18 W'!$A$33:$F$193,1+MATCH(VLOOKUP(A395,Personas!$A$2:$B$6,2,0),'SA Q1 18 W'!$B$4:$F$4,0),0)</f>
        <v>1</v>
      </c>
      <c r="F395">
        <v>1</v>
      </c>
      <c r="H395" t="s">
        <v>50</v>
      </c>
      <c r="I395">
        <v>8</v>
      </c>
    </row>
    <row r="396" spans="1:9">
      <c r="A396">
        <f>A312+1</f>
        <v>5</v>
      </c>
      <c r="B396">
        <f>B312</f>
        <v>468</v>
      </c>
      <c r="C396">
        <v>1</v>
      </c>
      <c r="D396" s="60">
        <v>43101</v>
      </c>
      <c r="E396" s="30">
        <f>VLOOKUP(VLOOKUP(B396,SuiteCatSubElem!$G$2:$H$666,2,0),'SA Q1 18 W'!$A$33:$F$193,1+MATCH(VLOOKUP(A396,Personas!$A$2:$B$6,2,0),'SA Q1 18 W'!$B$4:$F$4,0),0)</f>
        <v>0.8</v>
      </c>
      <c r="F396">
        <v>1</v>
      </c>
      <c r="H396" t="s">
        <v>50</v>
      </c>
      <c r="I396">
        <v>8</v>
      </c>
    </row>
    <row r="397" spans="1:9">
      <c r="A397">
        <f t="shared" ref="A397:A421" si="14">A313+1</f>
        <v>5</v>
      </c>
      <c r="B397">
        <f t="shared" ref="B397:B421" si="15">B313</f>
        <v>469</v>
      </c>
      <c r="C397">
        <v>1</v>
      </c>
      <c r="D397" s="60">
        <v>43101</v>
      </c>
      <c r="E397" s="30">
        <f>VLOOKUP(VLOOKUP(B397,SuiteCatSubElem!$G$2:$H$666,2,0),'SA Q1 18 W'!$A$33:$F$193,1+MATCH(VLOOKUP(A397,Personas!$A$2:$B$6,2,0),'SA Q1 18 W'!$B$4:$F$4,0),0)</f>
        <v>1</v>
      </c>
      <c r="F397">
        <v>1</v>
      </c>
      <c r="H397" t="s">
        <v>50</v>
      </c>
      <c r="I397">
        <v>8</v>
      </c>
    </row>
    <row r="398" spans="1:9">
      <c r="A398">
        <f t="shared" si="14"/>
        <v>5</v>
      </c>
      <c r="B398">
        <f t="shared" si="15"/>
        <v>470</v>
      </c>
      <c r="C398">
        <v>1</v>
      </c>
      <c r="D398" s="60">
        <v>43101</v>
      </c>
      <c r="E398" s="30">
        <f>VLOOKUP(VLOOKUP(B398,SuiteCatSubElem!$G$2:$H$666,2,0),'SA Q1 18 W'!$A$33:$F$193,1+MATCH(VLOOKUP(A398,Personas!$A$2:$B$6,2,0),'SA Q1 18 W'!$B$4:$F$4,0),0)</f>
        <v>0</v>
      </c>
      <c r="F398">
        <v>1</v>
      </c>
      <c r="H398" t="s">
        <v>50</v>
      </c>
      <c r="I398">
        <v>8</v>
      </c>
    </row>
    <row r="399" spans="1:9">
      <c r="A399">
        <f t="shared" si="14"/>
        <v>5</v>
      </c>
      <c r="B399">
        <f t="shared" si="15"/>
        <v>471</v>
      </c>
      <c r="C399">
        <v>1</v>
      </c>
      <c r="D399" s="60">
        <v>43101</v>
      </c>
      <c r="E399" s="30">
        <f>VLOOKUP(VLOOKUP(B399,SuiteCatSubElem!$G$2:$H$666,2,0),'SA Q1 18 W'!$A$33:$F$193,1+MATCH(VLOOKUP(A399,Personas!$A$2:$B$6,2,0),'SA Q1 18 W'!$B$4:$F$4,0),0)</f>
        <v>0.5</v>
      </c>
      <c r="F399">
        <v>1</v>
      </c>
      <c r="H399" t="s">
        <v>50</v>
      </c>
      <c r="I399">
        <v>8</v>
      </c>
    </row>
    <row r="400" spans="1:9">
      <c r="A400">
        <f t="shared" si="14"/>
        <v>5</v>
      </c>
      <c r="B400">
        <f t="shared" si="15"/>
        <v>472</v>
      </c>
      <c r="C400">
        <v>1</v>
      </c>
      <c r="D400" s="60">
        <v>43101</v>
      </c>
      <c r="E400" s="30">
        <f>VLOOKUP(VLOOKUP(B400,SuiteCatSubElem!$G$2:$H$666,2,0),'SA Q1 18 W'!$A$33:$F$193,1+MATCH(VLOOKUP(A400,Personas!$A$2:$B$6,2,0),'SA Q1 18 W'!$B$4:$F$4,0),0)</f>
        <v>0.1</v>
      </c>
      <c r="F400">
        <v>1</v>
      </c>
      <c r="H400" t="s">
        <v>50</v>
      </c>
      <c r="I400">
        <v>8</v>
      </c>
    </row>
    <row r="401" spans="1:9">
      <c r="A401">
        <f t="shared" si="14"/>
        <v>5</v>
      </c>
      <c r="B401">
        <f t="shared" si="15"/>
        <v>473</v>
      </c>
      <c r="C401">
        <v>1</v>
      </c>
      <c r="D401" s="60">
        <v>43101</v>
      </c>
      <c r="E401" s="30">
        <f>VLOOKUP(VLOOKUP(B401,SuiteCatSubElem!$G$2:$H$666,2,0),'SA Q1 18 W'!$A$33:$F$193,1+MATCH(VLOOKUP(A401,Personas!$A$2:$B$6,2,0),'SA Q1 18 W'!$B$4:$F$4,0),0)</f>
        <v>0</v>
      </c>
      <c r="F401">
        <v>1</v>
      </c>
      <c r="H401" t="s">
        <v>50</v>
      </c>
      <c r="I401">
        <v>8</v>
      </c>
    </row>
    <row r="402" spans="1:9">
      <c r="A402">
        <f t="shared" si="14"/>
        <v>5</v>
      </c>
      <c r="B402">
        <f t="shared" si="15"/>
        <v>474</v>
      </c>
      <c r="C402">
        <v>1</v>
      </c>
      <c r="D402" s="60">
        <v>43101</v>
      </c>
      <c r="E402" s="30">
        <f>VLOOKUP(VLOOKUP(B402,SuiteCatSubElem!$G$2:$H$666,2,0),'SA Q1 18 W'!$A$33:$F$193,1+MATCH(VLOOKUP(A402,Personas!$A$2:$B$6,2,0),'SA Q1 18 W'!$B$4:$F$4,0),0)</f>
        <v>0.3</v>
      </c>
      <c r="F402">
        <v>1</v>
      </c>
      <c r="H402" t="s">
        <v>50</v>
      </c>
      <c r="I402">
        <v>8</v>
      </c>
    </row>
    <row r="403" spans="1:9">
      <c r="A403">
        <f t="shared" si="14"/>
        <v>5</v>
      </c>
      <c r="B403">
        <f t="shared" si="15"/>
        <v>475</v>
      </c>
      <c r="C403">
        <v>1</v>
      </c>
      <c r="D403" s="60">
        <v>43101</v>
      </c>
      <c r="E403" s="30">
        <f>VLOOKUP(VLOOKUP(B403,SuiteCatSubElem!$G$2:$H$666,2,0),'SA Q1 18 W'!$A$33:$F$193,1+MATCH(VLOOKUP(A403,Personas!$A$2:$B$6,2,0),'SA Q1 18 W'!$B$4:$F$4,0),0)</f>
        <v>0</v>
      </c>
      <c r="F403">
        <v>1</v>
      </c>
      <c r="H403" t="s">
        <v>50</v>
      </c>
      <c r="I403">
        <v>8</v>
      </c>
    </row>
    <row r="404" spans="1:9">
      <c r="A404">
        <f t="shared" si="14"/>
        <v>5</v>
      </c>
      <c r="B404">
        <f t="shared" si="15"/>
        <v>476</v>
      </c>
      <c r="C404">
        <v>1</v>
      </c>
      <c r="D404" s="60">
        <v>43101</v>
      </c>
      <c r="E404" s="30">
        <f>VLOOKUP(VLOOKUP(B404,SuiteCatSubElem!$G$2:$H$666,2,0),'SA Q1 18 W'!$A$33:$F$193,1+MATCH(VLOOKUP(A404,Personas!$A$2:$B$6,2,0),'SA Q1 18 W'!$B$4:$F$4,0),0)</f>
        <v>0.1</v>
      </c>
      <c r="F404">
        <v>1</v>
      </c>
      <c r="H404" t="s">
        <v>50</v>
      </c>
      <c r="I404">
        <v>8</v>
      </c>
    </row>
    <row r="405" spans="1:9">
      <c r="A405">
        <f t="shared" si="14"/>
        <v>5</v>
      </c>
      <c r="B405">
        <f t="shared" si="15"/>
        <v>477</v>
      </c>
      <c r="C405">
        <v>1</v>
      </c>
      <c r="D405" s="60">
        <v>43101</v>
      </c>
      <c r="E405" s="30">
        <f>VLOOKUP(VLOOKUP(B405,SuiteCatSubElem!$G$2:$H$666,2,0),'SA Q1 18 W'!$A$33:$F$193,1+MATCH(VLOOKUP(A405,Personas!$A$2:$B$6,2,0),'SA Q1 18 W'!$B$4:$F$4,0),0)</f>
        <v>0.1</v>
      </c>
      <c r="F405">
        <v>1</v>
      </c>
      <c r="H405" t="s">
        <v>50</v>
      </c>
      <c r="I405">
        <v>8</v>
      </c>
    </row>
    <row r="406" spans="1:9">
      <c r="A406">
        <f t="shared" si="14"/>
        <v>5</v>
      </c>
      <c r="B406">
        <f t="shared" si="15"/>
        <v>478</v>
      </c>
      <c r="C406">
        <v>1</v>
      </c>
      <c r="D406" s="60">
        <v>43101</v>
      </c>
      <c r="E406" s="30">
        <f>VLOOKUP(VLOOKUP(B406,SuiteCatSubElem!$G$2:$H$666,2,0),'SA Q1 18 W'!$A$33:$F$193,1+MATCH(VLOOKUP(A406,Personas!$A$2:$B$6,2,0),'SA Q1 18 W'!$B$4:$F$4,0),0)</f>
        <v>0.8</v>
      </c>
      <c r="F406">
        <v>1</v>
      </c>
      <c r="H406" t="s">
        <v>50</v>
      </c>
      <c r="I406">
        <v>8</v>
      </c>
    </row>
    <row r="407" spans="1:9">
      <c r="A407">
        <f t="shared" si="14"/>
        <v>5</v>
      </c>
      <c r="B407">
        <f t="shared" si="15"/>
        <v>479</v>
      </c>
      <c r="C407">
        <v>1</v>
      </c>
      <c r="D407" s="60">
        <v>43101</v>
      </c>
      <c r="E407" s="30">
        <f>VLOOKUP(VLOOKUP(B407,SuiteCatSubElem!$G$2:$H$666,2,0),'SA Q1 18 W'!$A$33:$F$193,1+MATCH(VLOOKUP(A407,Personas!$A$2:$B$6,2,0),'SA Q1 18 W'!$B$4:$F$4,0),0)</f>
        <v>1</v>
      </c>
      <c r="F407">
        <v>1</v>
      </c>
      <c r="H407" t="s">
        <v>50</v>
      </c>
      <c r="I407">
        <v>8</v>
      </c>
    </row>
    <row r="408" spans="1:9">
      <c r="A408">
        <f t="shared" si="14"/>
        <v>5</v>
      </c>
      <c r="B408">
        <f t="shared" si="15"/>
        <v>480</v>
      </c>
      <c r="C408">
        <v>1</v>
      </c>
      <c r="D408" s="60">
        <v>43101</v>
      </c>
      <c r="E408" s="30">
        <f>VLOOKUP(VLOOKUP(B408,SuiteCatSubElem!$G$2:$H$666,2,0),'SA Q1 18 W'!$A$33:$F$193,1+MATCH(VLOOKUP(A408,Personas!$A$2:$B$6,2,0),'SA Q1 18 W'!$B$4:$F$4,0),0)</f>
        <v>0.6</v>
      </c>
      <c r="F408">
        <v>1</v>
      </c>
      <c r="H408" t="s">
        <v>50</v>
      </c>
      <c r="I408">
        <v>8</v>
      </c>
    </row>
    <row r="409" spans="1:9">
      <c r="A409">
        <f t="shared" si="14"/>
        <v>5</v>
      </c>
      <c r="B409">
        <f t="shared" si="15"/>
        <v>481</v>
      </c>
      <c r="C409">
        <v>1</v>
      </c>
      <c r="D409" s="60">
        <v>43101</v>
      </c>
      <c r="E409" s="30">
        <f>VLOOKUP(VLOOKUP(B409,SuiteCatSubElem!$G$2:$H$666,2,0),'SA Q1 18 W'!$A$33:$F$193,1+MATCH(VLOOKUP(A409,Personas!$A$2:$B$6,2,0),'SA Q1 18 W'!$B$4:$F$4,0),0)</f>
        <v>0.6</v>
      </c>
      <c r="F409">
        <v>1</v>
      </c>
      <c r="H409" t="s">
        <v>50</v>
      </c>
      <c r="I409">
        <v>8</v>
      </c>
    </row>
    <row r="410" spans="1:9">
      <c r="A410">
        <f t="shared" si="14"/>
        <v>5</v>
      </c>
      <c r="B410">
        <f t="shared" si="15"/>
        <v>482</v>
      </c>
      <c r="C410">
        <v>1</v>
      </c>
      <c r="D410" s="60">
        <v>43101</v>
      </c>
      <c r="E410" s="30">
        <f>VLOOKUP(VLOOKUP(B410,SuiteCatSubElem!$G$2:$H$666,2,0),'SA Q1 18 W'!$A$33:$F$193,1+MATCH(VLOOKUP(A410,Personas!$A$2:$B$6,2,0),'SA Q1 18 W'!$B$4:$F$4,0),0)</f>
        <v>0.3</v>
      </c>
      <c r="F410">
        <v>1</v>
      </c>
      <c r="H410" t="s">
        <v>50</v>
      </c>
      <c r="I410">
        <v>8</v>
      </c>
    </row>
    <row r="411" spans="1:9">
      <c r="A411">
        <f t="shared" si="14"/>
        <v>5</v>
      </c>
      <c r="B411">
        <f t="shared" si="15"/>
        <v>483</v>
      </c>
      <c r="C411">
        <v>1</v>
      </c>
      <c r="D411" s="60">
        <v>43101</v>
      </c>
      <c r="E411" s="30">
        <f>VLOOKUP(VLOOKUP(B411,SuiteCatSubElem!$G$2:$H$666,2,0),'SA Q1 18 W'!$A$33:$F$193,1+MATCH(VLOOKUP(A411,Personas!$A$2:$B$6,2,0),'SA Q1 18 W'!$B$4:$F$4,0),0)</f>
        <v>0.7</v>
      </c>
      <c r="F411">
        <v>1</v>
      </c>
      <c r="H411" t="s">
        <v>50</v>
      </c>
      <c r="I411">
        <v>8</v>
      </c>
    </row>
    <row r="412" spans="1:9">
      <c r="A412">
        <f t="shared" si="14"/>
        <v>5</v>
      </c>
      <c r="B412">
        <f t="shared" si="15"/>
        <v>484</v>
      </c>
      <c r="C412">
        <v>1</v>
      </c>
      <c r="D412" s="60">
        <v>43101</v>
      </c>
      <c r="E412" s="30">
        <f>VLOOKUP(VLOOKUP(B412,SuiteCatSubElem!$G$2:$H$666,2,0),'SA Q1 18 W'!$A$33:$F$193,1+MATCH(VLOOKUP(A412,Personas!$A$2:$B$6,2,0),'SA Q1 18 W'!$B$4:$F$4,0),0)</f>
        <v>0.3</v>
      </c>
      <c r="F412">
        <v>1</v>
      </c>
      <c r="H412" t="s">
        <v>50</v>
      </c>
      <c r="I412">
        <v>8</v>
      </c>
    </row>
    <row r="413" spans="1:9">
      <c r="A413">
        <f t="shared" si="14"/>
        <v>5</v>
      </c>
      <c r="B413">
        <f t="shared" si="15"/>
        <v>485</v>
      </c>
      <c r="C413">
        <v>1</v>
      </c>
      <c r="D413" s="60">
        <v>43101</v>
      </c>
      <c r="E413" s="30">
        <f>VLOOKUP(VLOOKUP(B413,SuiteCatSubElem!$G$2:$H$666,2,0),'SA Q1 18 W'!$A$33:$F$193,1+MATCH(VLOOKUP(A413,Personas!$A$2:$B$6,2,0),'SA Q1 18 W'!$B$4:$F$4,0),0)</f>
        <v>0.7</v>
      </c>
      <c r="F413">
        <v>1</v>
      </c>
      <c r="H413" t="s">
        <v>50</v>
      </c>
      <c r="I413">
        <v>8</v>
      </c>
    </row>
    <row r="414" spans="1:9">
      <c r="A414">
        <f t="shared" si="14"/>
        <v>5</v>
      </c>
      <c r="B414">
        <f t="shared" si="15"/>
        <v>486</v>
      </c>
      <c r="C414">
        <v>1</v>
      </c>
      <c r="D414" s="60">
        <v>43101</v>
      </c>
      <c r="E414" s="30">
        <f>VLOOKUP(VLOOKUP(B414,SuiteCatSubElem!$G$2:$H$666,2,0),'SA Q1 18 W'!$A$33:$F$193,1+MATCH(VLOOKUP(A414,Personas!$A$2:$B$6,2,0),'SA Q1 18 W'!$B$4:$F$4,0),0)</f>
        <v>0.7</v>
      </c>
      <c r="F414">
        <v>1</v>
      </c>
      <c r="H414" t="s">
        <v>50</v>
      </c>
      <c r="I414">
        <v>8</v>
      </c>
    </row>
    <row r="415" spans="1:9">
      <c r="A415">
        <f t="shared" si="14"/>
        <v>5</v>
      </c>
      <c r="B415">
        <f t="shared" si="15"/>
        <v>487</v>
      </c>
      <c r="C415">
        <v>1</v>
      </c>
      <c r="D415" s="60">
        <v>43101</v>
      </c>
      <c r="E415" s="30">
        <f>VLOOKUP(VLOOKUP(B415,SuiteCatSubElem!$G$2:$H$666,2,0),'SA Q1 18 W'!$A$33:$F$193,1+MATCH(VLOOKUP(A415,Personas!$A$2:$B$6,2,0),'SA Q1 18 W'!$B$4:$F$4,0),0)</f>
        <v>0.6</v>
      </c>
      <c r="F415">
        <v>1</v>
      </c>
      <c r="H415" t="s">
        <v>50</v>
      </c>
      <c r="I415">
        <v>8</v>
      </c>
    </row>
    <row r="416" spans="1:9">
      <c r="A416">
        <f t="shared" si="14"/>
        <v>5</v>
      </c>
      <c r="B416">
        <f t="shared" si="15"/>
        <v>488</v>
      </c>
      <c r="C416">
        <v>1</v>
      </c>
      <c r="D416" s="60">
        <v>43101</v>
      </c>
      <c r="E416" s="30">
        <f>VLOOKUP(VLOOKUP(B416,SuiteCatSubElem!$G$2:$H$666,2,0),'SA Q1 18 W'!$A$33:$F$193,1+MATCH(VLOOKUP(A416,Personas!$A$2:$B$6,2,0),'SA Q1 18 W'!$B$4:$F$4,0),0)</f>
        <v>0.4</v>
      </c>
      <c r="F416">
        <v>1</v>
      </c>
      <c r="H416" t="s">
        <v>50</v>
      </c>
      <c r="I416">
        <v>8</v>
      </c>
    </row>
    <row r="417" spans="1:9">
      <c r="A417">
        <f t="shared" si="14"/>
        <v>5</v>
      </c>
      <c r="B417">
        <f t="shared" si="15"/>
        <v>489</v>
      </c>
      <c r="C417">
        <v>1</v>
      </c>
      <c r="D417" s="60">
        <v>43101</v>
      </c>
      <c r="E417" s="30">
        <f>VLOOKUP(VLOOKUP(B417,SuiteCatSubElem!$G$2:$H$666,2,0),'SA Q1 18 W'!$A$33:$F$193,1+MATCH(VLOOKUP(A417,Personas!$A$2:$B$6,2,0),'SA Q1 18 W'!$B$4:$F$4,0),0)</f>
        <v>0.5</v>
      </c>
      <c r="F417">
        <v>1</v>
      </c>
      <c r="H417" t="s">
        <v>50</v>
      </c>
      <c r="I417">
        <v>8</v>
      </c>
    </row>
    <row r="418" spans="1:9">
      <c r="A418">
        <f t="shared" si="14"/>
        <v>5</v>
      </c>
      <c r="B418">
        <f t="shared" si="15"/>
        <v>490</v>
      </c>
      <c r="C418">
        <v>1</v>
      </c>
      <c r="D418" s="60">
        <v>43101</v>
      </c>
      <c r="E418" s="30">
        <f>VLOOKUP(VLOOKUP(B418,SuiteCatSubElem!$G$2:$H$666,2,0),'SA Q1 18 W'!$A$33:$F$193,1+MATCH(VLOOKUP(A418,Personas!$A$2:$B$6,2,0),'SA Q1 18 W'!$B$4:$F$4,0),0)</f>
        <v>0.5</v>
      </c>
      <c r="F418">
        <v>1</v>
      </c>
      <c r="H418" t="s">
        <v>50</v>
      </c>
      <c r="I418">
        <v>8</v>
      </c>
    </row>
    <row r="419" spans="1:9">
      <c r="A419">
        <f t="shared" si="14"/>
        <v>5</v>
      </c>
      <c r="B419">
        <f t="shared" si="15"/>
        <v>491</v>
      </c>
      <c r="C419">
        <v>1</v>
      </c>
      <c r="D419" s="60">
        <v>43101</v>
      </c>
      <c r="E419" s="30">
        <f>VLOOKUP(VLOOKUP(B419,SuiteCatSubElem!$G$2:$H$666,2,0),'SA Q1 18 W'!$A$33:$F$193,1+MATCH(VLOOKUP(A419,Personas!$A$2:$B$6,2,0),'SA Q1 18 W'!$B$4:$F$4,0),0)</f>
        <v>0.2</v>
      </c>
      <c r="F419">
        <v>1</v>
      </c>
      <c r="H419" t="s">
        <v>50</v>
      </c>
      <c r="I419">
        <v>8</v>
      </c>
    </row>
    <row r="420" spans="1:9">
      <c r="A420">
        <f t="shared" si="14"/>
        <v>5</v>
      </c>
      <c r="B420">
        <f t="shared" si="15"/>
        <v>492</v>
      </c>
      <c r="C420">
        <v>1</v>
      </c>
      <c r="D420" s="60">
        <v>43101</v>
      </c>
      <c r="E420" s="30">
        <f>VLOOKUP(VLOOKUP(B420,SuiteCatSubElem!$G$2:$H$666,2,0),'SA Q1 18 W'!$A$33:$F$193,1+MATCH(VLOOKUP(A420,Personas!$A$2:$B$6,2,0),'SA Q1 18 W'!$B$4:$F$4,0),0)</f>
        <v>0</v>
      </c>
      <c r="F420">
        <v>1</v>
      </c>
      <c r="H420" t="s">
        <v>50</v>
      </c>
      <c r="I420">
        <v>8</v>
      </c>
    </row>
    <row r="421" spans="1:9">
      <c r="A421">
        <f t="shared" si="14"/>
        <v>5</v>
      </c>
      <c r="B421">
        <f t="shared" si="15"/>
        <v>493</v>
      </c>
      <c r="C421">
        <v>1</v>
      </c>
      <c r="D421" s="60">
        <v>43101</v>
      </c>
      <c r="E421" s="30">
        <f>VLOOKUP(VLOOKUP(B421,SuiteCatSubElem!$G$2:$H$666,2,0),'SA Q1 18 W'!$A$33:$F$193,1+MATCH(VLOOKUP(A421,Personas!$A$2:$B$6,2,0),'SA Q1 18 W'!$B$4:$F$4,0),0)</f>
        <v>0</v>
      </c>
      <c r="F421">
        <v>1</v>
      </c>
      <c r="H421" t="s">
        <v>50</v>
      </c>
      <c r="I421">
        <v>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87B5E-50F6-A948-B1D4-0BEBA9606DAE}">
  <sheetPr codeName="Sheet24"/>
  <dimension ref="A1:E2"/>
  <sheetViews>
    <sheetView workbookViewId="0"/>
  </sheetViews>
  <sheetFormatPr baseColWidth="10" defaultRowHeight="16"/>
  <sheetData>
    <row r="1" spans="1:5">
      <c r="A1" t="s">
        <v>1264</v>
      </c>
      <c r="B1" t="s">
        <v>1239</v>
      </c>
      <c r="C1" t="s">
        <v>537</v>
      </c>
      <c r="D1" t="s">
        <v>540</v>
      </c>
      <c r="E1" t="s">
        <v>541</v>
      </c>
    </row>
    <row r="2" spans="1:5">
      <c r="A2" t="s">
        <v>1263</v>
      </c>
      <c r="B2">
        <v>1</v>
      </c>
      <c r="C2">
        <v>1</v>
      </c>
      <c r="D2" t="s">
        <v>50</v>
      </c>
      <c r="E2" s="60">
        <v>43101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F4810-5464-0B4E-B709-04A34E41FB7D}">
  <sheetPr codeName="Sheet2"/>
  <dimension ref="H1:M55"/>
  <sheetViews>
    <sheetView workbookViewId="0"/>
  </sheetViews>
  <sheetFormatPr baseColWidth="10" defaultRowHeight="16"/>
  <cols>
    <col min="1" max="1" width="31.83203125" bestFit="1" customWidth="1"/>
    <col min="2" max="4" width="31.83203125" customWidth="1"/>
    <col min="8" max="8" width="30.1640625" bestFit="1" customWidth="1"/>
    <col min="9" max="9" width="7" bestFit="1" customWidth="1"/>
    <col min="10" max="10" width="10" bestFit="1" customWidth="1"/>
    <col min="11" max="11" width="12.83203125" bestFit="1" customWidth="1"/>
    <col min="12" max="12" width="23" customWidth="1"/>
  </cols>
  <sheetData>
    <row r="1" spans="8:13">
      <c r="H1" t="s">
        <v>0</v>
      </c>
      <c r="I1" t="s">
        <v>1</v>
      </c>
      <c r="J1" t="s">
        <v>2</v>
      </c>
      <c r="K1" t="s">
        <v>3</v>
      </c>
      <c r="L1" t="s">
        <v>34</v>
      </c>
      <c r="M1" t="s">
        <v>535</v>
      </c>
    </row>
    <row r="2" spans="8:13">
      <c r="H2" s="1" t="s">
        <v>5</v>
      </c>
      <c r="I2">
        <v>1</v>
      </c>
      <c r="J2">
        <v>1</v>
      </c>
      <c r="K2">
        <v>1</v>
      </c>
      <c r="L2" t="s">
        <v>35</v>
      </c>
    </row>
    <row r="3" spans="8:13">
      <c r="H3" s="1" t="s">
        <v>6</v>
      </c>
      <c r="I3">
        <v>1</v>
      </c>
      <c r="J3">
        <v>1</v>
      </c>
      <c r="K3">
        <v>2</v>
      </c>
    </row>
    <row r="4" spans="8:13">
      <c r="H4" s="1" t="s">
        <v>7</v>
      </c>
      <c r="I4">
        <v>1</v>
      </c>
      <c r="J4">
        <v>1</v>
      </c>
      <c r="K4">
        <v>3</v>
      </c>
    </row>
    <row r="5" spans="8:13">
      <c r="H5" s="1" t="s">
        <v>8</v>
      </c>
      <c r="I5">
        <v>1</v>
      </c>
      <c r="J5">
        <v>1</v>
      </c>
      <c r="K5">
        <v>4</v>
      </c>
    </row>
    <row r="6" spans="8:13">
      <c r="H6" s="2" t="s">
        <v>9</v>
      </c>
      <c r="I6">
        <v>1</v>
      </c>
      <c r="J6">
        <v>1</v>
      </c>
      <c r="K6">
        <v>5</v>
      </c>
    </row>
    <row r="7" spans="8:13">
      <c r="H7" s="2" t="s">
        <v>10</v>
      </c>
      <c r="I7">
        <v>1</v>
      </c>
      <c r="J7">
        <v>1</v>
      </c>
      <c r="K7">
        <v>6</v>
      </c>
    </row>
    <row r="8" spans="8:13">
      <c r="H8" s="2" t="s">
        <v>11</v>
      </c>
      <c r="I8">
        <v>1</v>
      </c>
      <c r="J8">
        <v>1</v>
      </c>
      <c r="K8">
        <v>7</v>
      </c>
    </row>
    <row r="9" spans="8:13" ht="17" thickBot="1">
      <c r="H9" s="3" t="s">
        <v>12</v>
      </c>
      <c r="I9" s="4">
        <v>1</v>
      </c>
      <c r="J9" s="4">
        <v>1</v>
      </c>
      <c r="K9" s="4">
        <v>8</v>
      </c>
    </row>
    <row r="10" spans="8:13">
      <c r="H10" s="2" t="s">
        <v>9</v>
      </c>
      <c r="I10">
        <v>1</v>
      </c>
      <c r="J10">
        <v>2</v>
      </c>
      <c r="K10">
        <v>5</v>
      </c>
    </row>
    <row r="11" spans="8:13">
      <c r="H11" s="2" t="s">
        <v>10</v>
      </c>
      <c r="I11">
        <v>1</v>
      </c>
      <c r="J11">
        <v>2</v>
      </c>
      <c r="K11">
        <v>6</v>
      </c>
    </row>
    <row r="12" spans="8:13">
      <c r="H12" s="2" t="s">
        <v>11</v>
      </c>
      <c r="I12">
        <v>1</v>
      </c>
      <c r="J12">
        <v>2</v>
      </c>
      <c r="K12">
        <v>7</v>
      </c>
    </row>
    <row r="13" spans="8:13">
      <c r="H13" s="2" t="s">
        <v>12</v>
      </c>
      <c r="I13">
        <v>1</v>
      </c>
      <c r="J13">
        <v>2</v>
      </c>
      <c r="K13">
        <v>8</v>
      </c>
    </row>
    <row r="14" spans="8:13">
      <c r="H14" s="5" t="s">
        <v>13</v>
      </c>
      <c r="I14">
        <v>1</v>
      </c>
      <c r="J14">
        <v>2</v>
      </c>
      <c r="K14">
        <v>9</v>
      </c>
    </row>
    <row r="15" spans="8:13" ht="17" thickBot="1">
      <c r="H15" s="6" t="s">
        <v>14</v>
      </c>
      <c r="I15" s="4">
        <v>1</v>
      </c>
      <c r="J15" s="4">
        <v>2</v>
      </c>
      <c r="K15" s="4">
        <v>10</v>
      </c>
    </row>
    <row r="16" spans="8:13">
      <c r="H16" s="1" t="s">
        <v>5</v>
      </c>
      <c r="I16">
        <v>1</v>
      </c>
      <c r="J16">
        <v>3</v>
      </c>
      <c r="K16">
        <v>1</v>
      </c>
    </row>
    <row r="17" spans="8:11">
      <c r="H17" s="1" t="s">
        <v>6</v>
      </c>
      <c r="I17">
        <v>1</v>
      </c>
      <c r="J17">
        <v>3</v>
      </c>
      <c r="K17">
        <v>2</v>
      </c>
    </row>
    <row r="18" spans="8:11">
      <c r="H18" s="1" t="s">
        <v>7</v>
      </c>
      <c r="I18">
        <v>1</v>
      </c>
      <c r="J18">
        <v>3</v>
      </c>
      <c r="K18">
        <v>3</v>
      </c>
    </row>
    <row r="19" spans="8:11">
      <c r="H19" s="1" t="s">
        <v>8</v>
      </c>
      <c r="I19">
        <v>1</v>
      </c>
      <c r="J19">
        <v>3</v>
      </c>
      <c r="K19">
        <v>4</v>
      </c>
    </row>
    <row r="20" spans="8:11">
      <c r="H20" s="2" t="s">
        <v>9</v>
      </c>
      <c r="I20">
        <v>1</v>
      </c>
      <c r="J20">
        <v>3</v>
      </c>
      <c r="K20">
        <v>5</v>
      </c>
    </row>
    <row r="21" spans="8:11">
      <c r="H21" s="2" t="s">
        <v>10</v>
      </c>
      <c r="I21">
        <v>1</v>
      </c>
      <c r="J21">
        <v>3</v>
      </c>
      <c r="K21">
        <v>6</v>
      </c>
    </row>
    <row r="22" spans="8:11">
      <c r="H22" s="2" t="s">
        <v>11</v>
      </c>
      <c r="I22">
        <v>1</v>
      </c>
      <c r="J22">
        <v>3</v>
      </c>
      <c r="K22">
        <v>7</v>
      </c>
    </row>
    <row r="23" spans="8:11">
      <c r="H23" s="2" t="s">
        <v>12</v>
      </c>
      <c r="I23">
        <v>1</v>
      </c>
      <c r="J23">
        <v>3</v>
      </c>
      <c r="K23">
        <v>8</v>
      </c>
    </row>
    <row r="24" spans="8:11">
      <c r="H24" s="5" t="s">
        <v>13</v>
      </c>
      <c r="I24">
        <v>1</v>
      </c>
      <c r="J24">
        <v>3</v>
      </c>
      <c r="K24">
        <v>9</v>
      </c>
    </row>
    <row r="25" spans="8:11" ht="17" thickBot="1">
      <c r="H25" s="6" t="s">
        <v>14</v>
      </c>
      <c r="I25" s="4">
        <v>1</v>
      </c>
      <c r="J25" s="4">
        <v>3</v>
      </c>
      <c r="K25" s="4">
        <v>10</v>
      </c>
    </row>
    <row r="26" spans="8:11">
      <c r="H26" t="s">
        <v>15</v>
      </c>
      <c r="I26">
        <v>2</v>
      </c>
      <c r="J26">
        <v>4</v>
      </c>
      <c r="K26">
        <v>11</v>
      </c>
    </row>
    <row r="27" spans="8:11">
      <c r="H27" t="s">
        <v>16</v>
      </c>
      <c r="I27">
        <v>2</v>
      </c>
      <c r="J27">
        <v>4</v>
      </c>
      <c r="K27">
        <v>12</v>
      </c>
    </row>
    <row r="28" spans="8:11">
      <c r="H28" t="s">
        <v>17</v>
      </c>
      <c r="I28">
        <v>2</v>
      </c>
      <c r="J28">
        <v>4</v>
      </c>
      <c r="K28">
        <v>13</v>
      </c>
    </row>
    <row r="29" spans="8:11">
      <c r="H29" t="s">
        <v>18</v>
      </c>
      <c r="I29">
        <v>2</v>
      </c>
      <c r="J29">
        <v>4</v>
      </c>
      <c r="K29">
        <v>14</v>
      </c>
    </row>
    <row r="30" spans="8:11">
      <c r="H30" t="s">
        <v>19</v>
      </c>
      <c r="I30">
        <v>2</v>
      </c>
      <c r="J30">
        <v>4</v>
      </c>
      <c r="K30">
        <v>15</v>
      </c>
    </row>
    <row r="31" spans="8:11">
      <c r="H31" t="s">
        <v>20</v>
      </c>
      <c r="I31">
        <v>2</v>
      </c>
      <c r="J31">
        <v>4</v>
      </c>
      <c r="K31">
        <v>16</v>
      </c>
    </row>
    <row r="32" spans="8:11">
      <c r="H32" t="s">
        <v>21</v>
      </c>
      <c r="I32">
        <v>2</v>
      </c>
      <c r="J32">
        <v>4</v>
      </c>
      <c r="K32">
        <v>17</v>
      </c>
    </row>
    <row r="33" spans="8:11">
      <c r="H33" t="s">
        <v>22</v>
      </c>
      <c r="I33">
        <v>2</v>
      </c>
      <c r="J33">
        <v>4</v>
      </c>
      <c r="K33">
        <v>18</v>
      </c>
    </row>
    <row r="34" spans="8:11">
      <c r="H34" s="2" t="s">
        <v>11</v>
      </c>
      <c r="I34">
        <v>2</v>
      </c>
      <c r="J34">
        <v>4</v>
      </c>
      <c r="K34">
        <v>6</v>
      </c>
    </row>
    <row r="35" spans="8:11">
      <c r="H35" s="2" t="s">
        <v>10</v>
      </c>
      <c r="I35">
        <v>2</v>
      </c>
      <c r="J35">
        <v>4</v>
      </c>
      <c r="K35">
        <v>7</v>
      </c>
    </row>
    <row r="36" spans="8:11" ht="17" thickBot="1">
      <c r="H36" s="3" t="s">
        <v>12</v>
      </c>
      <c r="I36" s="4">
        <v>2</v>
      </c>
      <c r="J36" s="4">
        <v>4</v>
      </c>
      <c r="K36" s="4">
        <v>8</v>
      </c>
    </row>
    <row r="37" spans="8:11">
      <c r="H37" s="7" t="s">
        <v>23</v>
      </c>
      <c r="I37">
        <v>2</v>
      </c>
      <c r="J37">
        <v>5</v>
      </c>
      <c r="K37">
        <v>19</v>
      </c>
    </row>
    <row r="38" spans="8:11">
      <c r="H38" s="7" t="s">
        <v>24</v>
      </c>
      <c r="I38">
        <v>2</v>
      </c>
      <c r="J38">
        <v>5</v>
      </c>
      <c r="K38">
        <v>20</v>
      </c>
    </row>
    <row r="39" spans="8:11">
      <c r="H39" s="7" t="s">
        <v>25</v>
      </c>
      <c r="I39">
        <v>2</v>
      </c>
      <c r="J39">
        <v>5</v>
      </c>
      <c r="K39">
        <v>21</v>
      </c>
    </row>
    <row r="40" spans="8:11">
      <c r="H40" s="2" t="s">
        <v>11</v>
      </c>
      <c r="I40">
        <v>2</v>
      </c>
      <c r="J40">
        <v>5</v>
      </c>
      <c r="K40">
        <v>6</v>
      </c>
    </row>
    <row r="41" spans="8:11">
      <c r="H41" s="2" t="s">
        <v>10</v>
      </c>
      <c r="I41">
        <v>2</v>
      </c>
      <c r="J41">
        <v>5</v>
      </c>
      <c r="K41">
        <v>7</v>
      </c>
    </row>
    <row r="42" spans="8:11" ht="17" thickBot="1">
      <c r="H42" s="3" t="s">
        <v>12</v>
      </c>
      <c r="I42" s="4">
        <v>2</v>
      </c>
      <c r="J42" s="4">
        <v>5</v>
      </c>
      <c r="K42" s="4">
        <v>8</v>
      </c>
    </row>
    <row r="43" spans="8:11">
      <c r="H43" s="7" t="s">
        <v>26</v>
      </c>
      <c r="I43">
        <v>2</v>
      </c>
      <c r="J43">
        <v>6</v>
      </c>
      <c r="K43">
        <v>22</v>
      </c>
    </row>
    <row r="44" spans="8:11">
      <c r="H44" s="7" t="s">
        <v>27</v>
      </c>
      <c r="I44">
        <v>2</v>
      </c>
      <c r="J44">
        <v>6</v>
      </c>
      <c r="K44">
        <v>23</v>
      </c>
    </row>
    <row r="45" spans="8:11">
      <c r="H45" s="7" t="s">
        <v>28</v>
      </c>
      <c r="I45">
        <v>2</v>
      </c>
      <c r="J45">
        <v>6</v>
      </c>
      <c r="K45">
        <v>24</v>
      </c>
    </row>
    <row r="46" spans="8:11">
      <c r="H46" s="7" t="s">
        <v>29</v>
      </c>
      <c r="I46">
        <v>2</v>
      </c>
      <c r="J46">
        <v>6</v>
      </c>
      <c r="K46">
        <v>25</v>
      </c>
    </row>
    <row r="47" spans="8:11">
      <c r="H47" s="2" t="s">
        <v>11</v>
      </c>
      <c r="I47">
        <v>2</v>
      </c>
      <c r="J47">
        <v>6</v>
      </c>
      <c r="K47">
        <v>6</v>
      </c>
    </row>
    <row r="48" spans="8:11">
      <c r="H48" s="2" t="s">
        <v>10</v>
      </c>
      <c r="I48">
        <v>2</v>
      </c>
      <c r="J48">
        <v>6</v>
      </c>
      <c r="K48">
        <v>7</v>
      </c>
    </row>
    <row r="49" spans="8:11" ht="17" thickBot="1">
      <c r="H49" s="3" t="s">
        <v>12</v>
      </c>
      <c r="I49" s="4">
        <v>2</v>
      </c>
      <c r="J49" s="4">
        <v>6</v>
      </c>
      <c r="K49" s="4">
        <v>8</v>
      </c>
    </row>
    <row r="50" spans="8:11">
      <c r="H50" s="7" t="s">
        <v>30</v>
      </c>
      <c r="I50">
        <v>2</v>
      </c>
      <c r="J50">
        <v>7</v>
      </c>
      <c r="K50">
        <v>26</v>
      </c>
    </row>
    <row r="51" spans="8:11">
      <c r="H51" s="7" t="s">
        <v>31</v>
      </c>
      <c r="I51">
        <v>2</v>
      </c>
      <c r="J51">
        <v>7</v>
      </c>
      <c r="K51">
        <v>27</v>
      </c>
    </row>
    <row r="52" spans="8:11">
      <c r="H52" s="7" t="s">
        <v>32</v>
      </c>
      <c r="I52">
        <v>2</v>
      </c>
      <c r="J52">
        <v>7</v>
      </c>
      <c r="K52">
        <v>28</v>
      </c>
    </row>
    <row r="53" spans="8:11">
      <c r="H53" s="2" t="s">
        <v>11</v>
      </c>
      <c r="I53">
        <v>2</v>
      </c>
      <c r="J53">
        <v>7</v>
      </c>
      <c r="K53">
        <v>6</v>
      </c>
    </row>
    <row r="54" spans="8:11">
      <c r="H54" s="2" t="s">
        <v>10</v>
      </c>
      <c r="I54">
        <v>2</v>
      </c>
      <c r="J54">
        <v>7</v>
      </c>
      <c r="K54">
        <v>7</v>
      </c>
    </row>
    <row r="55" spans="8:11" ht="17" thickBot="1">
      <c r="H55" s="3" t="s">
        <v>33</v>
      </c>
      <c r="I55" s="4">
        <v>2</v>
      </c>
      <c r="J55" s="4">
        <v>7</v>
      </c>
      <c r="K55" s="4">
        <v>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5539A-E1ED-0447-B561-114DA2AE097F}">
  <sheetPr codeName="Sheet6"/>
  <dimension ref="A1:B15"/>
  <sheetViews>
    <sheetView workbookViewId="0"/>
  </sheetViews>
  <sheetFormatPr baseColWidth="10" defaultRowHeight="16"/>
  <cols>
    <col min="1" max="1" width="55.33203125" bestFit="1" customWidth="1"/>
  </cols>
  <sheetData>
    <row r="1" spans="1:2">
      <c r="A1" t="s">
        <v>36</v>
      </c>
    </row>
    <row r="2" spans="1:2">
      <c r="A2" t="s">
        <v>70</v>
      </c>
    </row>
    <row r="3" spans="1:2">
      <c r="A3" s="31" t="s">
        <v>363</v>
      </c>
      <c r="B3" t="s">
        <v>532</v>
      </c>
    </row>
    <row r="4" spans="1:2">
      <c r="A4" s="31" t="s">
        <v>512</v>
      </c>
    </row>
    <row r="5" spans="1:2">
      <c r="A5" s="7" t="s">
        <v>287</v>
      </c>
    </row>
    <row r="6" spans="1:2">
      <c r="A6" s="31" t="s">
        <v>255</v>
      </c>
    </row>
    <row r="7" spans="1:2">
      <c r="A7" t="s">
        <v>233</v>
      </c>
    </row>
    <row r="8" spans="1:2">
      <c r="A8" s="31" t="s">
        <v>197</v>
      </c>
    </row>
    <row r="9" spans="1:2">
      <c r="A9" t="s">
        <v>399</v>
      </c>
    </row>
    <row r="10" spans="1:2">
      <c r="A10" t="s">
        <v>351</v>
      </c>
    </row>
    <row r="11" spans="1:2">
      <c r="A11" s="31" t="s">
        <v>271</v>
      </c>
    </row>
    <row r="12" spans="1:2">
      <c r="A12" s="31" t="s">
        <v>166</v>
      </c>
    </row>
    <row r="13" spans="1:2">
      <c r="A13" t="s">
        <v>379</v>
      </c>
    </row>
    <row r="14" spans="1:2">
      <c r="A14" t="s">
        <v>288</v>
      </c>
    </row>
    <row r="15" spans="1:2">
      <c r="A15" s="31" t="s">
        <v>103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24</vt:i4>
      </vt:variant>
    </vt:vector>
  </HeadingPairs>
  <TitlesOfParts>
    <vt:vector size="24" baseType="lpstr">
      <vt:lpstr>Suites</vt:lpstr>
      <vt:lpstr>Categories</vt:lpstr>
      <vt:lpstr>SuiteCategories</vt:lpstr>
      <vt:lpstr>Subcategories</vt:lpstr>
      <vt:lpstr>SuiteCatSub</vt:lpstr>
      <vt:lpstr>Elements</vt:lpstr>
      <vt:lpstr>SuiteCatSubElem</vt:lpstr>
      <vt:lpstr>SuiteCatSubElem_Version</vt:lpstr>
      <vt:lpstr>rawElements</vt:lpstr>
      <vt:lpstr>Notes</vt:lpstr>
      <vt:lpstr>scse_v Analyst</vt:lpstr>
      <vt:lpstr>ElementVariants</vt:lpstr>
      <vt:lpstr>Vendors</vt:lpstr>
      <vt:lpstr>Personas</vt:lpstr>
      <vt:lpstr>RFI</vt:lpstr>
      <vt:lpstr>RFI_Elements</vt:lpstr>
      <vt:lpstr>SA Q1 18 VR</vt:lpstr>
      <vt:lpstr>Sheet2</vt:lpstr>
      <vt:lpstr>SA Q1 18 W</vt:lpstr>
      <vt:lpstr>SMscores</vt:lpstr>
      <vt:lpstr>Weights</vt:lpstr>
      <vt:lpstr>ParentVendors</vt:lpstr>
      <vt:lpstr>scse2</vt:lpstr>
      <vt:lpstr>Elements duplict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Arturo Rodriguez</dc:creator>
  <cp:lastModifiedBy>Arturo Rodriguez</cp:lastModifiedBy>
  <dcterms:created xsi:type="dcterms:W3CDTF">2018-02-13T22:08:26Z</dcterms:created>
  <dcterms:modified xsi:type="dcterms:W3CDTF">2018-03-08T23:25:16Z</dcterms:modified>
</cp:coreProperties>
</file>